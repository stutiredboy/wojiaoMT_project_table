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80" windowHeight="13065"/>
  </bookViews>
  <sheets>
    <sheet name="Sheet1" sheetId="1" r:id="rId1"/>
    <sheet name="策划用表" sheetId="2" r:id="rId2"/>
    <sheet name="Sheet3" sheetId="3" r:id="rId3"/>
  </sheets>
  <definedNames>
    <definedName name="_xlnm._FilterDatabase" localSheetId="0" hidden="1">Sheet1!$A$1:$AP$1301</definedName>
  </definedNames>
  <calcPr calcId="144525"/>
</workbook>
</file>

<file path=xl/comments1.xml><?xml version="1.0" encoding="utf-8"?>
<comments xmlns="http://schemas.openxmlformats.org/spreadsheetml/2006/main">
  <authors>
    <author>user</author>
  </authors>
  <commentList>
    <comment ref="A1" authorId="0">
      <text>
        <r>
          <rPr>
            <sz val="9"/>
            <color indexed="81"/>
            <rFont val="宋体"/>
            <charset val="134"/>
          </rPr>
          <t xml:space="preserve">user:
规则：
地图ID+编号
160101代表溶洞（上）第一个NPC</t>
        </r>
      </text>
    </comment>
    <comment ref="C1" authorId="0">
      <text>
        <r>
          <rPr>
            <sz val="9"/>
            <color indexed="81"/>
            <rFont val="宋体"/>
            <charset val="134"/>
          </rPr>
          <t xml:space="preserve">Administrator:
有随机名字时优先随机名字，没有时读取名称列，读取g怪物随机名称库.xlsx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Administrator:
名字前面的前缀，读取g怪物随机名称前缀库.xlsx
全名=前缀1+前缀2+名称</t>
        </r>
      </text>
    </comment>
    <comment ref="I1" authorId="0">
      <text>
        <r>
          <rPr>
            <sz val="9"/>
            <color indexed="81"/>
            <rFont val="宋体"/>
            <charset val="134"/>
          </rPr>
          <t xml:space="preserve">
 eNpcTypeNone = 0,
 eNpcTypeImportant, 1 //重要
 eNpcTypeTranslate,    2  //传送
 eNpcTypeTrade,   3//商业
 eNpcTypeNormal,   4//普通
 eNpcTypeFossick,  5//采集类npc
 eNpcTypeCreeps,   6//明雷 addby baiyu
 eNpcTypeTalkMonster,   7 //可以说话的怪物,如强盗宝图生成之强盗
 eNpcSchoolChief = 8,    //各门派的首席弟子
 eNpcMaze = 9,          //迷宫传送点
 eNpcFollow = 10,          //跟随npc类型
 eNpcAcpTask = 11,          //身上有可接任务
 eNpcSchoolSafeGuard = 12, //门派护法
 eNpcUndeadScene = 13,  //不死军团玩法里场景中需要下跪的 npc add by baiyu
 eNpcUndeadSceneItem = 14, //不死军团玩法里的宝箱
 eNpcNoTurn = 15,   //不会转向的npc
 eNpcInFuBen = 16,   //公会副本里的npc
               17,  //组队副本里的npc
 eNpcItemBox = 18,   //宝箱NPC,18号，和景物NPC的类别区分开
 eNpcClickToTrigger = 19, //点击npc触发
 eNpcInCompleteTask = 20,          //身上有未完成的任务
 eNpcFinishTask = 21,          //身上有可交任务
 eNpcDisPlayInTask = 22,          //隐藏类npc
 eNpcClickToTriggerMagnifier = 23, //点击npc触发，鼠标样式放大镜
 eNpcClickToTriggerBrush = 24, //点击npc触发，鼠标样式刷子
 eNpcPetBox = 25, //宠物迷城里箱子，鼠标移上去变为锤子
26,//剧情NPC类型
 eNpcTypeMax,
27,//心魔类型,可以复制玩家模型的NPC类型,(明雷显示)战斗内模型需要战斗模块支持
28,日常副本NPC类型
29,宝箱</t>
        </r>
      </text>
    </comment>
    <comment ref="M1" authorId="0">
      <text>
        <r>
          <rPr>
            <sz val="9"/>
            <color indexed="81"/>
            <rFont val="宋体"/>
            <charset val="134"/>
          </rPr>
          <t xml:space="preserve">admin:
NPC造型显示列
关联：z造型对应表</t>
        </r>
      </text>
    </comment>
    <comment ref="P1" authorId="0">
      <text>
        <r>
          <rPr>
            <sz val="9"/>
            <color indexed="81"/>
            <rFont val="宋体"/>
            <charset val="134"/>
          </rPr>
          <t xml:space="preserve">user:
NPC所在地图（用于对这个NPC寻路时）</t>
        </r>
      </text>
    </comment>
    <comment ref="S1" authorId="0">
      <text>
        <r>
          <rPr>
            <sz val="9"/>
            <color indexed="81"/>
            <rFont val="宋体"/>
            <charset val="134"/>
          </rPr>
          <t xml:space="preserve">user:
这个NPC的x轴坐标；后面的是y轴坐标
直接取游戏中地图左上角的坐标值。
并且这个坐标设置到NPC附近时，自动寻路终点后可以触发NPC对话（接任务）</t>
        </r>
      </text>
    </comment>
    <comment ref="U1" authorId="0">
      <text>
        <r>
          <rPr>
            <sz val="9"/>
            <color indexed="81"/>
            <rFont val="宋体"/>
            <charset val="134"/>
          </rPr>
          <t xml:space="preserve">  XPDIR_TOP = 0,//朝上
  XPDIR_TOPRIGHT = 1,//右上
  XPDIR_RIGHT = 2,//朝右
  XPDIR_BOTTOMRIGHT = 3,//右下
  XPDIR_BOTTOM = 4,//朝下
  XPDIR_BOTTOMLEFT =5,//左下
  XPDIR_LEFT =6,//朝左
  XPDIR_TOPLEFT =7,//左上</t>
        </r>
      </text>
    </comment>
    <comment ref="V1" authorId="0">
      <text>
        <r>
          <rPr>
            <sz val="9"/>
            <color indexed="81"/>
            <rFont val="宋体"/>
            <charset val="134"/>
          </rPr>
          <t xml:space="preserve">user:
admin:
1普通站立
2站立随机动作
3战斗警戒
4走路
5跑步
6战斗中跑
7受击1
8攻击
9施法1 现在有三个
10逃跑
11防御;
12闪避
13倒地
14死亡
15击飞
16特殊攻击1
17跑动中特殊
18下跪动作 add by baiyu
19保持下跪
</t>
        </r>
      </text>
    </comment>
    <comment ref="W1" authorId="0">
      <text>
        <r>
          <rPr>
            <sz val="9"/>
            <color indexed="81"/>
            <rFont val="宋体"/>
            <charset val="134"/>
          </rPr>
          <t xml:space="preserve">只对npctype=26类型起作用
表示该NPC类型所显示地图</t>
        </r>
      </text>
    </comment>
    <comment ref="AC1" authorId="0">
      <text>
        <r>
          <rPr>
            <sz val="9"/>
            <color indexed="81"/>
            <rFont val="宋体"/>
            <charset val="134"/>
          </rPr>
          <t xml:space="preserve">user:
关联：NPC闲话表
NPC待机时显示语句文本</t>
        </r>
      </text>
    </comment>
    <comment ref="AI1" authorId="0">
      <text>
        <r>
          <rPr>
            <sz val="9"/>
            <color indexed="81"/>
            <rFont val="宋体"/>
            <charset val="134"/>
          </rPr>
          <t xml:space="preserve">user:
是否任务可见
1：是
0：否</t>
        </r>
      </text>
    </comment>
    <comment ref="AQ1" authorId="0">
      <text>
        <r>
          <rPr>
            <sz val="9"/>
            <color indexed="81"/>
            <rFont val="宋体"/>
            <charset val="134"/>
          </rPr>
          <t xml:space="preserve">user:控制领袖npc对话时间0代表不变化1代表变化</t>
        </r>
      </text>
    </comment>
    <comment ref="AR1" authorId="0">
      <text>
        <r>
          <rPr>
            <sz val="9"/>
            <color indexed="81"/>
            <rFont val="宋体"/>
            <charset val="134"/>
          </rPr>
          <t xml:space="preserve">admin:
0或不填全服可见
1、只有点卡服可见
2、点卡服不可见</t>
        </r>
      </text>
    </comment>
  </commentList>
</comments>
</file>

<file path=xl/sharedStrings.xml><?xml version="1.0" encoding="utf-8"?>
<sst xmlns="http://schemas.openxmlformats.org/spreadsheetml/2006/main" count="1468">
  <si>
    <t>编号</t>
  </si>
  <si>
    <t>名称</t>
  </si>
  <si>
    <t>随机名称库</t>
  </si>
  <si>
    <t>前缀1</t>
  </si>
  <si>
    <t>前缀2</t>
  </si>
  <si>
    <t>area1colour</t>
  </si>
  <si>
    <t>area2colour</t>
  </si>
  <si>
    <t>大小比例</t>
  </si>
  <si>
    <t>npctype</t>
  </si>
  <si>
    <t>小地图显示</t>
  </si>
  <si>
    <t>npccolour</t>
  </si>
  <si>
    <t>share</t>
  </si>
  <si>
    <t>modelID</t>
  </si>
  <si>
    <t>可否被多人战斗</t>
  </si>
  <si>
    <t>杂学id</t>
  </si>
  <si>
    <t>map</t>
  </si>
  <si>
    <t>编辑器X坐标（策划用）</t>
  </si>
  <si>
    <t>编辑器Y坐标（策划用）</t>
  </si>
  <si>
    <t>xPos</t>
  </si>
  <si>
    <t>yPox</t>
  </si>
  <si>
    <t>朝向</t>
  </si>
  <si>
    <t>状态</t>
  </si>
  <si>
    <t>所在地图层</t>
  </si>
  <si>
    <t>小地图查询拼音</t>
  </si>
  <si>
    <t>小地图查询</t>
  </si>
  <si>
    <t>脚下称谓</t>
  </si>
  <si>
    <t>头顶特效</t>
  </si>
  <si>
    <t>脚下称谓策划看</t>
  </si>
  <si>
    <t>chitchat1</t>
  </si>
  <si>
    <t>chitchat2</t>
  </si>
  <si>
    <t>chitchat3</t>
  </si>
  <si>
    <t>chitchat4</t>
  </si>
  <si>
    <t>chitchat5</t>
  </si>
  <si>
    <t>leave</t>
  </si>
  <si>
    <t>hideable</t>
  </si>
  <si>
    <t>声音1</t>
  </si>
  <si>
    <t>声音2</t>
  </si>
  <si>
    <t>声音3</t>
  </si>
  <si>
    <t>声音4</t>
  </si>
  <si>
    <t>是否显示在周围列表</t>
  </si>
  <si>
    <t>战斗ID</t>
  </si>
  <si>
    <t>小地图npc颜色</t>
  </si>
  <si>
    <t>时间</t>
  </si>
  <si>
    <t>是否点卡服显示</t>
  </si>
  <si>
    <t>来打我啊</t>
  </si>
  <si>
    <t>1</t>
  </si>
  <si>
    <t>ff00ff0d</t>
  </si>
  <si>
    <t>0</t>
  </si>
  <si>
    <t>-1</t>
  </si>
  <si>
    <t>没事打打我</t>
  </si>
  <si>
    <t>没事打打我！</t>
  </si>
  <si>
    <t/>
  </si>
  <si>
    <t>告辞</t>
  </si>
  <si>
    <t>ff003303</t>
  </si>
  <si>
    <t>测试沙包</t>
  </si>
  <si>
    <t>沙包</t>
  </si>
  <si>
    <t>13105</t>
  </si>
  <si>
    <t>东海龙王</t>
  </si>
  <si>
    <t>kaiersasi</t>
  </si>
  <si>
    <t>zhiyedaoshi</t>
  </si>
  <si>
    <t>kaersasi_001.ogg</t>
  </si>
  <si>
    <t>kaersasi_002.ogg</t>
  </si>
  <si>
    <t>180501_05.ogg</t>
  </si>
  <si>
    <t>恭喜发财</t>
  </si>
  <si>
    <t>shouxidizi</t>
  </si>
  <si>
    <t>龙宫首席弟子</t>
  </si>
  <si>
    <t>161702</t>
  </si>
  <si>
    <t>龙宫代表队</t>
  </si>
  <si>
    <t>门派闯关</t>
  </si>
  <si>
    <t>传送人</t>
  </si>
  <si>
    <t>feixing</t>
  </si>
  <si>
    <t>传送妖精</t>
  </si>
  <si>
    <t>180138_16.ogg</t>
  </si>
  <si>
    <t>龙宫使者</t>
  </si>
  <si>
    <t>西游使者</t>
  </si>
  <si>
    <t>fasi_1.ogg</t>
  </si>
  <si>
    <t>fasi_2.ogg</t>
  </si>
  <si>
    <t>180503_03.ogg</t>
  </si>
  <si>
    <t>fasi_4.ogg</t>
  </si>
  <si>
    <t>13104</t>
  </si>
  <si>
    <t>程咬金</t>
  </si>
  <si>
    <t>kaienxueti</t>
  </si>
  <si>
    <t>kaienxueti_001.ogg</t>
  </si>
  <si>
    <t>kaienxueti_002.ogg</t>
  </si>
  <si>
    <t>180101_09.ogg</t>
  </si>
  <si>
    <t>161801</t>
  </si>
  <si>
    <t>大唐官府首席弟子</t>
  </si>
  <si>
    <t>161803</t>
  </si>
  <si>
    <t>大唐官府代表队</t>
  </si>
  <si>
    <t>大唐官府使者</t>
  </si>
  <si>
    <t>aimuti_1.ogg</t>
  </si>
  <si>
    <t>aimuti_3.ogg</t>
  </si>
  <si>
    <t>180103_03.ogg</t>
  </si>
  <si>
    <t>aimuti_4.ogg</t>
  </si>
  <si>
    <t>13103</t>
  </si>
  <si>
    <t>观音娘娘</t>
  </si>
  <si>
    <t>xianzhiweilun</t>
  </si>
  <si>
    <t>xianzhiweilun_1.ogg</t>
  </si>
  <si>
    <t>xianzhiweilun_2.ogg</t>
  </si>
  <si>
    <t>180601_09.ogg</t>
  </si>
  <si>
    <t>161901</t>
  </si>
  <si>
    <t>普陀山首席弟子</t>
  </si>
  <si>
    <t>普陀山代表队</t>
  </si>
  <si>
    <t>普陀山使者</t>
  </si>
  <si>
    <t>musi_1.ogg</t>
  </si>
  <si>
    <t>musi_3.ogg</t>
  </si>
  <si>
    <t>musi_2.ogg</t>
  </si>
  <si>
    <t>180603_02.ogg</t>
  </si>
  <si>
    <t>13102</t>
  </si>
  <si>
    <t>大大王</t>
  </si>
  <si>
    <t>wojin</t>
  </si>
  <si>
    <t>180401_07.ogg</t>
  </si>
  <si>
    <t>162001</t>
  </si>
  <si>
    <t>狮驼岭首席弟子</t>
  </si>
  <si>
    <t>162002</t>
  </si>
  <si>
    <t>狮驼岭代表队</t>
  </si>
  <si>
    <t>狮驼岭使者</t>
  </si>
  <si>
    <t>lieren_1.ogg</t>
  </si>
  <si>
    <t>lieren_2.ogg</t>
  </si>
  <si>
    <t>lieren_3.ogg</t>
  </si>
  <si>
    <t>lieren_4.ogg</t>
  </si>
  <si>
    <t>13101</t>
  </si>
  <si>
    <t>菩提祖师</t>
  </si>
  <si>
    <t>wusier</t>
  </si>
  <si>
    <t>wuser_001.ogg</t>
  </si>
  <si>
    <t>wuser_002.ogg</t>
  </si>
  <si>
    <t>180201_06.ogg</t>
  </si>
  <si>
    <t>162101</t>
  </si>
  <si>
    <t>方寸山首席弟子</t>
  </si>
  <si>
    <t>162102</t>
  </si>
  <si>
    <t>方寸山代表队</t>
  </si>
  <si>
    <t>方寸山使者</t>
  </si>
  <si>
    <t>daxiaojie_1.ogg</t>
  </si>
  <si>
    <t>daxiaojie_2.ogg</t>
  </si>
  <si>
    <t>daxiaojie_3.ogg</t>
  </si>
  <si>
    <t>daxiaojie_4.ogg</t>
  </si>
  <si>
    <t>13100</t>
  </si>
  <si>
    <t>地藏王</t>
  </si>
  <si>
    <t>mafaliao</t>
  </si>
  <si>
    <t>maliaonufeng_001.ogg</t>
  </si>
  <si>
    <t>maliaonufeng_002.ogg</t>
  </si>
  <si>
    <t>180301_06.ogg</t>
  </si>
  <si>
    <t>162201</t>
  </si>
  <si>
    <t>阴曹地府首席弟子</t>
  </si>
  <si>
    <t>162202</t>
  </si>
  <si>
    <t>阴曹地府代表队</t>
  </si>
  <si>
    <t>月女弟子</t>
  </si>
  <si>
    <t>阴曹地府使者</t>
  </si>
  <si>
    <t>1010130</t>
  </si>
  <si>
    <t>xiaode_1.ogg</t>
  </si>
  <si>
    <t>xiaode_2.ogg</t>
  </si>
  <si>
    <t>xiaode_3.ogg</t>
  </si>
  <si>
    <t>xiaode_4.ogg</t>
  </si>
  <si>
    <t>月灵</t>
  </si>
  <si>
    <t>180801_09.ogg</t>
  </si>
  <si>
    <t>月宫首席弟子</t>
  </si>
  <si>
    <t>月宫代表队</t>
  </si>
  <si>
    <t>月宫使者</t>
  </si>
  <si>
    <t>180803_05.ogg</t>
  </si>
  <si>
    <t>牛魔王</t>
  </si>
  <si>
    <t>180701_05.ogg</t>
  </si>
  <si>
    <t>wojin_1.ogg</t>
  </si>
  <si>
    <t>wojin_2.ogg</t>
  </si>
  <si>
    <t>魔王寨首席弟子</t>
  </si>
  <si>
    <t>魔王寨代表队</t>
  </si>
  <si>
    <t>魔王寨使者</t>
  </si>
  <si>
    <t>shaman_1.ogg</t>
  </si>
  <si>
    <t>shaman_2.ogg</t>
  </si>
  <si>
    <t>shaman_3.ogg</t>
  </si>
  <si>
    <t>180703_06.ogg</t>
  </si>
  <si>
    <t>空度禅师</t>
  </si>
  <si>
    <t>180901_08.ogg</t>
  </si>
  <si>
    <t>化生寺首席弟子</t>
  </si>
  <si>
    <t>化生寺代表队</t>
  </si>
  <si>
    <t>庎癫和尚</t>
  </si>
  <si>
    <t>jdhs</t>
  </si>
  <si>
    <t>水路副本</t>
  </si>
  <si>
    <t>shushi_1.ogg</t>
  </si>
  <si>
    <t>shushi_2.ogg</t>
  </si>
  <si>
    <t>shushi_3.ogg</t>
  </si>
  <si>
    <t>180903_14.ogg</t>
  </si>
  <si>
    <t>化生寺使者</t>
  </si>
  <si>
    <t>杨戬</t>
  </si>
  <si>
    <t>凌波城师傅</t>
  </si>
  <si>
    <t>古尔迪安</t>
  </si>
  <si>
    <t>一梦两三年</t>
  </si>
  <si>
    <t>凌波城首席弟子</t>
  </si>
  <si>
    <t>凌波城代表队</t>
  </si>
  <si>
    <t>化生寺首代表队</t>
  </si>
  <si>
    <t>飞行管理员</t>
  </si>
  <si>
    <t>西游引导</t>
  </si>
  <si>
    <t>镇元大仙</t>
  </si>
  <si>
    <t>五庄观师傅</t>
  </si>
  <si>
    <t>安东</t>
  </si>
  <si>
    <t>五庄观寺首席弟子</t>
  </si>
  <si>
    <t>五庄观代表队</t>
  </si>
  <si>
    <t>白晶晶</t>
  </si>
  <si>
    <t>盘丝洞师傅</t>
  </si>
  <si>
    <t>淡蓝甜心</t>
  </si>
  <si>
    <t>盘丝洞首席弟子</t>
  </si>
  <si>
    <t>盘丝洞代表队</t>
  </si>
  <si>
    <t>偷偷怪</t>
  </si>
  <si>
    <t>jinglingnvzi</t>
  </si>
  <si>
    <t>tongyong_nv_dazhaohu.ogg</t>
  </si>
  <si>
    <t>tongyong_nv_shiluo01.ogg</t>
  </si>
  <si>
    <t>tongyong_nv_shiluo02.ogg</t>
  </si>
  <si>
    <t>tongyong_nv_xiao03.ogg</t>
  </si>
  <si>
    <t>勇者之剑</t>
  </si>
  <si>
    <t>zhuzaizhijian</t>
  </si>
  <si>
    <t>袁守城</t>
  </si>
  <si>
    <t>maidiwen</t>
  </si>
  <si>
    <t>maidiwen_001.ogg</t>
  </si>
  <si>
    <t>maidiwen_002.ogg</t>
  </si>
  <si>
    <t>maidiwen_003.ogg</t>
  </si>
  <si>
    <t>maidiwen_004.ogg</t>
  </si>
  <si>
    <t>哨兵</t>
  </si>
  <si>
    <t>魔物</t>
  </si>
  <si>
    <t>恶魔猎手</t>
  </si>
  <si>
    <t>弟子</t>
  </si>
  <si>
    <t>守望者</t>
  </si>
  <si>
    <t>村民</t>
  </si>
  <si>
    <t>陆萧然</t>
  </si>
  <si>
    <t>anyemaxituan</t>
  </si>
  <si>
    <t>tongyong_nan_dazhaohu.ogg</t>
  </si>
  <si>
    <t>小德子</t>
  </si>
  <si>
    <t>xiaode</t>
  </si>
  <si>
    <t>小白龙</t>
  </si>
  <si>
    <t>aimuti</t>
  </si>
  <si>
    <t>aimuti_2.ogg</t>
  </si>
  <si>
    <t>三太子</t>
  </si>
  <si>
    <t>meilv</t>
  </si>
  <si>
    <t>meilv_1.ogg</t>
  </si>
  <si>
    <t>meilv_2.ogg</t>
  </si>
  <si>
    <t>meilv_3.ogg</t>
  </si>
  <si>
    <t>meilv_4.ogg</t>
  </si>
  <si>
    <t>猴王</t>
  </si>
  <si>
    <t>miuen</t>
  </si>
  <si>
    <t>tongyong_nan_daxiao.ogg</t>
  </si>
  <si>
    <t>tongyong_nan_tanqi.ogg</t>
  </si>
  <si>
    <t>守卫</t>
  </si>
  <si>
    <t>leijia</t>
  </si>
  <si>
    <t>luogeshi</t>
  </si>
  <si>
    <t>陈员外</t>
  </si>
  <si>
    <t>lieren</t>
  </si>
  <si>
    <t>珠宝商人</t>
  </si>
  <si>
    <t>wuhuoqiu</t>
  </si>
  <si>
    <t>wuhuoqiujiaozhu_001.ogg</t>
  </si>
  <si>
    <t>wuhuoqiujiaozhu_002.ogg</t>
  </si>
  <si>
    <t>wuhuoqiujiaozhu_003.ogg</t>
  </si>
  <si>
    <t>wuhuoqiujiaozhu_004.ogg</t>
  </si>
  <si>
    <t>五火球教徒</t>
  </si>
  <si>
    <t>宝象国国王</t>
  </si>
  <si>
    <t>aoleiliya</t>
  </si>
  <si>
    <t>端木娘子</t>
  </si>
  <si>
    <t>xiuhua</t>
  </si>
  <si>
    <t>羞花</t>
  </si>
  <si>
    <t>罗道人</t>
  </si>
  <si>
    <t>宝象国卫士</t>
  </si>
  <si>
    <t>王母娘娘</t>
  </si>
  <si>
    <t>daxiaojie</t>
  </si>
  <si>
    <t>太白金星</t>
  </si>
  <si>
    <t>fangzhuan</t>
  </si>
  <si>
    <t>fangzhuan_1.ogg</t>
  </si>
  <si>
    <t>fangzhuan_2.ogg</t>
  </si>
  <si>
    <t>fangzhuan_3.ogg</t>
  </si>
  <si>
    <t>fangzhuan_4.ogg</t>
  </si>
  <si>
    <t>玉皇大帝</t>
  </si>
  <si>
    <t>anyenan</t>
  </si>
  <si>
    <t>anyenan_1.ogg</t>
  </si>
  <si>
    <t>anyenan_2.ogg</t>
  </si>
  <si>
    <t>anyenan_3.ogg</t>
  </si>
  <si>
    <t>黑龙公主</t>
  </si>
  <si>
    <t>heilong</t>
  </si>
  <si>
    <t>沉鱼</t>
  </si>
  <si>
    <t>lurenjia</t>
  </si>
  <si>
    <t>云乐游</t>
  </si>
  <si>
    <t>shaman</t>
  </si>
  <si>
    <t>林老汉</t>
  </si>
  <si>
    <t>联盟猎人</t>
  </si>
  <si>
    <t>虾兵</t>
  </si>
  <si>
    <t>1010120</t>
  </si>
  <si>
    <t>fasi</t>
  </si>
  <si>
    <t>潜行者</t>
  </si>
  <si>
    <t>daizei</t>
  </si>
  <si>
    <t>daizei_1.ogg</t>
  </si>
  <si>
    <t>daizei_2.ogg</t>
  </si>
  <si>
    <t>daizei_3.ogg</t>
  </si>
  <si>
    <t>daizei_4.ogg</t>
  </si>
  <si>
    <t>小德</t>
  </si>
  <si>
    <t>楚恋依</t>
  </si>
  <si>
    <t>mushi</t>
  </si>
  <si>
    <t>沐丝</t>
  </si>
  <si>
    <t>炮姐</t>
  </si>
  <si>
    <t>paojie</t>
  </si>
  <si>
    <t>牧拿丁</t>
  </si>
  <si>
    <t>fffdff5d</t>
  </si>
  <si>
    <t>1010148</t>
  </si>
  <si>
    <t>mulading</t>
  </si>
  <si>
    <t>ff3e2000</t>
  </si>
  <si>
    <t>熟人</t>
  </si>
  <si>
    <t>ff4eff59</t>
  </si>
  <si>
    <t>ff078701</t>
  </si>
  <si>
    <t>小霞</t>
  </si>
  <si>
    <t>老虎</t>
  </si>
  <si>
    <t>xunmenglong</t>
  </si>
  <si>
    <t>楚依恋</t>
  </si>
  <si>
    <t>fulidashi</t>
  </si>
  <si>
    <t>闭月</t>
  </si>
  <si>
    <t>喽啰</t>
  </si>
  <si>
    <t>tianzaiwangling</t>
  </si>
  <si>
    <t>天灾亡灵</t>
  </si>
  <si>
    <t>wangling_1.ogg</t>
  </si>
  <si>
    <t>wangling_2.ogg</t>
  </si>
  <si>
    <t>wangling_3.ogg</t>
  </si>
  <si>
    <t>wangling_4.ogg</t>
  </si>
  <si>
    <t>白琉璃</t>
  </si>
  <si>
    <t>1010134</t>
  </si>
  <si>
    <t>fenmucunzhang</t>
  </si>
  <si>
    <t>大雪山白琉璃</t>
  </si>
  <si>
    <t>fenmucuncunzhang_001.ogg</t>
  </si>
  <si>
    <t>fenmucuncunzhang_002.ogg</t>
  </si>
  <si>
    <t>fenmucuncunzhang_003.ogg</t>
  </si>
  <si>
    <t>fenmucuncunzhang_004.ogg</t>
  </si>
  <si>
    <t>阿紫</t>
  </si>
  <si>
    <t>diaochayuan</t>
  </si>
  <si>
    <t>瘟疫调查员</t>
  </si>
  <si>
    <t>卷帘大将</t>
  </si>
  <si>
    <t>袁天罡</t>
  </si>
  <si>
    <t>妖风的同伙</t>
  </si>
  <si>
    <t>tunshizhefenlisi</t>
  </si>
  <si>
    <t>吞噬者芬里厄</t>
  </si>
  <si>
    <t>tunshizhefenlisi_001.ogg</t>
  </si>
  <si>
    <t>molangwogen_002.ogg</t>
  </si>
  <si>
    <t>molangwogen_003.ogg</t>
  </si>
  <si>
    <t>molangwogen_004.ogg</t>
  </si>
  <si>
    <t>大雪山袁守城</t>
  </si>
  <si>
    <t>妖风</t>
  </si>
  <si>
    <t>alugao</t>
  </si>
  <si>
    <t>阿撸高</t>
  </si>
  <si>
    <t>蟹将</t>
  </si>
  <si>
    <t>langren</t>
  </si>
  <si>
    <t>狼人</t>
  </si>
  <si>
    <t>翻天怪</t>
  </si>
  <si>
    <t>五火球神教</t>
  </si>
  <si>
    <t>天蓬元帅</t>
  </si>
  <si>
    <t>元帅</t>
  </si>
  <si>
    <t>野猪精</t>
  </si>
  <si>
    <t>高翠兰</t>
  </si>
  <si>
    <t>白姑娘</t>
  </si>
  <si>
    <t>江湖奸商</t>
  </si>
  <si>
    <t>qiangweizhiyan</t>
  </si>
  <si>
    <t>蔷薇之眼士官长</t>
  </si>
  <si>
    <t>地遁鬼</t>
  </si>
  <si>
    <t>野猪人将军</t>
  </si>
  <si>
    <t>zhuzailamusita</t>
  </si>
  <si>
    <t>zhuzailamusita_001.ogg</t>
  </si>
  <si>
    <t>zhuzailamusita_002.ogg</t>
  </si>
  <si>
    <t>zhuzailamusita_003.ogg</t>
  </si>
  <si>
    <t>zhuzailamusita_004.ogg</t>
  </si>
  <si>
    <t>猪族统领</t>
  </si>
  <si>
    <t>kaerjia</t>
  </si>
  <si>
    <t>野猪人酋长</t>
  </si>
  <si>
    <t>kaerjia_1.ogg</t>
  </si>
  <si>
    <t>kaerjia_2.ogg</t>
  </si>
  <si>
    <t>kaerjia_3.ogg</t>
  </si>
  <si>
    <t>1010119</t>
  </si>
  <si>
    <t>hanbingwangzi</t>
  </si>
  <si>
    <t>寒冰王子</t>
  </si>
  <si>
    <t>hanbingwangzi_001.ogg</t>
  </si>
  <si>
    <t>hanbingwangzi_002.ogg</t>
  </si>
  <si>
    <t>hanbingwangzi_003.ogg</t>
  </si>
  <si>
    <t>野猪</t>
  </si>
  <si>
    <t>xiaoruan</t>
  </si>
  <si>
    <t>小软</t>
  </si>
  <si>
    <t>鲛将军</t>
  </si>
  <si>
    <t>yezhuren</t>
  </si>
  <si>
    <t>野猪尸体</t>
  </si>
  <si>
    <t>鲛将军酋长</t>
  </si>
  <si>
    <t>1010124</t>
  </si>
  <si>
    <t>孙小圣</t>
  </si>
  <si>
    <t>nuoziduomu</t>
  </si>
  <si>
    <t>青铜龙</t>
  </si>
  <si>
    <t>巴将军</t>
  </si>
  <si>
    <t>唐唐</t>
  </si>
  <si>
    <t>孙悟空</t>
  </si>
  <si>
    <t>jiutongchen</t>
  </si>
  <si>
    <t>辛德拉强盗</t>
  </si>
  <si>
    <t>xindijiaqiangdao</t>
  </si>
  <si>
    <t>崩将军</t>
  </si>
  <si>
    <t>青龙堂总管</t>
  </si>
  <si>
    <t>chenyu</t>
  </si>
  <si>
    <t>帮派任务</t>
  </si>
  <si>
    <t>公会守护者</t>
  </si>
  <si>
    <t>玄武堂总管</t>
  </si>
  <si>
    <t>luoyan</t>
  </si>
  <si>
    <t>帮派修炼</t>
  </si>
  <si>
    <t>公会看护者</t>
  </si>
  <si>
    <t>朱雀堂总管</t>
  </si>
  <si>
    <t>biyue</t>
  </si>
  <si>
    <t>帮派副本</t>
  </si>
  <si>
    <t>gonghuifuben</t>
  </si>
  <si>
    <t>密境守护者</t>
  </si>
  <si>
    <t>白虎堂总管</t>
  </si>
  <si>
    <t>公会保卫者</t>
  </si>
  <si>
    <t>卵二姐</t>
  </si>
  <si>
    <t>shushi</t>
  </si>
  <si>
    <t>术虱</t>
  </si>
  <si>
    <t>陪审员</t>
  </si>
  <si>
    <t>baofengchengguizu</t>
  </si>
  <si>
    <t>1010150</t>
  </si>
  <si>
    <t>1010147</t>
  </si>
  <si>
    <t>1010146</t>
  </si>
  <si>
    <t>1010132</t>
  </si>
  <si>
    <t>鬼将</t>
  </si>
  <si>
    <t>圣圣</t>
  </si>
  <si>
    <t>shengsheng</t>
  </si>
  <si>
    <t>光光</t>
  </si>
  <si>
    <t>guangguang</t>
  </si>
  <si>
    <t>棍棍</t>
  </si>
  <si>
    <t>gungun</t>
  </si>
  <si>
    <t>骑骑</t>
  </si>
  <si>
    <t>qiqi</t>
  </si>
  <si>
    <t>士士</t>
  </si>
  <si>
    <t>shishi</t>
  </si>
  <si>
    <t>团团</t>
  </si>
  <si>
    <t>tuantuan</t>
  </si>
  <si>
    <t>wendesuoer</t>
  </si>
  <si>
    <t>苏小妹</t>
  </si>
  <si>
    <t>kadelana</t>
  </si>
  <si>
    <t>卡特琳娜伯爵</t>
  </si>
  <si>
    <t>司命星君</t>
  </si>
  <si>
    <t>anduyin</t>
  </si>
  <si>
    <t>长寿村司命星君（风暴王子）</t>
  </si>
  <si>
    <t>战神山传送人</t>
  </si>
  <si>
    <t>卫兵</t>
  </si>
  <si>
    <t>weibing</t>
  </si>
  <si>
    <t>qinbing</t>
  </si>
  <si>
    <t>路不平</t>
  </si>
  <si>
    <t>时空守护者</t>
  </si>
  <si>
    <t>大大姐</t>
  </si>
  <si>
    <t>慧觉和尚</t>
  </si>
  <si>
    <t>hjhs</t>
  </si>
  <si>
    <t>车迟副本</t>
  </si>
  <si>
    <t>钟馗</t>
  </si>
  <si>
    <t>dianyuzhangchuishi</t>
  </si>
  <si>
    <t>stand1</t>
  </si>
  <si>
    <t>莱厦特安哉</t>
  </si>
  <si>
    <t>药店老板</t>
  </si>
  <si>
    <t>yaodianlaoban</t>
  </si>
  <si>
    <t>酒店老板</t>
  </si>
  <si>
    <t>jiudianlaoban</t>
  </si>
  <si>
    <t>酒馆老板</t>
  </si>
  <si>
    <t>兵器铺老板</t>
  </si>
  <si>
    <t>bingqipuzhanggui</t>
  </si>
  <si>
    <t>武器店老板</t>
  </si>
  <si>
    <t>花香香</t>
  </si>
  <si>
    <t>chongwuxianzi</t>
  </si>
  <si>
    <t>shichang</t>
  </si>
  <si>
    <t>宠物训练师</t>
  </si>
  <si>
    <t>商会</t>
  </si>
  <si>
    <t>shanghuihuizhang</t>
  </si>
  <si>
    <t>shop</t>
  </si>
  <si>
    <t>商会总管</t>
  </si>
  <si>
    <t>转职声望商店</t>
  </si>
  <si>
    <t>kadejia</t>
  </si>
  <si>
    <t>星界学徒</t>
  </si>
  <si>
    <t>kadejia_1.ogg</t>
  </si>
  <si>
    <t>kadejia_2.ogg</t>
  </si>
  <si>
    <t>kadejia_3.ogg</t>
  </si>
  <si>
    <t>kadejia_4.ogg</t>
  </si>
  <si>
    <t>神兽商店</t>
  </si>
  <si>
    <t>超级泡泡</t>
  </si>
  <si>
    <t>店小二</t>
  </si>
  <si>
    <t>lvdianlaoban</t>
  </si>
  <si>
    <t>悬赏任务</t>
  </si>
  <si>
    <t>kaogu</t>
  </si>
  <si>
    <t>探险者协会</t>
  </si>
  <si>
    <t>副本管理员</t>
  </si>
  <si>
    <t>fubenguanliyuan</t>
  </si>
  <si>
    <t>jingying</t>
  </si>
  <si>
    <t>擂台管理员</t>
  </si>
  <si>
    <t>角斗场管理员</t>
  </si>
  <si>
    <t>合成强化重铸</t>
  </si>
  <si>
    <t>fuli</t>
  </si>
  <si>
    <t>官方福利大使</t>
  </si>
  <si>
    <t>门派闯关使者</t>
  </si>
  <si>
    <t>jingjidashi</t>
  </si>
  <si>
    <t>染色师</t>
  </si>
  <si>
    <t>ranseren</t>
  </si>
  <si>
    <t>染色</t>
  </si>
  <si>
    <t>ranse</t>
  </si>
  <si>
    <t>单人竞技场</t>
  </si>
  <si>
    <t>竞技大师</t>
  </si>
  <si>
    <t>决战华山</t>
  </si>
  <si>
    <t>天下比武大会</t>
  </si>
  <si>
    <t>秘境降妖</t>
  </si>
  <si>
    <t>bingfeng</t>
  </si>
  <si>
    <t>家园管理员</t>
  </si>
  <si>
    <t>jiayuan</t>
  </si>
  <si>
    <t>兰虎</t>
  </si>
  <si>
    <t>shengsi</t>
  </si>
  <si>
    <t>决斗场管理员</t>
  </si>
  <si>
    <t>决斗场</t>
  </si>
  <si>
    <t>帮派管理员</t>
  </si>
  <si>
    <t>gonghuiguanliyuan</t>
  </si>
  <si>
    <t>孩子孕育</t>
  </si>
  <si>
    <t>孩子技能书兑换</t>
  </si>
  <si>
    <t>孩子技能书</t>
  </si>
  <si>
    <t>超级大熊猫</t>
  </si>
  <si>
    <t>武神坛冠军雕塑</t>
  </si>
  <si>
    <t>◇◆武神坛◆◇荣誉冠军◆◇</t>
  </si>
  <si>
    <t>超级神犬</t>
  </si>
  <si>
    <t>超级神猴</t>
  </si>
  <si>
    <t>1010158</t>
  </si>
  <si>
    <t>神兽荣誉商店</t>
  </si>
  <si>
    <t>超级赤焰兽</t>
  </si>
  <si>
    <t>1010159</t>
  </si>
  <si>
    <t>超级赤炎妖</t>
  </si>
  <si>
    <t>超级神羊</t>
  </si>
  <si>
    <t>1010154</t>
  </si>
  <si>
    <t>超级神鸡</t>
  </si>
  <si>
    <t>超级神猪</t>
  </si>
  <si>
    <t>房屋管理员废弃</t>
  </si>
  <si>
    <t>房屋管理员</t>
  </si>
  <si>
    <t>咕噜咕噜</t>
  </si>
  <si>
    <t>吉里吉里</t>
  </si>
  <si>
    <t>交易所</t>
  </si>
  <si>
    <t>帮派竞赛接引人</t>
  </si>
  <si>
    <t>公会战大使</t>
  </si>
  <si>
    <t>布莱同需</t>
  </si>
  <si>
    <t>钱多多</t>
  </si>
  <si>
    <t>gailiweisi</t>
  </si>
  <si>
    <t>xuanshang</t>
  </si>
  <si>
    <t>卡尔</t>
  </si>
  <si>
    <t>地精市场</t>
  </si>
  <si>
    <t>吴举人</t>
  </si>
  <si>
    <t>可疑的家伙</t>
  </si>
  <si>
    <t>haidege</t>
  </si>
  <si>
    <t>海德戈</t>
  </si>
  <si>
    <t>邪恶教派</t>
  </si>
  <si>
    <t>邪恶教派信徒</t>
  </si>
  <si>
    <t>雷黑子</t>
  </si>
  <si>
    <t>李善人</t>
  </si>
  <si>
    <t>musi</t>
  </si>
  <si>
    <t>老孙头</t>
  </si>
  <si>
    <t>saer</t>
  </si>
  <si>
    <t>索尔</t>
  </si>
  <si>
    <t>saer_001.ogg</t>
  </si>
  <si>
    <t>saer_002.ogg</t>
  </si>
  <si>
    <t>saer_003.ogg</t>
  </si>
  <si>
    <t>saer_004.ogg</t>
  </si>
  <si>
    <t>宠物仙子</t>
  </si>
  <si>
    <t>chongwuxunlianshi</t>
  </si>
  <si>
    <t>宠物寄存</t>
  </si>
  <si>
    <t>chongwuxunlian_1.ogg</t>
  </si>
  <si>
    <t>chongwuxunlian_2.ogg</t>
  </si>
  <si>
    <t>chongwuxunlian_3.ogg</t>
  </si>
  <si>
    <t>chongwuxunlian_4.ogg</t>
  </si>
  <si>
    <t>隐匿者</t>
  </si>
  <si>
    <t>nvzei</t>
  </si>
  <si>
    <t>小妖</t>
  </si>
  <si>
    <t>tongniu</t>
  </si>
  <si>
    <t>艾格纳</t>
  </si>
  <si>
    <t>agela</t>
  </si>
  <si>
    <t>玛格汉信使</t>
  </si>
  <si>
    <t>玛格汉兽人信使</t>
  </si>
  <si>
    <t>板牙</t>
  </si>
  <si>
    <t>南瓜娃娃</t>
  </si>
  <si>
    <t>熊猫人</t>
  </si>
  <si>
    <t>xiongmaoren</t>
  </si>
  <si>
    <t>程夫人</t>
  </si>
  <si>
    <t>aoerde</t>
  </si>
  <si>
    <t>阿利斯塔</t>
  </si>
  <si>
    <t>aoerde_001.ogg</t>
  </si>
  <si>
    <t>aoerde_002.ogg</t>
  </si>
  <si>
    <t>鳄鱼</t>
  </si>
  <si>
    <t>dajionggui</t>
  </si>
  <si>
    <t>灵魂医者</t>
  </si>
  <si>
    <t>linghunyizhe</t>
  </si>
  <si>
    <t>180159_03.ogg</t>
  </si>
  <si>
    <t>黑兽</t>
  </si>
  <si>
    <t>heishou</t>
  </si>
  <si>
    <t>猴小仙</t>
  </si>
  <si>
    <t>旅馆老板</t>
  </si>
  <si>
    <t>布莱摩尔贵族</t>
  </si>
  <si>
    <t>dunhuoerdeguizu</t>
  </si>
  <si>
    <t>布莱摩尔领主</t>
  </si>
  <si>
    <t>bulaikemoer</t>
  </si>
  <si>
    <t>角斗士奴隶</t>
  </si>
  <si>
    <t>juedoushinuli</t>
  </si>
  <si>
    <t>先知麦</t>
  </si>
  <si>
    <t>血小贱</t>
  </si>
  <si>
    <t>xuexiaojian</t>
  </si>
  <si>
    <t>牛头首领</t>
  </si>
  <si>
    <t>1010135</t>
  </si>
  <si>
    <t>妖风的尸体</t>
  </si>
  <si>
    <t>alugaodeshiti</t>
  </si>
  <si>
    <t>阿撸高的尸体</t>
  </si>
  <si>
    <t>aersasi</t>
  </si>
  <si>
    <t>呜喵王</t>
  </si>
  <si>
    <t>aersasi_1.ogg</t>
  </si>
  <si>
    <t>aersasi_2.ogg</t>
  </si>
  <si>
    <t>aersasi_3.ogg</t>
  </si>
  <si>
    <t>molangwogen</t>
  </si>
  <si>
    <t>魔狼翻天怪</t>
  </si>
  <si>
    <t>molangwogen_001.ogg</t>
  </si>
  <si>
    <t>wendesuoeryuanshuai</t>
  </si>
  <si>
    <t>walianguowang</t>
  </si>
  <si>
    <t>土地</t>
  </si>
  <si>
    <t>jianna</t>
  </si>
  <si>
    <t>幽灵狼</t>
  </si>
  <si>
    <t>土地亲信</t>
  </si>
  <si>
    <t>tabeisa</t>
  </si>
  <si>
    <t>maligousi</t>
  </si>
  <si>
    <t>蓝龙之王</t>
  </si>
  <si>
    <t>亨利</t>
  </si>
  <si>
    <t>hengli</t>
  </si>
  <si>
    <t>查尔斯</t>
  </si>
  <si>
    <t>chaersi</t>
  </si>
  <si>
    <t>大法官</t>
  </si>
  <si>
    <t>炎魔</t>
  </si>
  <si>
    <t>测试NPC</t>
  </si>
  <si>
    <t>魔物斥候</t>
  </si>
  <si>
    <t>神秘隐士</t>
  </si>
  <si>
    <t>隐士</t>
  </si>
  <si>
    <t>地中海</t>
  </si>
  <si>
    <t>dizhonghai_1.ogg</t>
  </si>
  <si>
    <t>dizhonghai_2.ogg</t>
  </si>
  <si>
    <t>dizhonghai_3.ogg</t>
  </si>
  <si>
    <t>dizhonghai_4.ogg</t>
  </si>
  <si>
    <t>画师</t>
  </si>
  <si>
    <t>不速之客</t>
  </si>
  <si>
    <t>九头虫</t>
  </si>
  <si>
    <t>守城人</t>
  </si>
  <si>
    <t>泰兰卫兵</t>
  </si>
  <si>
    <t>检察官卫兵</t>
  </si>
  <si>
    <t>地牢指挥官</t>
  </si>
  <si>
    <t>中奶怀特</t>
  </si>
  <si>
    <t>千年僵尸</t>
  </si>
  <si>
    <t>宝箱</t>
  </si>
  <si>
    <t>范班</t>
  </si>
  <si>
    <t>龙傲</t>
  </si>
  <si>
    <t>魔物先锋</t>
  </si>
  <si>
    <t>爪牙</t>
  </si>
  <si>
    <t>魔物精英</t>
  </si>
  <si>
    <t>魔物爪牙</t>
  </si>
  <si>
    <t>盗贼姑娘</t>
  </si>
  <si>
    <t>花妖</t>
  </si>
  <si>
    <t>年轻人</t>
  </si>
  <si>
    <t>卫兵俘虏</t>
  </si>
  <si>
    <t>野蛮卫兵</t>
  </si>
  <si>
    <t>俘虏</t>
  </si>
  <si>
    <t>妇人</t>
  </si>
  <si>
    <t>祖母盖瑞安</t>
  </si>
  <si>
    <t>医师</t>
  </si>
  <si>
    <t>嘲风</t>
  </si>
  <si>
    <t>空灵</t>
  </si>
  <si>
    <t>战士</t>
  </si>
  <si>
    <t>洛斯</t>
  </si>
  <si>
    <t>树灵长老</t>
  </si>
  <si>
    <t>魔王</t>
  </si>
  <si>
    <t>深渊魔王</t>
  </si>
  <si>
    <t>深渊魔王魔王</t>
  </si>
  <si>
    <t>恐惧魔王</t>
  </si>
  <si>
    <t>恐惧魔王
魔王</t>
  </si>
  <si>
    <t>女弟子</t>
  </si>
  <si>
    <t>发狂的龙兽</t>
  </si>
  <si>
    <t>发狂的野猪人</t>
  </si>
  <si>
    <t>人类战士</t>
  </si>
  <si>
    <t>猪族战士</t>
  </si>
  <si>
    <t>兽人战士</t>
  </si>
  <si>
    <t>大德鲁伊</t>
  </si>
  <si>
    <t>死亡骑士</t>
  </si>
  <si>
    <t>黑岩将军</t>
  </si>
  <si>
    <t>傀儡统帅</t>
  </si>
  <si>
    <t>女妖</t>
  </si>
  <si>
    <t>1010151</t>
  </si>
  <si>
    <t>鬼1</t>
  </si>
  <si>
    <t>恶魔</t>
  </si>
  <si>
    <t>1010152</t>
  </si>
  <si>
    <t>鬼2</t>
  </si>
  <si>
    <t>冤魂</t>
  </si>
  <si>
    <t>鬼3</t>
  </si>
  <si>
    <t>僵尸</t>
  </si>
  <si>
    <t>1010143</t>
  </si>
  <si>
    <t>鬼4</t>
  </si>
  <si>
    <t>1010127</t>
  </si>
  <si>
    <t>鬼5</t>
  </si>
  <si>
    <t>鬼6</t>
  </si>
  <si>
    <t>鬼7</t>
  </si>
  <si>
    <t>鬼8</t>
  </si>
  <si>
    <t>鬼9</t>
  </si>
  <si>
    <t>鬼10</t>
  </si>
  <si>
    <t>天灾魔王</t>
  </si>
  <si>
    <t>亢金龙</t>
  </si>
  <si>
    <t>星宿</t>
  </si>
  <si>
    <t>燃烧军团喽啰4</t>
  </si>
  <si>
    <t>尾火虎</t>
  </si>
  <si>
    <t>燃烧军团喽啰5</t>
  </si>
  <si>
    <t>房日兔</t>
  </si>
  <si>
    <t>燃烧军团喽啰6</t>
  </si>
  <si>
    <t>氐土貉</t>
  </si>
  <si>
    <t>燃烧军团喽啰7</t>
  </si>
  <si>
    <t>角木蛟</t>
  </si>
  <si>
    <t>燃烧军团喽啰8</t>
  </si>
  <si>
    <t>心月狐</t>
  </si>
  <si>
    <t>燃烧军团喽啰9</t>
  </si>
  <si>
    <t>箕水豹</t>
  </si>
  <si>
    <t>安纳塞隆</t>
  </si>
  <si>
    <t>卡兹洛加</t>
  </si>
  <si>
    <t>阿兹加洛</t>
  </si>
  <si>
    <t>亢金龙之怒</t>
  </si>
  <si>
    <t>尾火虎之怒</t>
  </si>
  <si>
    <t>房日兔之怒</t>
  </si>
  <si>
    <t>氐土貉之怒</t>
  </si>
  <si>
    <t>角木蛟之怒</t>
  </si>
  <si>
    <t>心月狐之怒</t>
  </si>
  <si>
    <t>箕水豹之怒</t>
  </si>
  <si>
    <t>狂暴的安纳塞隆</t>
  </si>
  <si>
    <t>狂暴的卡兹洛加</t>
  </si>
  <si>
    <t>狂暴的阿兹加洛</t>
  </si>
  <si>
    <t>远古喵妖</t>
  </si>
  <si>
    <t>封妖</t>
  </si>
  <si>
    <t>古神爪牙1</t>
  </si>
  <si>
    <t>远古喵怪</t>
  </si>
  <si>
    <t>古神爪牙2</t>
  </si>
  <si>
    <t>无形的哈斯塔</t>
  </si>
  <si>
    <t>古神爪牙3</t>
  </si>
  <si>
    <t>远古花妖</t>
  </si>
  <si>
    <t>古神爪牙4</t>
  </si>
  <si>
    <t>远古虾兵</t>
  </si>
  <si>
    <t>古神爪牙5</t>
  </si>
  <si>
    <t>远古蟹将</t>
  </si>
  <si>
    <t>古神爪牙6</t>
  </si>
  <si>
    <t>心月狐之影</t>
  </si>
  <si>
    <t>古神爪牙7</t>
  </si>
  <si>
    <t>远古龟精</t>
  </si>
  <si>
    <t>古神爪牙8</t>
  </si>
  <si>
    <t>远古蚌精</t>
  </si>
  <si>
    <t>古神爪牙9</t>
  </si>
  <si>
    <t>远古僵尸</t>
  </si>
  <si>
    <t>古神爪牙10</t>
  </si>
  <si>
    <t>远古孤魂</t>
  </si>
  <si>
    <t>古神爪牙11</t>
  </si>
  <si>
    <t>远古夜叉</t>
  </si>
  <si>
    <t>古神爪牙12</t>
  </si>
  <si>
    <t>远古狮王</t>
  </si>
  <si>
    <t>古神爪牙13</t>
  </si>
  <si>
    <t>古神爪牙14</t>
  </si>
  <si>
    <t>古神爪牙15</t>
  </si>
  <si>
    <t>古神爪牙16</t>
  </si>
  <si>
    <t>古神爪牙17</t>
  </si>
  <si>
    <t>古神爪牙18</t>
  </si>
  <si>
    <t>古神爪牙19</t>
  </si>
  <si>
    <t>古神爪牙20</t>
  </si>
  <si>
    <t>古神爪牙21</t>
  </si>
  <si>
    <t>★蚩尤战神★</t>
  </si>
  <si>
    <t>挑战蚩尤</t>
  </si>
  <si>
    <t>古神1</t>
  </si>
  <si>
    <t>古神2</t>
  </si>
  <si>
    <t>古神3</t>
  </si>
  <si>
    <t>古神4</t>
  </si>
  <si>
    <t>古神5</t>
  </si>
  <si>
    <t>古神6</t>
  </si>
  <si>
    <t>大萌萌血老厚了</t>
  </si>
  <si>
    <t>大萌萌技能测试怪</t>
  </si>
  <si>
    <t>14_c1.ogg</t>
  </si>
  <si>
    <t>贼王吴二枫</t>
  </si>
  <si>
    <t>盗匪</t>
  </si>
  <si>
    <t>藏宝图贼王</t>
  </si>
  <si>
    <t>野猪宝宝</t>
  </si>
  <si>
    <t>幼儿园宝宝</t>
  </si>
  <si>
    <t>老虎宝宝</t>
  </si>
  <si>
    <t>1010113</t>
  </si>
  <si>
    <t>囧龟宝宝</t>
  </si>
  <si>
    <t>1010115</t>
  </si>
  <si>
    <t>牛头宝宝</t>
  </si>
  <si>
    <t>1010116</t>
  </si>
  <si>
    <t>马面宝宝</t>
  </si>
  <si>
    <t>1010117</t>
  </si>
  <si>
    <t>龟丞相宝宝</t>
  </si>
  <si>
    <t>1010118</t>
  </si>
  <si>
    <t>净瓶女娲</t>
  </si>
  <si>
    <t>虾兵宝宝</t>
  </si>
  <si>
    <t>蟹将宝宝</t>
  </si>
  <si>
    <t>1010121</t>
  </si>
  <si>
    <t>古代瑞兽宝宝</t>
  </si>
  <si>
    <t>1010122</t>
  </si>
  <si>
    <t>灵符女娲</t>
  </si>
  <si>
    <t>1010123</t>
  </si>
  <si>
    <t>鲛将军宝宝</t>
  </si>
  <si>
    <t>蚌仙子宝宝</t>
  </si>
  <si>
    <t>1010125</t>
  </si>
  <si>
    <t>龙女宝宝</t>
  </si>
  <si>
    <t>1010126</t>
  </si>
  <si>
    <t>律法女娲</t>
  </si>
  <si>
    <t>千年僵尸宝宝</t>
  </si>
  <si>
    <t>1010128</t>
  </si>
  <si>
    <t>孤魂野鬼宝宝</t>
  </si>
  <si>
    <t>1010129</t>
  </si>
  <si>
    <t>忘川童子宝宝</t>
  </si>
  <si>
    <t>蜃蛇</t>
  </si>
  <si>
    <t>1010131</t>
  </si>
  <si>
    <t>吸血鬼</t>
  </si>
  <si>
    <t>夜叉宝宝</t>
  </si>
  <si>
    <t>1010133</t>
  </si>
  <si>
    <t>幽莹娃娃宝宝</t>
  </si>
  <si>
    <t>鬼将宝宝</t>
  </si>
  <si>
    <t>幽冥书生</t>
  </si>
  <si>
    <t>蟠桃童子宝宝</t>
  </si>
  <si>
    <t>天兵宝宝</t>
  </si>
  <si>
    <t>巨灵神将宝宝</t>
  </si>
  <si>
    <t>御风童子灵兽</t>
  </si>
  <si>
    <t>珍露童子宝宝</t>
  </si>
  <si>
    <t>猴小仙宝宝</t>
  </si>
  <si>
    <t>1010142</t>
  </si>
  <si>
    <t>芙蓉仙子宝宝</t>
  </si>
  <si>
    <t>巡游天神</t>
  </si>
  <si>
    <t>蛟龙宝宝</t>
  </si>
  <si>
    <t>1010145</t>
  </si>
  <si>
    <t>凤凰仙子宝宝</t>
  </si>
  <si>
    <t>鬼剑宝宝</t>
  </si>
  <si>
    <t>羽云仙子</t>
  </si>
  <si>
    <t>布雨神君宝宝</t>
  </si>
  <si>
    <t>武罗仙子宝宝</t>
  </si>
  <si>
    <t>噬天虎宝宝</t>
  </si>
  <si>
    <t>雾中仙</t>
  </si>
  <si>
    <t>变异野猪宝宝</t>
  </si>
  <si>
    <t>变异老虎宝宝</t>
  </si>
  <si>
    <t>变异囧龟宝宝</t>
  </si>
  <si>
    <t>变异牛头宝宝</t>
  </si>
  <si>
    <t>变异马面宝宝</t>
  </si>
  <si>
    <t>变异龟丞相宝宝</t>
  </si>
  <si>
    <t>变异净瓶女娲</t>
  </si>
  <si>
    <t>变异虾兵宝宝</t>
  </si>
  <si>
    <t>变异蟹将宝宝</t>
  </si>
  <si>
    <t>变异古代瑞兽宝宝</t>
  </si>
  <si>
    <t>变异灵符女娲</t>
  </si>
  <si>
    <t>变异鲛将军宝宝</t>
  </si>
  <si>
    <t>变异蚌仙子宝宝</t>
  </si>
  <si>
    <t>变异龙女宝宝</t>
  </si>
  <si>
    <t>变异律法女娲</t>
  </si>
  <si>
    <t>变异千年僵尸宝宝</t>
  </si>
  <si>
    <t>变异孤魂野鬼宝宝</t>
  </si>
  <si>
    <t>变异忘川童子宝宝</t>
  </si>
  <si>
    <t>变异蜃蛇</t>
  </si>
  <si>
    <t>变异吸血鬼</t>
  </si>
  <si>
    <t>变异夜叉宝宝</t>
  </si>
  <si>
    <t>变异幽莹娃娃宝宝</t>
  </si>
  <si>
    <t>变异鬼将宝宝</t>
  </si>
  <si>
    <t>变异幽冥书生</t>
  </si>
  <si>
    <t>变异蟠桃童子宝宝</t>
  </si>
  <si>
    <t>变异天兵宝宝</t>
  </si>
  <si>
    <t>变异巨灵神将宝宝</t>
  </si>
  <si>
    <t>变异御风童子灵兽</t>
  </si>
  <si>
    <t>变异珍露童子宝宝</t>
  </si>
  <si>
    <t>变异猴小仙宝宝</t>
  </si>
  <si>
    <t>变异芙蓉仙子宝宝</t>
  </si>
  <si>
    <t>变异巡游天神</t>
  </si>
  <si>
    <t>变异蛟龙宝宝</t>
  </si>
  <si>
    <t>变异凤凰仙子宝宝</t>
  </si>
  <si>
    <t>变异鬼剑宝宝</t>
  </si>
  <si>
    <t>变异羽云仙子</t>
  </si>
  <si>
    <t>变异布雨神君宝宝</t>
  </si>
  <si>
    <t>变异武罗仙子宝宝</t>
  </si>
  <si>
    <t>变异噬天虎宝宝</t>
  </si>
  <si>
    <t>亥猪</t>
  </si>
  <si>
    <t>十二元辰</t>
  </si>
  <si>
    <t>戌狗</t>
  </si>
  <si>
    <t>酉鸡</t>
  </si>
  <si>
    <t>申猴</t>
  </si>
  <si>
    <t>末羊</t>
  </si>
  <si>
    <t>午马</t>
  </si>
  <si>
    <t>巳蛇</t>
  </si>
  <si>
    <t>辰龙</t>
  </si>
  <si>
    <t>卯兔</t>
  </si>
  <si>
    <t>寅虎</t>
  </si>
  <si>
    <t>丑牛</t>
  </si>
  <si>
    <t>子鼠</t>
  </si>
  <si>
    <t>巡山小妖</t>
  </si>
  <si>
    <t>大王叫我来巡山</t>
  </si>
  <si>
    <t>巡山-傀儡妖</t>
  </si>
  <si>
    <t>巡山老妖</t>
  </si>
  <si>
    <t>巡山-傀儡鬼</t>
  </si>
  <si>
    <t>巡山-黑老妖</t>
  </si>
  <si>
    <t>守护者</t>
  </si>
  <si>
    <t>1★守护者</t>
  </si>
  <si>
    <t>★</t>
  </si>
  <si>
    <t>2★守护者</t>
  </si>
  <si>
    <t>★★</t>
  </si>
  <si>
    <t>3★守护者</t>
  </si>
  <si>
    <t>★★★</t>
  </si>
  <si>
    <t>学院院长</t>
  </si>
  <si>
    <t>1★学院院长</t>
  </si>
  <si>
    <t>2★学院院长</t>
  </si>
  <si>
    <t>3★学院院长</t>
  </si>
  <si>
    <t>贸易大王</t>
  </si>
  <si>
    <t>1★贸易大王</t>
  </si>
  <si>
    <t>2★贸易大王</t>
  </si>
  <si>
    <t>3★贸易大王</t>
  </si>
  <si>
    <t>驭兽大师</t>
  </si>
  <si>
    <t>1★驭兽大师</t>
  </si>
  <si>
    <t>2★驭兽大师</t>
  </si>
  <si>
    <t>3★驭兽大师</t>
  </si>
  <si>
    <t>锻造大师</t>
  </si>
  <si>
    <t>1★锻造大师</t>
  </si>
  <si>
    <t>2★锻造大师</t>
  </si>
  <si>
    <t>3★锻造大师</t>
  </si>
  <si>
    <t>熊猫王</t>
  </si>
  <si>
    <t>巨魔之都2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</si>
  <si>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002</t>
    </r>
  </si>
  <si>
    <t>巨魔之都3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</si>
  <si>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003</t>
    </r>
  </si>
  <si>
    <t>巨魔之都4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</si>
  <si>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004</t>
    </r>
  </si>
  <si>
    <t>巨魔之都5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</si>
  <si>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005</t>
    </r>
  </si>
  <si>
    <t>诅咒之塔1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</si>
  <si>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008</t>
    </r>
  </si>
  <si>
    <t>诅咒之塔2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</si>
  <si>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009</t>
    </r>
  </si>
  <si>
    <t>诅咒之塔3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</si>
  <si>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010</t>
    </r>
  </si>
  <si>
    <t>诅咒之塔4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</si>
  <si>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011</t>
    </r>
  </si>
  <si>
    <t>诅咒之塔5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</si>
  <si>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012</t>
    </r>
  </si>
  <si>
    <t>巨魔之都1(精英)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</si>
  <si>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006</t>
    </r>
  </si>
  <si>
    <t>巨魔之都2(精英)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</si>
  <si>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007</t>
    </r>
  </si>
  <si>
    <t>巨魔之都3(精英)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</si>
  <si>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013</t>
    </r>
  </si>
  <si>
    <t>巨魔之都4(精英)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</si>
  <si>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014</t>
    </r>
  </si>
  <si>
    <t>巨魔之都5(精英)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</si>
  <si>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015</t>
    </r>
  </si>
  <si>
    <t>诅咒之塔1(精英)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</si>
  <si>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016</t>
    </r>
  </si>
  <si>
    <t>诅咒之塔2(精英)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</si>
  <si>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017</t>
    </r>
  </si>
  <si>
    <t>诅咒之塔3(精英)</t>
  </si>
  <si>
    <t>诅咒之塔4(精英)</t>
  </si>
  <si>
    <t>诅咒之塔5(精英)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</si>
  <si>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018</t>
    </r>
  </si>
  <si>
    <t>组队副本预留</t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</si>
  <si>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019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</si>
  <si>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020</t>
    </r>
  </si>
  <si>
    <r>
      <rPr>
        <sz val="10"/>
        <rFont val="宋体"/>
        <charset val="134"/>
      </rPr>
      <t>哀嚎洞穴</t>
    </r>
    <r>
      <rPr>
        <sz val="10"/>
        <rFont val="Arial"/>
        <charset val="134"/>
      </rPr>
      <t>001</t>
    </r>
  </si>
  <si>
    <t>蛟龙</t>
  </si>
  <si>
    <t>1010114</t>
  </si>
  <si>
    <t>可使用ID</t>
  </si>
  <si>
    <t>迷乱的霍克</t>
  </si>
  <si>
    <t>残酷的加顿</t>
  </si>
  <si>
    <t>迷茫的卡尔</t>
  </si>
  <si>
    <t>邪恶的伊库</t>
  </si>
  <si>
    <t>暗黑的信徒</t>
  </si>
  <si>
    <t>忧郁的卡西</t>
  </si>
  <si>
    <t>疯狂的戴夫</t>
  </si>
  <si>
    <t>1010140</t>
  </si>
  <si>
    <t>嚣张的杰克</t>
  </si>
  <si>
    <t>通缉天灾1</t>
  </si>
  <si>
    <t>通缉天灾2</t>
  </si>
  <si>
    <t>通缉天灾3</t>
  </si>
  <si>
    <t>通缉天灾4</t>
  </si>
  <si>
    <t>通缉天灾5</t>
  </si>
  <si>
    <t>通缉天灾6</t>
  </si>
  <si>
    <t>通缉天灾7</t>
  </si>
  <si>
    <t>1010138</t>
  </si>
  <si>
    <t>通缉天灾8</t>
  </si>
  <si>
    <t>迪奥布斯的宝箱</t>
  </si>
  <si>
    <t>恋宝矮人</t>
  </si>
  <si>
    <t>恋宝</t>
  </si>
  <si>
    <t>贪食公主</t>
  </si>
  <si>
    <t>贪食</t>
  </si>
  <si>
    <t>书魂囧龟</t>
  </si>
  <si>
    <t>好学</t>
  </si>
  <si>
    <t>惧控骑士</t>
  </si>
  <si>
    <t>惧控</t>
  </si>
  <si>
    <t>铁甲哨兵</t>
  </si>
  <si>
    <t>铁甲</t>
  </si>
  <si>
    <t>敌法师</t>
  </si>
  <si>
    <t>敌法</t>
  </si>
  <si>
    <t>惧控鲁西拂</t>
  </si>
  <si>
    <t>精英惧控</t>
  </si>
  <si>
    <t>铁甲玛格达</t>
  </si>
  <si>
    <t>精英铁甲</t>
  </si>
  <si>
    <t>敌法吉纳斯</t>
  </si>
  <si>
    <t>精英敌法</t>
  </si>
  <si>
    <t>惧控加尔罗</t>
  </si>
  <si>
    <t>铁甲嘉顿</t>
  </si>
  <si>
    <t>1010153</t>
  </si>
  <si>
    <t>敌法沙思拉</t>
  </si>
  <si>
    <t>惧控萨利弗</t>
  </si>
  <si>
    <t>铁甲古雷曼</t>
  </si>
  <si>
    <t>敌法埃克图斯</t>
  </si>
  <si>
    <t>拉格罗斯</t>
  </si>
  <si>
    <t>领主</t>
  </si>
  <si>
    <t>恋宝南瓜</t>
  </si>
  <si>
    <t>贪食饿犬</t>
  </si>
  <si>
    <t>鳄鱼问答</t>
  </si>
  <si>
    <t>惧控地卜师</t>
  </si>
  <si>
    <t>铁甲狂乱者</t>
  </si>
  <si>
    <t>敌法缚法者</t>
  </si>
  <si>
    <t>惧控纳兹科尔</t>
  </si>
  <si>
    <t>铁甲沃兹塔斯</t>
  </si>
  <si>
    <t>敌法蕾丝雷尔</t>
  </si>
  <si>
    <t>惧控弗莫诺</t>
  </si>
  <si>
    <t>铁甲艾欧克</t>
  </si>
  <si>
    <t>敌法法艾克</t>
  </si>
  <si>
    <t>惧控欧希克娅</t>
  </si>
  <si>
    <t>铁甲克罗姆斯</t>
  </si>
  <si>
    <t>敌法科罗斯克</t>
  </si>
  <si>
    <t>尼弗瑞安</t>
  </si>
  <si>
    <t>恋宝巨龙</t>
  </si>
  <si>
    <t>贪食匹格</t>
  </si>
  <si>
    <t>怪兽问答</t>
  </si>
  <si>
    <t>惧控沙行者</t>
  </si>
  <si>
    <t>1010162</t>
  </si>
  <si>
    <t>铁甲角斗士</t>
  </si>
  <si>
    <t>敌法吞噬者</t>
  </si>
  <si>
    <t>1010112</t>
  </si>
  <si>
    <t>惧控猴小仙</t>
  </si>
  <si>
    <t>铁甲雅儿吉公主</t>
  </si>
  <si>
    <t>敌法维姆克利领主</t>
  </si>
  <si>
    <t>惧控战争守卫沙尔</t>
  </si>
  <si>
    <t>铁甲顽强的范克</t>
  </si>
  <si>
    <t>敌法哈火蓝公主</t>
  </si>
  <si>
    <t>惧控奥罗尔</t>
  </si>
  <si>
    <t>铁甲双子刀皇</t>
  </si>
  <si>
    <t>敌法双子剑皇</t>
  </si>
  <si>
    <t>克鲁苏</t>
  </si>
  <si>
    <t>藏宝图主怪</t>
  </si>
  <si>
    <t>悬赏任务主怪</t>
  </si>
  <si>
    <t>地主</t>
  </si>
  <si>
    <t>欠债者</t>
  </si>
  <si>
    <t>捣乱的霍克</t>
  </si>
  <si>
    <t>捣乱的加顿</t>
  </si>
  <si>
    <t>捣乱的卡尔</t>
  </si>
  <si>
    <t>捣乱的伊库</t>
  </si>
  <si>
    <t>捣乱的信徒</t>
  </si>
  <si>
    <t>捣乱的卡西</t>
  </si>
  <si>
    <t>捣乱的戴夫</t>
  </si>
  <si>
    <t>捣乱的杰克</t>
  </si>
  <si>
    <t>毒牙克德拉</t>
  </si>
  <si>
    <t>溶洞-1</t>
  </si>
  <si>
    <t>腐蚀者布莱恩</t>
  </si>
  <si>
    <t>溶洞-2</t>
  </si>
  <si>
    <t>大冏龟</t>
  </si>
  <si>
    <t>溶洞-3</t>
  </si>
  <si>
    <t>永生者沃尔丹</t>
  </si>
  <si>
    <t>溶洞-4</t>
  </si>
  <si>
    <t>毒牙之王瑟芬</t>
  </si>
  <si>
    <t>溶洞-5</t>
  </si>
  <si>
    <t>食人魔矿工</t>
  </si>
  <si>
    <t>废矿-1</t>
  </si>
  <si>
    <t>食人魔工头</t>
  </si>
  <si>
    <t>废矿-2</t>
  </si>
  <si>
    <t>鱼人曲奇</t>
  </si>
  <si>
    <t>废矿-3</t>
  </si>
  <si>
    <t>重拳男士</t>
  </si>
  <si>
    <t>废矿-4</t>
  </si>
  <si>
    <t>范克里斯</t>
  </si>
  <si>
    <t>废矿-5</t>
  </si>
  <si>
    <t>洗碗莱恩</t>
  </si>
  <si>
    <t>银堡-1</t>
  </si>
  <si>
    <t>狼王杜雷斯</t>
  </si>
  <si>
    <t>银堡-2</t>
  </si>
  <si>
    <t>盲眼守卫</t>
  </si>
  <si>
    <t>银堡-3</t>
  </si>
  <si>
    <t>指挥官</t>
  </si>
  <si>
    <t>银堡-4</t>
  </si>
  <si>
    <t>银堡-5</t>
  </si>
  <si>
    <t>狂暴猪王</t>
  </si>
  <si>
    <t>荒泽-1</t>
  </si>
  <si>
    <t>亡语者</t>
  </si>
  <si>
    <t>荒泽-2</t>
  </si>
  <si>
    <t>小奶长者</t>
  </si>
  <si>
    <t>荒泽-3</t>
  </si>
  <si>
    <t>暴食者</t>
  </si>
  <si>
    <t>荒泽-4</t>
  </si>
  <si>
    <t>荒泽-5</t>
  </si>
  <si>
    <t>血色恶犬</t>
  </si>
  <si>
    <t>教堂-1</t>
  </si>
  <si>
    <t>训犬人</t>
  </si>
  <si>
    <t>奥法师</t>
  </si>
  <si>
    <t>教堂-2</t>
  </si>
  <si>
    <t>旋风骑士</t>
  </si>
  <si>
    <t>教堂-3</t>
  </si>
  <si>
    <t>教堂-4</t>
  </si>
  <si>
    <t>鞭笞者</t>
  </si>
  <si>
    <t>埋骨圣地-1</t>
  </si>
  <si>
    <t>腐烂元素</t>
  </si>
  <si>
    <t>埋骨圣地-2</t>
  </si>
  <si>
    <t>冰巨人</t>
  </si>
  <si>
    <t>埋骨圣地-3</t>
  </si>
  <si>
    <t>马面</t>
  </si>
  <si>
    <t>埋骨圣地-4</t>
  </si>
  <si>
    <t>玛拉得公主</t>
  </si>
  <si>
    <t>埋骨圣地-5</t>
  </si>
  <si>
    <t>弈莫塔</t>
  </si>
  <si>
    <t>遗迹-1</t>
  </si>
  <si>
    <t>践踏者</t>
  </si>
  <si>
    <t>遗迹-2</t>
  </si>
  <si>
    <t>埃隆霸波</t>
  </si>
  <si>
    <t>遗迹-3</t>
  </si>
  <si>
    <t>哥多氪大王</t>
  </si>
  <si>
    <t>遗迹-4</t>
  </si>
  <si>
    <t>奥茨莱恩</t>
  </si>
  <si>
    <t>遗迹-5</t>
  </si>
  <si>
    <t>塔拉里恩</t>
  </si>
  <si>
    <t>祭坛-1</t>
  </si>
  <si>
    <t>祭坛-2</t>
  </si>
  <si>
    <t>要拉唯握</t>
  </si>
  <si>
    <t>祭坛-3</t>
  </si>
  <si>
    <t>要塞卡耳</t>
  </si>
  <si>
    <t>祭坛-4</t>
  </si>
  <si>
    <t>依兰内裤斯</t>
  </si>
  <si>
    <t>祭坛-5</t>
  </si>
  <si>
    <t>俺哥是将军</t>
  </si>
  <si>
    <t>深渊-1</t>
  </si>
  <si>
    <t>酒保</t>
  </si>
  <si>
    <t>深渊-2</t>
  </si>
  <si>
    <t>大使</t>
  </si>
  <si>
    <t>深渊-3</t>
  </si>
  <si>
    <t>大奶同需</t>
  </si>
  <si>
    <t>深渊-4</t>
  </si>
  <si>
    <t>锁惢深大帝</t>
  </si>
  <si>
    <t>深渊-5</t>
  </si>
  <si>
    <t>安娜丝美丽</t>
  </si>
  <si>
    <t>雾都-1</t>
  </si>
  <si>
    <t>苍白者</t>
  </si>
  <si>
    <t>雾都-2</t>
  </si>
  <si>
    <t>死骑瑞文</t>
  </si>
  <si>
    <t>雾都-3</t>
  </si>
  <si>
    <t>镇长</t>
  </si>
  <si>
    <t>雾都-4</t>
  </si>
  <si>
    <t>恐惧领主</t>
  </si>
  <si>
    <t>雾都-5</t>
  </si>
  <si>
    <t>恋宝地精</t>
  </si>
  <si>
    <t>贪食龙</t>
  </si>
  <si>
    <t>鱼人问答</t>
  </si>
  <si>
    <t>惧控普通主怪</t>
  </si>
  <si>
    <t>铁甲普通主怪</t>
  </si>
  <si>
    <t>敌法普通主怪</t>
  </si>
  <si>
    <t>惧控精英主怪</t>
  </si>
  <si>
    <t>铁甲精英主怪</t>
  </si>
  <si>
    <t>敌法精英主怪</t>
  </si>
  <si>
    <t>刀锋之王</t>
  </si>
  <si>
    <t>死亡之歌</t>
  </si>
  <si>
    <t>粉碎阴谋</t>
  </si>
  <si>
    <t>时空之路</t>
  </si>
  <si>
    <t>英雄平台</t>
  </si>
  <si>
    <t>野猪护卫</t>
  </si>
  <si>
    <t>哀嚎洞穴装饰NPC1</t>
  </si>
  <si>
    <t>哀嚎洞穴装饰NPC2</t>
  </si>
  <si>
    <t>卡拉猎犬</t>
  </si>
  <si>
    <t>哀嚎洞穴装饰NPC3</t>
  </si>
  <si>
    <t>哀嚎洞穴装饰NPC4</t>
  </si>
  <si>
    <t>小冏龟</t>
  </si>
  <si>
    <t>哀嚎洞穴装饰NPC5</t>
  </si>
  <si>
    <t>哀嚎洞穴装饰NPC6</t>
  </si>
  <si>
    <t>猎龙守卫</t>
  </si>
  <si>
    <t>哀嚎洞穴装饰NPC7</t>
  </si>
  <si>
    <t>哀嚎洞穴装饰NPC8</t>
  </si>
  <si>
    <t>德鲁伊追随者</t>
  </si>
  <si>
    <t>哀嚎洞穴装饰NPC9</t>
  </si>
  <si>
    <t>哀嚎洞穴装饰NPC10</t>
  </si>
  <si>
    <t>心魔</t>
  </si>
  <si>
    <t>古神</t>
  </si>
  <si>
    <t>海底猪妖</t>
  </si>
  <si>
    <t>秘境降妖~海底秘境~40</t>
  </si>
  <si>
    <t>海底虎怪</t>
  </si>
  <si>
    <t>羊怪冤魂</t>
  </si>
  <si>
    <t>花妖冤魂</t>
  </si>
  <si>
    <t>猴精冤魂</t>
  </si>
  <si>
    <t>锢魂精怪</t>
  </si>
  <si>
    <t>巡逻虾兵</t>
  </si>
  <si>
    <t>巡逻蟹怪</t>
  </si>
  <si>
    <t>巡逻海龟</t>
  </si>
  <si>
    <t>蚌精守卫</t>
  </si>
  <si>
    <t>鲛人守卫</t>
  </si>
  <si>
    <t>龙女守将</t>
  </si>
  <si>
    <t>水族精兵</t>
  </si>
  <si>
    <t>东海校尉</t>
  </si>
  <si>
    <t>龙宫督军</t>
  </si>
  <si>
    <t>伏波将军</t>
  </si>
  <si>
    <t>踏浪元帅</t>
  </si>
  <si>
    <t>龙卫军头领</t>
  </si>
  <si>
    <t>龙宫公主</t>
  </si>
  <si>
    <t>龙宫驸马</t>
  </si>
  <si>
    <t>勇武龙子</t>
  </si>
  <si>
    <t>多谋龙孙</t>
  </si>
  <si>
    <t>龙宫龙王</t>
  </si>
  <si>
    <t>灵感大王</t>
  </si>
  <si>
    <t>蜃气妖分身</t>
  </si>
  <si>
    <t>饿死鬼</t>
  </si>
  <si>
    <t>秘境降妖~地狱法阵~70</t>
  </si>
  <si>
    <t>吊死鬼</t>
  </si>
  <si>
    <t>血糊鬼</t>
  </si>
  <si>
    <t>落尸鬼</t>
  </si>
  <si>
    <t>哨声鬼</t>
  </si>
  <si>
    <t>无头鬼</t>
  </si>
  <si>
    <t>话痨鬼</t>
  </si>
  <si>
    <t>欠债鬼</t>
  </si>
  <si>
    <t>落水鬼</t>
  </si>
  <si>
    <t>还情鬼</t>
  </si>
  <si>
    <t>迷魂鬼</t>
  </si>
  <si>
    <t>还魂鬼</t>
  </si>
  <si>
    <t>撞死鬼</t>
  </si>
  <si>
    <t>影子鬼</t>
  </si>
  <si>
    <t>追梦鬼</t>
  </si>
  <si>
    <t>晦气鬼</t>
  </si>
  <si>
    <t>喜气鬼</t>
  </si>
  <si>
    <t>上身鬼</t>
  </si>
  <si>
    <t>怨气鬼</t>
  </si>
  <si>
    <t>丧气鬼</t>
  </si>
  <si>
    <t>小僵尸</t>
  </si>
  <si>
    <t>白毛僵尸</t>
  </si>
  <si>
    <t>吸血黑僵</t>
  </si>
  <si>
    <t>食魂跳尸</t>
  </si>
  <si>
    <t>插翅飞尸</t>
  </si>
  <si>
    <t>牛头</t>
  </si>
  <si>
    <t>黑无常</t>
  </si>
  <si>
    <t>白无常</t>
  </si>
  <si>
    <t>旱魃</t>
  </si>
  <si>
    <t>值时功曹</t>
  </si>
  <si>
    <t>秘境降妖~瑶池仙阵~90</t>
  </si>
  <si>
    <t>雷公</t>
  </si>
  <si>
    <t>电母</t>
  </si>
  <si>
    <t>风伯</t>
  </si>
  <si>
    <t>雨师</t>
  </si>
  <si>
    <t>云神</t>
  </si>
  <si>
    <t>金德星君</t>
  </si>
  <si>
    <t>木德星君</t>
  </si>
  <si>
    <t>水德星君</t>
  </si>
  <si>
    <t>火德星君</t>
  </si>
  <si>
    <t>土德星君</t>
  </si>
  <si>
    <t>摇光</t>
  </si>
  <si>
    <t>开阳</t>
  </si>
  <si>
    <t>玉衡</t>
  </si>
  <si>
    <t>天权</t>
  </si>
  <si>
    <t>天玑</t>
  </si>
  <si>
    <t>天璇</t>
  </si>
  <si>
    <t>天枢</t>
  </si>
  <si>
    <t>广目天王</t>
  </si>
  <si>
    <t>增长天王</t>
  </si>
  <si>
    <t>多闻天王</t>
  </si>
  <si>
    <t>持国天王</t>
  </si>
  <si>
    <t>哪吒</t>
  </si>
  <si>
    <t>李天王</t>
  </si>
  <si>
    <t>二郎神</t>
  </si>
  <si>
    <t>太上老君</t>
  </si>
  <si>
    <t>菩提老祖</t>
  </si>
  <si>
    <t>赤金宝箱</t>
  </si>
  <si>
    <t>福缘</t>
  </si>
  <si>
    <t>秘银宝箱</t>
  </si>
  <si>
    <t>ceshinpc2</t>
  </si>
  <si>
    <t>测试NPC2</t>
  </si>
  <si>
    <t>ceshinpc3</t>
  </si>
  <si>
    <t>测试NPC3</t>
  </si>
  <si>
    <t>ceshinpc4</t>
  </si>
  <si>
    <t>测试NPC4</t>
  </si>
  <si>
    <t>ceshinpc5</t>
  </si>
  <si>
    <t>测试NPC5</t>
  </si>
  <si>
    <t>远古守护者</t>
  </si>
  <si>
    <t>发狂的龙族</t>
  </si>
  <si>
    <t>德鲁伊</t>
  </si>
  <si>
    <t>监牢守卫</t>
  </si>
  <si>
    <t>魔物守卫</t>
  </si>
  <si>
    <t>艾凯门德</t>
  </si>
  <si>
    <t>远古恶魔</t>
  </si>
  <si>
    <t>海底鱼人</t>
  </si>
  <si>
    <t>海底鱼人尸体</t>
  </si>
  <si>
    <t>骷髅战士</t>
  </si>
  <si>
    <t>娜迦女妖</t>
  </si>
  <si>
    <t>忘川童子</t>
  </si>
  <si>
    <t>莫迪伦</t>
  </si>
  <si>
    <t>星界法师</t>
  </si>
  <si>
    <t>魔王侍卫</t>
  </si>
  <si>
    <t>德罗塞克</t>
  </si>
  <si>
    <t>魔王头领</t>
  </si>
  <si>
    <t>巴纳扎尔</t>
  </si>
  <si>
    <t>女王希尔</t>
  </si>
  <si>
    <t>女妖之王</t>
  </si>
  <si>
    <t>温雷莎</t>
  </si>
  <si>
    <t>游侠女妖</t>
  </si>
  <si>
    <t>游侠女妖温雷莎</t>
  </si>
  <si>
    <t>奥莉娅</t>
  </si>
  <si>
    <t>游侠女妖奥莉娅</t>
  </si>
  <si>
    <t>魔物士兵</t>
  </si>
  <si>
    <t>魔物士兵（追兵）</t>
  </si>
  <si>
    <t>霜寒守卫</t>
  </si>
  <si>
    <t>霜寒守卫（截杀）</t>
  </si>
  <si>
    <t>魔物精英（陷阱）</t>
  </si>
  <si>
    <t>霜寒守卫（陷阱）</t>
  </si>
  <si>
    <t>娇花</t>
  </si>
  <si>
    <t>法丝</t>
  </si>
  <si>
    <t>幽莹娃娃</t>
  </si>
  <si>
    <t>半人马</t>
  </si>
  <si>
    <t>远古虎妖</t>
  </si>
  <si>
    <t>远古蛇妖</t>
  </si>
  <si>
    <t>远古猪妖</t>
  </si>
  <si>
    <t>远古鲛将军</t>
  </si>
  <si>
    <t>远古野鬼</t>
  </si>
  <si>
    <t>远古天兵</t>
  </si>
  <si>
    <t>远古蛟龙</t>
  </si>
  <si>
    <t>远古凤凰</t>
  </si>
  <si>
    <t>远古猴妖</t>
  </si>
  <si>
    <t>远古鬼将</t>
  </si>
  <si>
    <t>远古天神</t>
  </si>
  <si>
    <t>远古书生</t>
  </si>
  <si>
    <t>远古泡泡</t>
  </si>
  <si>
    <t>远古芙蓉</t>
  </si>
  <si>
    <t>远古律法</t>
  </si>
  <si>
    <t>待定</t>
  </si>
  <si>
    <t>狂怒野猪</t>
  </si>
  <si>
    <t>穴居蟹将</t>
  </si>
  <si>
    <t>变异龙兽</t>
  </si>
  <si>
    <t>tumo</t>
  </si>
  <si>
    <t>寻宝者</t>
  </si>
  <si>
    <t>掘金客</t>
  </si>
  <si>
    <t>强盗</t>
  </si>
  <si>
    <t>护宝者</t>
  </si>
  <si>
    <t>欺诈者</t>
  </si>
  <si>
    <t>小金龙</t>
  </si>
  <si>
    <t>金龙</t>
  </si>
  <si>
    <t>shangjin</t>
  </si>
  <si>
    <t>兄弟会头目</t>
  </si>
  <si>
    <t>兄弟会爱德华</t>
  </si>
  <si>
    <t>尾火虎之影</t>
  </si>
  <si>
    <t>远古妖王</t>
  </si>
  <si>
    <t>妖王</t>
  </si>
  <si>
    <t>小有所成·天贼星</t>
  </si>
  <si>
    <t>天罡星</t>
  </si>
  <si>
    <t>伏虎斩妖·天退星</t>
  </si>
  <si>
    <t>御风神行·天壮星</t>
  </si>
  <si>
    <t>履水吐焰·天刑星</t>
  </si>
  <si>
    <t>初出茅庐·地狗星</t>
  </si>
  <si>
    <t>地煞星</t>
  </si>
  <si>
    <t>移山覆海·天狂星</t>
  </si>
  <si>
    <t>6星地煞</t>
  </si>
  <si>
    <t>举火燎原·天俊星</t>
  </si>
  <si>
    <t>神★地煞</t>
  </si>
  <si>
    <t>华光曜日·天奇星</t>
  </si>
  <si>
    <t>散财童子</t>
  </si>
  <si>
    <t>★★仙界童子★★</t>
  </si>
  <si>
    <t>zhushen</t>
  </si>
  <si>
    <t>善财童子</t>
  </si>
  <si>
    <t>欢喜童子</t>
  </si>
  <si>
    <t>如意童子</t>
  </si>
  <si>
    <t>送子童子</t>
  </si>
  <si>
    <t>祈福童子</t>
  </si>
  <si>
    <t>皇家药剂师</t>
  </si>
  <si>
    <t>霜狼</t>
  </si>
  <si>
    <t>瓦力玛萨斯</t>
  </si>
  <si>
    <t>死灵护卫</t>
  </si>
  <si>
    <t>亡灵精英</t>
  </si>
  <si>
    <t>冰霜巨兽</t>
  </si>
  <si>
    <t>摇钱树</t>
  </si>
  <si>
    <t>恭喜发财宝箱</t>
  </si>
  <si>
    <t>公会战胜利宝箱</t>
  </si>
  <si>
    <t>公会战庆贺宝箱</t>
  </si>
  <si>
    <t>六耳★猕猴</t>
  </si>
  <si>
    <t>★真假美猴王★</t>
  </si>
  <si>
    <t>齐天★大圣</t>
  </si>
  <si>
    <t>小可爱</t>
  </si>
  <si>
    <t>天外飞仙</t>
  </si>
  <si>
    <t>子时一刻讨吃鬼</t>
  </si>
  <si>
    <t>抓鬼任务</t>
  </si>
  <si>
    <t>日常副本BOSS1</t>
  </si>
  <si>
    <t>丑时两刻轻薄鬼</t>
  </si>
  <si>
    <t>日常副本BOSS2</t>
  </si>
  <si>
    <t>卯时三刻伶俐鬼</t>
  </si>
  <si>
    <t>日常副本BOSS3</t>
  </si>
  <si>
    <t>辰时一刻挖渣鬼</t>
  </si>
  <si>
    <t>日常副本BOSS4</t>
  </si>
  <si>
    <t>巳时两刻绵缠鬼</t>
  </si>
  <si>
    <t>日常副本BOSS5</t>
  </si>
  <si>
    <t>午时三刻醉死鬼</t>
  </si>
  <si>
    <t>日常副本BOSS6</t>
  </si>
  <si>
    <t>未时四刻饿死鬼</t>
  </si>
  <si>
    <t>日常副本BOSS7</t>
  </si>
  <si>
    <t>申时一刻冒失鬼</t>
  </si>
  <si>
    <t>日常副本BOSS8</t>
  </si>
  <si>
    <t>酉时三刻含碜鬼</t>
  </si>
  <si>
    <t>日常副本BOSS9</t>
  </si>
  <si>
    <t>戌时四刻耍碗鬼</t>
  </si>
  <si>
    <t>日常副本BOSS10</t>
  </si>
  <si>
    <t>千年厉鬼</t>
  </si>
  <si>
    <t>★青龙★</t>
  </si>
  <si>
    <t>★仙宠下凡★</t>
  </si>
  <si>
    <t>★朱雀★</t>
  </si>
  <si>
    <t>坐骑商城</t>
  </si>
  <si>
    <t>兽决商城</t>
  </si>
  <si>
    <t>灵饰商城</t>
  </si>
  <si>
    <t>灵兽商店</t>
  </si>
  <si>
    <t>宠物商店</t>
  </si>
  <si>
    <t>重铸使者</t>
  </si>
  <si>
    <t>橙色装备重铸</t>
  </si>
  <si>
    <t>发财币兑换</t>
  </si>
  <si>
    <t>战鼓雷</t>
  </si>
  <si>
    <t>打造商城</t>
  </si>
  <si>
    <t>星辉石千叶合成</t>
  </si>
  <si>
    <t>星辉石合成</t>
  </si>
  <si>
    <t>法宝重铸进阶兑换</t>
  </si>
  <si>
    <t>法宝使者</t>
  </si>
  <si>
    <t>赞助冠军</t>
  </si>
  <si>
    <t>赞助亚军</t>
  </si>
  <si>
    <t>赞助季军</t>
  </si>
  <si>
    <t>每日任务领取</t>
  </si>
  <si>
    <t>渡劫飞升</t>
  </si>
  <si>
    <t>自在天魔</t>
  </si>
  <si>
    <t>蚩尤战神</t>
  </si>
  <si>
    <t>芭蕉木妖</t>
  </si>
  <si>
    <t>乌鸡国</t>
  </si>
  <si>
    <t>荆棘丛</t>
  </si>
  <si>
    <t>乌鸡国王</t>
  </si>
  <si>
    <t>guowang</t>
  </si>
  <si>
    <t>热心仙人</t>
  </si>
  <si>
    <t>拘灵妖怪</t>
  </si>
  <si>
    <t>囚神妖怪</t>
  </si>
  <si>
    <t>缚仙妖怪</t>
  </si>
  <si>
    <t>观音大士</t>
  </si>
  <si>
    <t>guanyin</t>
  </si>
  <si>
    <t>桃木虫</t>
  </si>
  <si>
    <t>泼猴</t>
  </si>
  <si>
    <t>千年古树</t>
  </si>
  <si>
    <t>翼虎将军</t>
  </si>
  <si>
    <t>虎蛇将军</t>
  </si>
  <si>
    <t>上古妖兽头领</t>
  </si>
  <si>
    <t>妖将军</t>
  </si>
  <si>
    <t>魑魅</t>
  </si>
  <si>
    <t>魍魉</t>
  </si>
  <si>
    <t>李世民</t>
  </si>
  <si>
    <t>有个道士</t>
  </si>
  <si>
    <t>有个和尚</t>
  </si>
  <si>
    <t>供品</t>
  </si>
  <si>
    <t>元始天尊</t>
  </si>
  <si>
    <t>灵宝天尊</t>
  </si>
  <si>
    <t>有个神仙</t>
  </si>
  <si>
    <t>虎力大仙</t>
  </si>
  <si>
    <t>鹿力大仙</t>
  </si>
  <si>
    <t>羊力大仙</t>
  </si>
  <si>
    <t>盗宝小龙</t>
  </si>
  <si>
    <t>宝石副本</t>
  </si>
  <si>
    <t>强化大佬</t>
  </si>
  <si>
    <t>强化石副本</t>
  </si>
  <si>
    <t>澡堂歌王</t>
  </si>
  <si>
    <t>洗练石副本</t>
  </si>
  <si>
    <t>八仙分身</t>
  </si>
  <si>
    <t>每日任务</t>
  </si>
  <si>
    <t>元神分身</t>
  </si>
  <si>
    <t>圣贤分身</t>
  </si>
  <si>
    <t>大帝分身</t>
  </si>
  <si>
    <t>天劫分身</t>
  </si>
  <si>
    <t>技能boss分身</t>
  </si>
  <si>
    <t>搬砖boss分身</t>
  </si>
  <si>
    <t>荣誉boss分身</t>
  </si>
  <si>
    <t>世界boss分身</t>
  </si>
  <si>
    <t>神器boss分身</t>
  </si>
  <si>
    <t>聚灵材料怪</t>
  </si>
  <si>
    <t>&lt;record id="</t>
  </si>
  <si>
    <t>" posx="</t>
  </si>
  <si>
    <t>" posy="</t>
  </si>
  <si>
    <t>" dir="</t>
  </si>
  <si>
    <t>"/&gt;</t>
  </si>
  <si>
    <t>NPC.dat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</si>
</sst>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</numFmts>
  <fonts count="49">
    <font>
      <sz val="11"/>
      <color indexed="8"/>
      <name val="宋体"/>
      <charset val="134"/>
    </font>
    <font>
      <sz val="11"/>
      <color indexed="9"/>
      <name val="宋体"/>
      <charset val="134"/>
    </font>
    <font>
      <sz val="10"/>
      <color indexed="8"/>
      <name val="宋体"/>
      <charset val="134"/>
    </font>
    <font>
      <sz val="11"/>
      <color theme="1"/>
      <name val="宋体"/>
      <charset val="134"/>
      <scheme val="minor"/>
    </font>
    <font>
      <sz val="10"/>
      <name val="Arial"/>
      <charset val="134"/>
    </font>
    <font>
      <sz val="11"/>
      <color indexed="53"/>
      <name val="宋体"/>
      <charset val="134"/>
    </font>
    <font>
      <sz val="10"/>
      <color rgb="FFFF0000"/>
      <name val="Arial"/>
      <charset val="134"/>
    </font>
    <font>
      <sz val="10"/>
      <name val="宋体"/>
      <charset val="134"/>
    </font>
    <font>
      <sz val="10"/>
      <color theme="1"/>
      <name val="宋体"/>
      <charset val="134"/>
    </font>
    <font>
      <sz val="10"/>
      <color indexed="40"/>
      <name val="宋体"/>
      <charset val="134"/>
    </font>
    <font>
      <sz val="10"/>
      <color indexed="10"/>
      <name val="宋体"/>
      <charset val="134"/>
    </font>
    <font>
      <sz val="10"/>
      <color indexed="40"/>
      <name val="Arial"/>
      <charset val="134"/>
    </font>
    <font>
      <sz val="10"/>
      <color indexed="10"/>
      <name val="Arial"/>
      <charset val="134"/>
    </font>
    <font>
      <sz val="11"/>
      <name val="宋体"/>
      <charset val="134"/>
    </font>
    <font>
      <sz val="10"/>
      <color indexed="17"/>
      <name val="Arial"/>
      <charset val="134"/>
    </font>
    <font>
      <sz val="9"/>
      <color indexed="8"/>
      <name val="仿宋"/>
      <charset val="134"/>
    </font>
    <font>
      <sz val="10"/>
      <color rgb="FF333333"/>
      <name val="宋体"/>
      <charset val="134"/>
    </font>
    <font>
      <sz val="11"/>
      <color indexed="60"/>
      <name val="宋体"/>
      <charset val="134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i/>
      <sz val="11"/>
      <color indexed="23"/>
      <name val="宋体"/>
      <charset val="134"/>
    </font>
    <font>
      <sz val="11"/>
      <color theme="1"/>
      <name val="宋体"/>
      <charset val="0"/>
      <scheme val="minor"/>
    </font>
    <font>
      <b/>
      <sz val="11"/>
      <color indexed="9"/>
      <name val="宋体"/>
      <charset val="134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indexed="63"/>
      <name val="宋体"/>
      <charset val="134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indexed="52"/>
      <name val="宋体"/>
      <charset val="134"/>
    </font>
    <font>
      <b/>
      <sz val="11"/>
      <color rgb="FFFA7D00"/>
      <name val="宋体"/>
      <charset val="0"/>
      <scheme val="minor"/>
    </font>
    <font>
      <sz val="11"/>
      <color indexed="17"/>
      <name val="宋体"/>
      <charset val="134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indexed="8"/>
      <name val="宋体"/>
      <charset val="134"/>
    </font>
    <font>
      <sz val="11"/>
      <color rgb="FFFF0000"/>
      <name val="宋体"/>
      <charset val="0"/>
      <scheme val="minor"/>
    </font>
    <font>
      <b/>
      <sz val="11"/>
      <color indexed="52"/>
      <name val="宋体"/>
      <charset val="134"/>
    </font>
    <font>
      <b/>
      <sz val="13"/>
      <color theme="3"/>
      <name val="宋体"/>
      <charset val="134"/>
      <scheme val="minor"/>
    </font>
    <font>
      <sz val="11"/>
      <color indexed="62"/>
      <name val="宋体"/>
      <charset val="134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indexed="10"/>
      <name val="宋体"/>
      <charset val="134"/>
    </font>
    <font>
      <b/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8"/>
      <color indexed="62"/>
      <name val="宋体"/>
      <charset val="134"/>
    </font>
    <font>
      <b/>
      <sz val="11"/>
      <color indexed="62"/>
      <name val="宋体"/>
      <charset val="134"/>
    </font>
    <font>
      <b/>
      <sz val="15"/>
      <color indexed="62"/>
      <name val="宋体"/>
      <charset val="134"/>
    </font>
    <font>
      <b/>
      <sz val="13"/>
      <color indexed="62"/>
      <name val="宋体"/>
      <charset val="134"/>
    </font>
  </fonts>
  <fills count="8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FFCC"/>
        <bgColor theme="4" tint="0.799981688894314"/>
      </patternFill>
    </fill>
    <fill>
      <patternFill patternType="solid">
        <fgColor rgb="FF00FF00"/>
        <bgColor theme="4" tint="0.799981688894314"/>
      </patternFill>
    </fill>
    <fill>
      <patternFill patternType="solid">
        <fgColor rgb="FFFF8080"/>
        <bgColor theme="4" tint="0.799981688894314"/>
      </patternFill>
    </fill>
    <fill>
      <patternFill patternType="solid">
        <fgColor rgb="FFFFFFFF"/>
        <bgColor theme="4" tint="0.79998168889431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C99"/>
        <bgColor indexed="64"/>
      </patternFill>
    </fill>
    <fill>
      <patternFill patternType="solid">
        <fgColor theme="4" tint="0.799920651875362"/>
        <bgColor theme="4" tint="0.799920651875362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indexed="4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14548173467"/>
      </top>
      <bottom style="thin">
        <color theme="4" tint="0.399914548173467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</borders>
  <cellStyleXfs count="1973">
    <xf numFmtId="0" fontId="0" fillId="0" borderId="0">
      <alignment vertical="center"/>
    </xf>
    <xf numFmtId="42" fontId="3" fillId="0" borderId="0" applyFont="0" applyFill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22" fillId="56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8" fillId="36" borderId="9" applyNumberFormat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65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8" fillId="60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" fillId="63" borderId="13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8" fillId="5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8" fillId="0" borderId="6" applyNumberFormat="0" applyFill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18" fillId="62" borderId="0" applyNumberFormat="0" applyBorder="0" applyAlignment="0" applyProtection="0">
      <alignment vertical="center"/>
    </xf>
    <xf numFmtId="0" fontId="27" fillId="57" borderId="8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1" fillId="57" borderId="9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40" fillId="68" borderId="15" applyNumberFormat="0" applyAlignment="0" applyProtection="0">
      <alignment vertical="center"/>
    </xf>
    <xf numFmtId="0" fontId="22" fillId="69" borderId="0" applyNumberFormat="0" applyBorder="0" applyAlignment="0" applyProtection="0">
      <alignment vertical="center"/>
    </xf>
    <xf numFmtId="0" fontId="18" fillId="70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3" fillId="0" borderId="17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4" fillId="73" borderId="0" applyNumberFormat="0" applyBorder="0" applyAlignment="0" applyProtection="0">
      <alignment vertical="center"/>
    </xf>
    <xf numFmtId="0" fontId="22" fillId="75" borderId="0" applyNumberFormat="0" applyBorder="0" applyAlignment="0" applyProtection="0">
      <alignment vertical="center"/>
    </xf>
    <xf numFmtId="0" fontId="18" fillId="6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2" fillId="7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2" fillId="80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2" fillId="58" borderId="0" applyNumberFormat="0" applyBorder="0" applyAlignment="0" applyProtection="0">
      <alignment vertical="center"/>
    </xf>
    <xf numFmtId="0" fontId="18" fillId="7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18" fillId="72" borderId="0" applyNumberFormat="0" applyBorder="0" applyAlignment="0" applyProtection="0">
      <alignment vertical="center"/>
    </xf>
    <xf numFmtId="0" fontId="4" fillId="0" borderId="0">
      <alignment vertical="center"/>
    </xf>
    <xf numFmtId="0" fontId="22" fillId="71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22" fillId="67" borderId="0" applyNumberFormat="0" applyBorder="0" applyAlignment="0" applyProtection="0">
      <alignment vertical="center"/>
    </xf>
    <xf numFmtId="0" fontId="18" fillId="79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2" fillId="77" borderId="0" applyNumberFormat="0" applyBorder="0" applyAlignment="0" applyProtection="0">
      <alignment vertical="center"/>
    </xf>
    <xf numFmtId="0" fontId="18" fillId="78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0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0" fillId="49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5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6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7" fillId="0" borderId="1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8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32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32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1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6" fillId="54" borderId="7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1" fillId="81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81" borderId="0" applyNumberFormat="0" applyBorder="0" applyAlignment="0" applyProtection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6" fillId="54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9" fillId="6" borderId="14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4" fillId="0" borderId="0">
      <alignment vertical="center"/>
    </xf>
    <xf numFmtId="0" fontId="39" fillId="6" borderId="14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4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54" borderId="7" applyNumberFormat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6" fillId="54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54" borderId="7" applyNumberFormat="0" applyAlignment="0" applyProtection="0">
      <alignment vertical="center"/>
    </xf>
    <xf numFmtId="0" fontId="4" fillId="0" borderId="0">
      <alignment vertical="center"/>
    </xf>
    <xf numFmtId="0" fontId="26" fillId="54" borderId="7" applyNumberFormat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2" fillId="3" borderId="0" applyNumberFormat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5" fillId="0" borderId="12" applyNumberFormat="0" applyFill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37" fillId="54" borderId="1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3" fillId="20" borderId="4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6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81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" fillId="6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26" fillId="54" borderId="7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39" fillId="6" borderId="14" applyNumberForma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  <xf numFmtId="0" fontId="0" fillId="59" borderId="11" applyNumberFormat="0" applyFont="0" applyAlignment="0" applyProtection="0">
      <alignment vertical="center"/>
    </xf>
  </cellStyleXfs>
  <cellXfs count="220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0" xfId="0" applyFont="1" applyFill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  <xf numFmtId="0" fontId="2" fillId="7" borderId="0" xfId="0" applyFont="1" applyFill="1">
      <alignment vertical="center"/>
    </xf>
    <xf numFmtId="0" fontId="2" fillId="8" borderId="0" xfId="0" applyFont="1" applyFill="1">
      <alignment vertical="center"/>
    </xf>
    <xf numFmtId="0" fontId="2" fillId="9" borderId="0" xfId="0" applyFont="1" applyFill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10" borderId="0" xfId="0" applyFont="1" applyFill="1">
      <alignment vertical="center"/>
    </xf>
    <xf numFmtId="0" fontId="2" fillId="11" borderId="0" xfId="0" applyFont="1" applyFill="1">
      <alignment vertical="center"/>
    </xf>
    <xf numFmtId="0" fontId="2" fillId="12" borderId="0" xfId="0" applyFont="1" applyFill="1">
      <alignment vertical="center"/>
    </xf>
    <xf numFmtId="0" fontId="2" fillId="13" borderId="0" xfId="0" applyFont="1" applyFill="1">
      <alignment vertical="center"/>
    </xf>
    <xf numFmtId="0" fontId="2" fillId="14" borderId="0" xfId="0" applyFont="1" applyFill="1">
      <alignment vertical="center"/>
    </xf>
    <xf numFmtId="0" fontId="2" fillId="15" borderId="0" xfId="0" applyFont="1" applyFill="1">
      <alignment vertical="center"/>
    </xf>
    <xf numFmtId="0" fontId="2" fillId="16" borderId="0" xfId="0" applyFont="1" applyFill="1">
      <alignment vertical="center"/>
    </xf>
    <xf numFmtId="0" fontId="0" fillId="0" borderId="0" xfId="0" applyFont="1" applyAlignment="1"/>
    <xf numFmtId="0" fontId="2" fillId="17" borderId="0" xfId="0" applyFont="1" applyFill="1">
      <alignment vertical="center"/>
    </xf>
    <xf numFmtId="0" fontId="0" fillId="4" borderId="0" xfId="0" applyFont="1" applyFill="1" applyAlignment="1"/>
    <xf numFmtId="0" fontId="0" fillId="9" borderId="0" xfId="0" applyFont="1" applyFill="1" applyAlignment="1"/>
    <xf numFmtId="0" fontId="0" fillId="18" borderId="0" xfId="0" applyFont="1" applyFill="1" applyAlignment="1"/>
    <xf numFmtId="0" fontId="2" fillId="19" borderId="0" xfId="0" applyFont="1" applyFill="1">
      <alignment vertical="center"/>
    </xf>
    <xf numFmtId="0" fontId="0" fillId="20" borderId="0" xfId="0" applyFont="1" applyFill="1" applyAlignment="1"/>
    <xf numFmtId="0" fontId="2" fillId="21" borderId="0" xfId="0" applyFont="1" applyFill="1">
      <alignment vertical="center"/>
    </xf>
    <xf numFmtId="0" fontId="2" fillId="22" borderId="0" xfId="0" applyFont="1" applyFill="1">
      <alignment vertical="center"/>
    </xf>
    <xf numFmtId="0" fontId="2" fillId="23" borderId="0" xfId="0" applyFont="1" applyFill="1">
      <alignment vertical="center"/>
    </xf>
    <xf numFmtId="0" fontId="2" fillId="24" borderId="0" xfId="0" applyFont="1" applyFill="1">
      <alignment vertical="center"/>
    </xf>
    <xf numFmtId="0" fontId="0" fillId="12" borderId="0" xfId="0" applyFill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vertical="center"/>
    </xf>
    <xf numFmtId="49" fontId="3" fillId="25" borderId="2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2" fillId="4" borderId="1" xfId="0" applyFont="1" applyFill="1" applyBorder="1" applyAlignment="1">
      <alignment horizontal="left" vertical="center"/>
    </xf>
    <xf numFmtId="49" fontId="3" fillId="26" borderId="2" xfId="0" applyNumberFormat="1" applyFont="1" applyFill="1" applyBorder="1" applyAlignment="1">
      <alignment vertical="center"/>
    </xf>
    <xf numFmtId="49" fontId="3" fillId="27" borderId="2" xfId="0" applyNumberFormat="1" applyFont="1" applyFill="1" applyBorder="1" applyAlignment="1">
      <alignment vertical="center"/>
    </xf>
    <xf numFmtId="49" fontId="3" fillId="28" borderId="2" xfId="0" applyNumberFormat="1" applyFont="1" applyFill="1" applyBorder="1" applyAlignment="1">
      <alignment vertical="center"/>
    </xf>
    <xf numFmtId="49" fontId="3" fillId="29" borderId="2" xfId="0" applyNumberFormat="1" applyFont="1" applyFill="1" applyBorder="1" applyAlignment="1">
      <alignment vertical="center"/>
    </xf>
    <xf numFmtId="49" fontId="3" fillId="30" borderId="2" xfId="0" applyNumberFormat="1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2" fillId="12" borderId="1" xfId="0" applyFont="1" applyFill="1" applyBorder="1" applyAlignment="1">
      <alignment horizontal="left" vertical="center"/>
    </xf>
    <xf numFmtId="0" fontId="4" fillId="31" borderId="0" xfId="0" applyNumberFormat="1" applyFont="1" applyFill="1" applyAlignment="1">
      <alignment horizontal="left"/>
    </xf>
    <xf numFmtId="0" fontId="2" fillId="29" borderId="1" xfId="0" applyFont="1" applyFill="1" applyBorder="1" applyAlignment="1">
      <alignment horizontal="left" vertical="center"/>
    </xf>
    <xf numFmtId="0" fontId="4" fillId="22" borderId="0" xfId="0" applyFont="1" applyFill="1" applyAlignment="1">
      <alignment horizontal="left"/>
    </xf>
    <xf numFmtId="0" fontId="2" fillId="32" borderId="1" xfId="0" applyFont="1" applyFill="1" applyBorder="1" applyAlignment="1">
      <alignment horizontal="left" vertical="center"/>
    </xf>
    <xf numFmtId="0" fontId="2" fillId="30" borderId="1" xfId="0" applyFont="1" applyFill="1" applyBorder="1" applyAlignment="1">
      <alignment horizontal="left" vertical="center"/>
    </xf>
    <xf numFmtId="0" fontId="2" fillId="33" borderId="1" xfId="0" applyFont="1" applyFill="1" applyBorder="1" applyAlignment="1">
      <alignment horizontal="left" vertical="center"/>
    </xf>
    <xf numFmtId="0" fontId="4" fillId="9" borderId="0" xfId="0" applyFont="1" applyFill="1" applyAlignment="1">
      <alignment horizontal="left"/>
    </xf>
    <xf numFmtId="0" fontId="4" fillId="34" borderId="0" xfId="0" applyNumberFormat="1" applyFont="1" applyFill="1" applyAlignment="1">
      <alignment horizontal="left"/>
    </xf>
    <xf numFmtId="0" fontId="5" fillId="22" borderId="0" xfId="0" applyFont="1" applyFill="1" applyAlignment="1">
      <alignment horizontal="left"/>
    </xf>
    <xf numFmtId="49" fontId="3" fillId="35" borderId="2" xfId="0" applyNumberFormat="1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7" borderId="1" xfId="0" applyFont="1" applyFill="1" applyBorder="1" applyAlignment="1">
      <alignment horizontal="left" vertical="center"/>
    </xf>
    <xf numFmtId="0" fontId="2" fillId="36" borderId="1" xfId="0" applyFont="1" applyFill="1" applyBorder="1" applyAlignment="1">
      <alignment horizontal="left" vertical="center"/>
    </xf>
    <xf numFmtId="0" fontId="2" fillId="8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left" vertical="center"/>
    </xf>
    <xf numFmtId="0" fontId="4" fillId="4" borderId="0" xfId="0" applyFont="1" applyFill="1" applyAlignment="1">
      <alignment horizontal="left"/>
    </xf>
    <xf numFmtId="0" fontId="4" fillId="5" borderId="0" xfId="0" applyFont="1" applyFill="1" applyAlignment="1">
      <alignment horizontal="left"/>
    </xf>
    <xf numFmtId="0" fontId="4" fillId="8" borderId="0" xfId="0" applyNumberFormat="1" applyFont="1" applyFill="1" applyAlignment="1">
      <alignment horizontal="left"/>
    </xf>
    <xf numFmtId="0" fontId="2" fillId="8" borderId="1" xfId="0" applyNumberFormat="1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0" fontId="3" fillId="11" borderId="0" xfId="0" applyFont="1" applyFill="1" applyAlignment="1">
      <alignment vertical="center"/>
    </xf>
    <xf numFmtId="0" fontId="6" fillId="9" borderId="0" xfId="0" applyNumberFormat="1" applyFont="1" applyFill="1" applyAlignment="1">
      <alignment horizontal="left"/>
    </xf>
    <xf numFmtId="0" fontId="2" fillId="11" borderId="1" xfId="0" applyNumberFormat="1" applyFont="1" applyFill="1" applyBorder="1" applyAlignment="1">
      <alignment horizontal="left" vertical="center"/>
    </xf>
    <xf numFmtId="0" fontId="7" fillId="4" borderId="0" xfId="0" applyFont="1" applyFill="1" applyAlignment="1"/>
    <xf numFmtId="49" fontId="3" fillId="0" borderId="3" xfId="0" applyNumberFormat="1" applyFont="1" applyFill="1" applyBorder="1" applyAlignment="1">
      <alignment vertical="center"/>
    </xf>
    <xf numFmtId="49" fontId="3" fillId="37" borderId="3" xfId="0" applyNumberFormat="1" applyFont="1" applyFill="1" applyBorder="1" applyAlignment="1">
      <alignment vertical="center"/>
    </xf>
    <xf numFmtId="0" fontId="4" fillId="34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8" borderId="0" xfId="0" applyFont="1" applyFill="1" applyAlignment="1">
      <alignment horizontal="left"/>
    </xf>
    <xf numFmtId="0" fontId="7" fillId="14" borderId="0" xfId="0" applyFont="1" applyFill="1" applyAlignment="1"/>
    <xf numFmtId="0" fontId="2" fillId="0" borderId="1" xfId="1285" applyFont="1" applyFill="1" applyBorder="1" applyAlignment="1">
      <alignment horizontal="left" vertical="center"/>
    </xf>
    <xf numFmtId="0" fontId="2" fillId="12" borderId="1" xfId="1285" applyFont="1" applyFill="1" applyBorder="1" applyAlignment="1">
      <alignment horizontal="left" vertical="center"/>
    </xf>
    <xf numFmtId="0" fontId="2" fillId="13" borderId="1" xfId="0" applyFont="1" applyFill="1" applyBorder="1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7" fillId="6" borderId="0" xfId="0" applyFont="1" applyFill="1" applyAlignment="1">
      <alignment horizontal="left"/>
    </xf>
    <xf numFmtId="0" fontId="7" fillId="36" borderId="0" xfId="0" applyFont="1" applyFill="1" applyAlignment="1">
      <alignment horizontal="left"/>
    </xf>
    <xf numFmtId="0" fontId="8" fillId="36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0" fillId="14" borderId="1" xfId="84" applyFont="1" applyFill="1" applyBorder="1" applyAlignment="1">
      <alignment horizontal="left"/>
    </xf>
    <xf numFmtId="0" fontId="2" fillId="15" borderId="1" xfId="0" applyFont="1" applyFill="1" applyBorder="1" applyAlignment="1">
      <alignment horizontal="left" vertical="center"/>
    </xf>
    <xf numFmtId="0" fontId="2" fillId="16" borderId="1" xfId="0" applyFont="1" applyFill="1" applyBorder="1" applyAlignment="1">
      <alignment horizontal="left" vertical="center"/>
    </xf>
    <xf numFmtId="0" fontId="2" fillId="9" borderId="0" xfId="0" applyFont="1" applyFill="1" applyAlignment="1">
      <alignment vertical="center"/>
    </xf>
    <xf numFmtId="0" fontId="2" fillId="1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7" borderId="1" xfId="1285" applyFont="1" applyFill="1" applyBorder="1" applyAlignment="1">
      <alignment horizontal="left" vertical="center"/>
    </xf>
    <xf numFmtId="0" fontId="2" fillId="15" borderId="1" xfId="1285" applyNumberFormat="1" applyFont="1" applyFill="1" applyBorder="1" applyAlignment="1">
      <alignment horizontal="left" vertical="center"/>
    </xf>
    <xf numFmtId="0" fontId="2" fillId="7" borderId="1" xfId="1285" applyNumberFormat="1" applyFont="1" applyFill="1" applyBorder="1" applyAlignment="1">
      <alignment horizontal="left" vertical="center"/>
    </xf>
    <xf numFmtId="0" fontId="4" fillId="16" borderId="0" xfId="0" applyFont="1" applyFill="1" applyAlignment="1">
      <alignment horizontal="left"/>
    </xf>
    <xf numFmtId="0" fontId="0" fillId="0" borderId="0" xfId="0" applyFont="1" applyBorder="1" applyAlignment="1">
      <alignment horizontal="left"/>
    </xf>
    <xf numFmtId="0" fontId="7" fillId="12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7" fillId="9" borderId="0" xfId="0" applyFont="1" applyFill="1" applyAlignment="1">
      <alignment vertical="center"/>
    </xf>
    <xf numFmtId="0" fontId="7" fillId="33" borderId="0" xfId="0" applyFont="1" applyFill="1" applyAlignment="1">
      <alignment horizontal="left"/>
    </xf>
    <xf numFmtId="0" fontId="8" fillId="33" borderId="1" xfId="0" applyFont="1" applyFill="1" applyBorder="1" applyAlignment="1">
      <alignment horizontal="left" vertical="center"/>
    </xf>
    <xf numFmtId="0" fontId="7" fillId="33" borderId="0" xfId="0" applyFont="1" applyFill="1" applyAlignment="1">
      <alignment vertical="center"/>
    </xf>
    <xf numFmtId="0" fontId="4" fillId="9" borderId="0" xfId="0" applyNumberFormat="1" applyFont="1" applyFill="1" applyAlignment="1">
      <alignment horizontal="left"/>
    </xf>
    <xf numFmtId="0" fontId="7" fillId="36" borderId="0" xfId="0" applyFont="1" applyFill="1" applyAlignment="1">
      <alignment vertical="center"/>
    </xf>
    <xf numFmtId="0" fontId="4" fillId="10" borderId="0" xfId="1301" applyFont="1" applyFill="1" applyAlignment="1">
      <alignment horizontal="left"/>
    </xf>
    <xf numFmtId="0" fontId="9" fillId="17" borderId="0" xfId="0" applyFont="1" applyFill="1" applyAlignment="1">
      <alignment horizontal="left"/>
    </xf>
    <xf numFmtId="0" fontId="4" fillId="6" borderId="0" xfId="1301" applyFont="1" applyFill="1" applyAlignment="1">
      <alignment horizontal="left"/>
    </xf>
    <xf numFmtId="0" fontId="4" fillId="0" borderId="0" xfId="1301" applyFont="1" applyAlignment="1">
      <alignment horizontal="left"/>
    </xf>
    <xf numFmtId="49" fontId="4" fillId="6" borderId="0" xfId="1301" applyNumberFormat="1" applyFont="1" applyFill="1" applyAlignment="1">
      <alignment horizontal="left"/>
    </xf>
    <xf numFmtId="0" fontId="10" fillId="9" borderId="0" xfId="0" applyFont="1" applyFill="1" applyAlignment="1">
      <alignment horizontal="left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21" borderId="0" xfId="1301" applyFont="1" applyFill="1" applyAlignment="1">
      <alignment horizontal="left"/>
    </xf>
    <xf numFmtId="0" fontId="4" fillId="0" borderId="0" xfId="1301" applyFont="1" applyAlignment="1">
      <alignment horizontal="left" vertical="center"/>
    </xf>
    <xf numFmtId="0" fontId="4" fillId="12" borderId="0" xfId="1301" applyFont="1" applyFill="1" applyAlignment="1">
      <alignment horizontal="left"/>
    </xf>
    <xf numFmtId="0" fontId="4" fillId="4" borderId="0" xfId="1301" applyFont="1" applyFill="1" applyAlignment="1">
      <alignment horizontal="left"/>
    </xf>
    <xf numFmtId="0" fontId="4" fillId="13" borderId="0" xfId="1301" applyFont="1" applyFill="1" applyAlignment="1">
      <alignment horizontal="left" vertical="center"/>
    </xf>
    <xf numFmtId="0" fontId="12" fillId="38" borderId="0" xfId="0" applyFont="1" applyFill="1" applyAlignment="1">
      <alignment horizontal="left" vertical="center"/>
    </xf>
    <xf numFmtId="0" fontId="2" fillId="17" borderId="1" xfId="0" applyFont="1" applyFill="1" applyBorder="1" applyAlignment="1">
      <alignment horizontal="left" vertical="center"/>
    </xf>
    <xf numFmtId="0" fontId="0" fillId="17" borderId="0" xfId="0" applyFill="1" applyAlignment="1">
      <alignment horizontal="left"/>
    </xf>
    <xf numFmtId="0" fontId="13" fillId="17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12" borderId="1" xfId="0" applyFont="1" applyFill="1" applyBorder="1" applyAlignment="1">
      <alignment horizontal="left" vertical="center"/>
    </xf>
    <xf numFmtId="0" fontId="0" fillId="7" borderId="0" xfId="0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left" vertical="center"/>
    </xf>
    <xf numFmtId="0" fontId="0" fillId="4" borderId="0" xfId="0" applyFont="1" applyFill="1">
      <alignment vertical="center"/>
    </xf>
    <xf numFmtId="49" fontId="4" fillId="4" borderId="0" xfId="1301" applyNumberFormat="1" applyFont="1" applyFill="1" applyAlignment="1">
      <alignment horizontal="left"/>
    </xf>
    <xf numFmtId="0" fontId="0" fillId="4" borderId="0" xfId="0" applyFill="1">
      <alignment vertical="center"/>
    </xf>
    <xf numFmtId="0" fontId="4" fillId="9" borderId="0" xfId="1301" applyFont="1" applyFill="1" applyAlignment="1">
      <alignment horizontal="left"/>
    </xf>
    <xf numFmtId="0" fontId="13" fillId="9" borderId="0" xfId="0" applyFont="1" applyFill="1" applyAlignment="1">
      <alignment horizontal="left" vertical="center" wrapText="1"/>
    </xf>
    <xf numFmtId="49" fontId="4" fillId="9" borderId="0" xfId="1301" applyNumberFormat="1" applyFont="1" applyFill="1" applyAlignment="1">
      <alignment horizontal="left"/>
    </xf>
    <xf numFmtId="0" fontId="0" fillId="9" borderId="0" xfId="0" applyFont="1" applyFill="1">
      <alignment vertical="center"/>
    </xf>
    <xf numFmtId="0" fontId="4" fillId="18" borderId="0" xfId="1301" applyFont="1" applyFill="1" applyAlignment="1">
      <alignment horizontal="left"/>
    </xf>
    <xf numFmtId="0" fontId="7" fillId="18" borderId="0" xfId="0" applyFont="1" applyFill="1" applyAlignment="1"/>
    <xf numFmtId="49" fontId="4" fillId="18" borderId="0" xfId="1301" applyNumberFormat="1" applyFont="1" applyFill="1" applyAlignment="1">
      <alignment horizontal="left"/>
    </xf>
    <xf numFmtId="0" fontId="7" fillId="9" borderId="0" xfId="0" applyFont="1" applyFill="1" applyAlignment="1"/>
    <xf numFmtId="0" fontId="13" fillId="7" borderId="0" xfId="0" applyFont="1" applyFill="1" applyAlignment="1">
      <alignment horizontal="left" vertical="center"/>
    </xf>
    <xf numFmtId="0" fontId="0" fillId="7" borderId="0" xfId="0" applyFont="1" applyFill="1" applyAlignment="1">
      <alignment horizontal="left" vertical="center"/>
    </xf>
    <xf numFmtId="0" fontId="0" fillId="22" borderId="0" xfId="0" applyFill="1" applyAlignment="1">
      <alignment horizontal="left"/>
    </xf>
    <xf numFmtId="0" fontId="13" fillId="7" borderId="0" xfId="0" applyFont="1" applyFill="1" applyAlignment="1">
      <alignment horizontal="left"/>
    </xf>
    <xf numFmtId="0" fontId="4" fillId="4" borderId="0" xfId="1301" applyFont="1" applyFill="1" applyAlignment="1">
      <alignment horizontal="left" vertical="center"/>
    </xf>
    <xf numFmtId="0" fontId="4" fillId="9" borderId="0" xfId="1301" applyFont="1" applyFill="1" applyAlignment="1">
      <alignment horizontal="left" vertical="center"/>
    </xf>
    <xf numFmtId="0" fontId="4" fillId="18" borderId="0" xfId="1301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18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2" fillId="18" borderId="0" xfId="0" applyFont="1" applyFill="1">
      <alignment vertical="center"/>
    </xf>
    <xf numFmtId="0" fontId="2" fillId="19" borderId="1" xfId="0" applyFont="1" applyFill="1" applyBorder="1" applyAlignment="1">
      <alignment horizontal="left" vertical="center"/>
    </xf>
    <xf numFmtId="0" fontId="4" fillId="20" borderId="0" xfId="1301" applyFont="1" applyFill="1" applyAlignment="1">
      <alignment horizontal="left"/>
    </xf>
    <xf numFmtId="0" fontId="7" fillId="20" borderId="0" xfId="0" applyFont="1" applyFill="1" applyAlignment="1">
      <alignment horizontal="left"/>
    </xf>
    <xf numFmtId="49" fontId="4" fillId="20" borderId="0" xfId="1301" applyNumberFormat="1" applyFont="1" applyFill="1" applyAlignment="1">
      <alignment horizontal="left"/>
    </xf>
    <xf numFmtId="0" fontId="4" fillId="20" borderId="0" xfId="1301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0" fillId="10" borderId="0" xfId="0" applyFont="1" applyFill="1" applyAlignment="1">
      <alignment vertical="center"/>
    </xf>
    <xf numFmtId="0" fontId="0" fillId="9" borderId="1" xfId="0" applyFont="1" applyFill="1" applyBorder="1" applyAlignment="1">
      <alignment vertical="center"/>
    </xf>
    <xf numFmtId="0" fontId="0" fillId="7" borderId="1" xfId="0" applyFont="1" applyFill="1" applyBorder="1" applyAlignment="1">
      <alignment vertical="center"/>
    </xf>
    <xf numFmtId="0" fontId="0" fillId="4" borderId="1" xfId="0" applyFont="1" applyFill="1" applyBorder="1" applyAlignment="1">
      <alignment vertical="center"/>
    </xf>
    <xf numFmtId="0" fontId="0" fillId="0" borderId="0" xfId="1381" applyFont="1" applyFill="1" applyAlignment="1">
      <alignment horizontal="left"/>
    </xf>
    <xf numFmtId="0" fontId="0" fillId="14" borderId="1" xfId="0" applyFill="1" applyBorder="1" applyAlignment="1">
      <alignment vertical="center"/>
    </xf>
    <xf numFmtId="0" fontId="0" fillId="0" borderId="0" xfId="0" applyAlignment="1">
      <alignment horizontal="left"/>
    </xf>
    <xf numFmtId="0" fontId="14" fillId="10" borderId="0" xfId="0" applyFont="1" applyFill="1" applyAlignment="1">
      <alignment horizontal="left"/>
    </xf>
    <xf numFmtId="0" fontId="2" fillId="21" borderId="1" xfId="0" applyFont="1" applyFill="1" applyBorder="1" applyAlignment="1">
      <alignment horizontal="left" vertical="center"/>
    </xf>
    <xf numFmtId="0" fontId="2" fillId="38" borderId="1" xfId="0" applyFont="1" applyFill="1" applyBorder="1" applyAlignment="1">
      <alignment horizontal="left" vertical="center"/>
    </xf>
    <xf numFmtId="0" fontId="2" fillId="39" borderId="1" xfId="0" applyFont="1" applyFill="1" applyBorder="1" applyAlignment="1">
      <alignment horizontal="left" vertical="center"/>
    </xf>
    <xf numFmtId="0" fontId="2" fillId="40" borderId="1" xfId="0" applyFont="1" applyFill="1" applyBorder="1" applyAlignment="1">
      <alignment horizontal="left" vertical="center"/>
    </xf>
    <xf numFmtId="0" fontId="13" fillId="36" borderId="1" xfId="0" applyFont="1" applyFill="1" applyBorder="1" applyAlignment="1">
      <alignment horizontal="left"/>
    </xf>
    <xf numFmtId="0" fontId="13" fillId="15" borderId="1" xfId="0" applyFont="1" applyFill="1" applyBorder="1" applyAlignment="1">
      <alignment horizontal="left"/>
    </xf>
    <xf numFmtId="0" fontId="13" fillId="14" borderId="1" xfId="0" applyFont="1" applyFill="1" applyBorder="1" applyAlignment="1">
      <alignment horizontal="left"/>
    </xf>
    <xf numFmtId="0" fontId="7" fillId="14" borderId="1" xfId="0" applyFont="1" applyFill="1" applyBorder="1" applyAlignment="1">
      <alignment horizontal="left"/>
    </xf>
    <xf numFmtId="0" fontId="0" fillId="6" borderId="0" xfId="0" applyFont="1" applyFill="1">
      <alignment vertical="center"/>
    </xf>
    <xf numFmtId="0" fontId="2" fillId="41" borderId="1" xfId="0" applyFont="1" applyFill="1" applyBorder="1" applyAlignment="1">
      <alignment horizontal="left"/>
    </xf>
    <xf numFmtId="0" fontId="0" fillId="14" borderId="0" xfId="0" applyFill="1">
      <alignment vertical="center"/>
    </xf>
    <xf numFmtId="0" fontId="0" fillId="13" borderId="0" xfId="0" applyFill="1">
      <alignment vertical="center"/>
    </xf>
    <xf numFmtId="0" fontId="0" fillId="3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left"/>
    </xf>
    <xf numFmtId="0" fontId="15" fillId="41" borderId="1" xfId="0" applyFont="1" applyFill="1" applyBorder="1" applyAlignment="1">
      <alignment horizontal="left"/>
    </xf>
    <xf numFmtId="0" fontId="2" fillId="7" borderId="0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2" fillId="22" borderId="1" xfId="0" applyFont="1" applyFill="1" applyBorder="1" applyAlignment="1">
      <alignment horizontal="left" vertical="center"/>
    </xf>
    <xf numFmtId="0" fontId="0" fillId="16" borderId="0" xfId="0" applyFont="1" applyFill="1">
      <alignment vertical="center"/>
    </xf>
    <xf numFmtId="0" fontId="0" fillId="16" borderId="0" xfId="0" applyFill="1">
      <alignment vertical="center"/>
    </xf>
    <xf numFmtId="0" fontId="7" fillId="20" borderId="0" xfId="0" applyFont="1" applyFill="1" applyAlignment="1"/>
    <xf numFmtId="0" fontId="7" fillId="7" borderId="0" xfId="0" applyFont="1" applyFill="1" applyAlignment="1"/>
    <xf numFmtId="0" fontId="7" fillId="0" borderId="0" xfId="0" applyFont="1" applyFill="1" applyAlignment="1"/>
    <xf numFmtId="0" fontId="2" fillId="23" borderId="1" xfId="0" applyFont="1" applyFill="1" applyBorder="1" applyAlignment="1">
      <alignment horizontal="left" vertical="center"/>
    </xf>
    <xf numFmtId="0" fontId="8" fillId="42" borderId="1" xfId="0" applyFont="1" applyFill="1" applyBorder="1" applyAlignment="1">
      <alignment horizontal="left" vertical="center"/>
    </xf>
    <xf numFmtId="0" fontId="0" fillId="24" borderId="0" xfId="0" applyFill="1">
      <alignment vertical="center"/>
    </xf>
    <xf numFmtId="0" fontId="2" fillId="24" borderId="1" xfId="0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>
      <alignment horizontal="left" vertical="center"/>
    </xf>
    <xf numFmtId="0" fontId="6" fillId="43" borderId="0" xfId="0" applyNumberFormat="1" applyFont="1" applyFill="1" applyAlignment="1">
      <alignment horizontal="left"/>
    </xf>
    <xf numFmtId="0" fontId="4" fillId="16" borderId="0" xfId="0" applyNumberFormat="1" applyFont="1" applyFill="1" applyAlignment="1">
      <alignment horizontal="left"/>
    </xf>
    <xf numFmtId="0" fontId="8" fillId="23" borderId="1" xfId="0" applyFont="1" applyFill="1" applyBorder="1" applyAlignment="1">
      <alignment horizontal="left" vertical="center"/>
    </xf>
    <xf numFmtId="0" fontId="4" fillId="44" borderId="0" xfId="0" applyNumberFormat="1" applyFont="1" applyFill="1" applyAlignment="1">
      <alignment horizontal="left"/>
    </xf>
    <xf numFmtId="0" fontId="4" fillId="24" borderId="0" xfId="0" applyFont="1" applyFill="1" applyAlignment="1">
      <alignment horizontal="left"/>
    </xf>
    <xf numFmtId="0" fontId="2" fillId="20" borderId="1" xfId="0" applyFont="1" applyFill="1" applyBorder="1" applyAlignment="1">
      <alignment horizontal="left" vertical="center"/>
    </xf>
    <xf numFmtId="0" fontId="2" fillId="16" borderId="0" xfId="0" applyFont="1" applyFill="1" applyBorder="1" applyAlignment="1">
      <alignment horizontal="left" vertical="center"/>
    </xf>
    <xf numFmtId="0" fontId="7" fillId="12" borderId="0" xfId="1301" applyFont="1" applyFill="1" applyAlignment="1">
      <alignment horizontal="left"/>
    </xf>
    <xf numFmtId="0" fontId="7" fillId="20" borderId="0" xfId="1301" applyFont="1" applyFill="1" applyAlignment="1">
      <alignment horizontal="left"/>
    </xf>
    <xf numFmtId="0" fontId="9" fillId="20" borderId="0" xfId="0" applyFont="1" applyFill="1" applyAlignment="1">
      <alignment horizontal="left"/>
    </xf>
    <xf numFmtId="0" fontId="7" fillId="4" borderId="0" xfId="1301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7" fillId="0" borderId="0" xfId="1301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23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 vertical="center"/>
    </xf>
    <xf numFmtId="0" fontId="4" fillId="12" borderId="0" xfId="1301" applyNumberFormat="1" applyFont="1" applyFill="1" applyAlignment="1">
      <alignment horizontal="left"/>
    </xf>
    <xf numFmtId="0" fontId="0" fillId="20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2" fillId="45" borderId="1" xfId="0" applyFont="1" applyFill="1" applyBorder="1" applyAlignment="1">
      <alignment horizontal="left" vertical="center"/>
    </xf>
    <xf numFmtId="0" fontId="12" fillId="46" borderId="0" xfId="0" applyFont="1" applyFill="1" applyAlignment="1">
      <alignment horizontal="left" vertical="center"/>
    </xf>
    <xf numFmtId="0" fontId="4" fillId="8" borderId="0" xfId="1301" applyFont="1" applyFill="1" applyAlignment="1">
      <alignment horizontal="left"/>
    </xf>
    <xf numFmtId="0" fontId="4" fillId="47" borderId="0" xfId="1301" applyFont="1" applyFill="1" applyAlignment="1">
      <alignment horizontal="left"/>
    </xf>
    <xf numFmtId="0" fontId="2" fillId="14" borderId="1" xfId="0" applyNumberFormat="1" applyFont="1" applyFill="1" applyBorder="1" applyAlignment="1">
      <alignment horizontal="left" vertical="center"/>
    </xf>
  </cellXfs>
  <cellStyles count="1973">
    <cellStyle name="常规" xfId="0" builtinId="0"/>
    <cellStyle name="货币[0]" xfId="1" builtinId="7"/>
    <cellStyle name="20% - 强调文字颜色 1 2 2 3 3" xfId="2"/>
    <cellStyle name="40% - 强调文字颜色 1 3 2 3" xfId="3"/>
    <cellStyle name="20% - 强调文字颜色 1 2" xfId="4"/>
    <cellStyle name="20% - 强调文字颜色 3" xfId="5" builtinId="38"/>
    <cellStyle name="输出 3" xfId="6"/>
    <cellStyle name="20% - 强调文字颜色 2 4 2 3" xfId="7"/>
    <cellStyle name="强调文字颜色 2 3 2" xfId="8"/>
    <cellStyle name="输入" xfId="9" builtinId="20"/>
    <cellStyle name="汇总 6" xfId="10"/>
    <cellStyle name="20% - 强调文字颜色 3 2 3 3" xfId="11"/>
    <cellStyle name="货币" xfId="12" builtinId="4"/>
    <cellStyle name="40% - 强调文字颜色 1 2 4 2" xfId="13"/>
    <cellStyle name="40% - 强调文字颜色 1 3 5" xfId="14"/>
    <cellStyle name="40% - 强调文字颜色 2 2 3 2 2" xfId="15"/>
    <cellStyle name="千位分隔[0]" xfId="16" builtinId="6"/>
    <cellStyle name="20% - 强调文字颜色 4 2 4 3" xfId="17"/>
    <cellStyle name="汇总 3 5" xfId="18"/>
    <cellStyle name="40% - 强调文字颜色 1 2 2 3 3" xfId="19"/>
    <cellStyle name="40% - 强调文字颜色 3 3 3 2" xfId="20"/>
    <cellStyle name="40% - 强调文字颜色 3" xfId="21" builtinId="39"/>
    <cellStyle name="差" xfId="22" builtinId="27"/>
    <cellStyle name="40% - 强调文字颜色 3 5 3" xfId="23"/>
    <cellStyle name="20% - 强调文字颜色 3 2 2 2 4" xfId="24"/>
    <cellStyle name="千位分隔" xfId="25" builtinId="3"/>
    <cellStyle name="60% - 强调文字颜色 3" xfId="26" builtinId="40"/>
    <cellStyle name="20% - 强调文字颜色 6 3 2 2 2" xfId="27"/>
    <cellStyle name="超链接" xfId="28" builtinId="8"/>
    <cellStyle name="百分比" xfId="29" builtinId="5"/>
    <cellStyle name="已访问的超链接" xfId="30" builtinId="9"/>
    <cellStyle name="适中 2 4 2" xfId="31"/>
    <cellStyle name="20% - 强调文字颜色 6 4 2 2" xfId="32"/>
    <cellStyle name="20% - 强调文字颜色 4 5" xfId="33"/>
    <cellStyle name="注释" xfId="34" builtinId="10"/>
    <cellStyle name="60% - 强调文字颜色 2 3" xfId="35"/>
    <cellStyle name="20% - 强调文字颜色 5 2 3 4" xfId="36"/>
    <cellStyle name="60% - 强调文字颜色 2" xfId="37" builtinId="36"/>
    <cellStyle name="标题 4" xfId="38" builtinId="19"/>
    <cellStyle name="20% - 强调文字颜色 4 3 2 2 3" xfId="39"/>
    <cellStyle name="警告文本" xfId="40" builtinId="11"/>
    <cellStyle name="20% - 强调文字颜色 4 4 2" xfId="41"/>
    <cellStyle name="标题" xfId="42" builtinId="15"/>
    <cellStyle name="解释性文本" xfId="43" builtinId="53"/>
    <cellStyle name="20% - 强调文字颜色 5 3 3" xfId="44"/>
    <cellStyle name="20% - 强调文字颜色 2 3 2 2 2" xfId="45"/>
    <cellStyle name="标题 1" xfId="46" builtinId="16"/>
    <cellStyle name="20% - 强调文字颜色 4 4 2 2" xfId="47"/>
    <cellStyle name="20% - 强调文字颜色 5 3 4" xfId="48"/>
    <cellStyle name="20% - 强调文字颜色 2 3 2 2 3" xfId="49"/>
    <cellStyle name="标题 2" xfId="50" builtinId="17"/>
    <cellStyle name="20% - 强调文字颜色 5 2 3 3" xfId="51"/>
    <cellStyle name="40% - 强调文字颜色 3 8" xfId="52"/>
    <cellStyle name="60% - 强调文字颜色 1" xfId="53" builtinId="32"/>
    <cellStyle name="20% - 强调文字颜色 4 4 2 3" xfId="54"/>
    <cellStyle name="20% - 强调文字颜色 5 3 5" xfId="55"/>
    <cellStyle name="标题 3" xfId="56" builtinId="18"/>
    <cellStyle name="60% - 强调文字颜色 4" xfId="57" builtinId="44"/>
    <cellStyle name="输出" xfId="58" builtinId="21"/>
    <cellStyle name="20% - 强调文字颜色 2 4 2" xfId="59"/>
    <cellStyle name="注释 2 2 2 2 2" xfId="60"/>
    <cellStyle name="40% - 强调文字颜色 3 3 3" xfId="61"/>
    <cellStyle name="计算" xfId="62" builtinId="22"/>
    <cellStyle name="计算 2 3 3" xfId="63"/>
    <cellStyle name="40% - 强调文字颜色 4 2" xfId="64"/>
    <cellStyle name="强调文字颜色 2 2 2 3 3" xfId="65"/>
    <cellStyle name="20% - 强调文字颜色 1 4 3" xfId="66"/>
    <cellStyle name="检查单元格" xfId="67" builtinId="23"/>
    <cellStyle name="20% - 强调文字颜色 6" xfId="68" builtinId="50"/>
    <cellStyle name="强调文字颜色 2" xfId="69" builtinId="33"/>
    <cellStyle name="常规 2 2 2 5" xfId="70"/>
    <cellStyle name="40% - 强调文字颜色 4 2 3 3" xfId="71"/>
    <cellStyle name="链接单元格 2 2 4" xfId="72"/>
    <cellStyle name="警告文本 2 4 2" xfId="73"/>
    <cellStyle name="汇总 2 4 3" xfId="74"/>
    <cellStyle name="40% - 强调文字颜色 1 2 2 2 2 3" xfId="75"/>
    <cellStyle name="链接单元格" xfId="76" builtinId="24"/>
    <cellStyle name="20% - 强调文字颜色 6 3 5" xfId="77"/>
    <cellStyle name="适中 2 5" xfId="78"/>
    <cellStyle name="20% - 强调文字颜色 6 4 3" xfId="79"/>
    <cellStyle name="汇总" xfId="80" builtinId="25"/>
    <cellStyle name="40% - 强调文字颜色 2 5 3" xfId="81"/>
    <cellStyle name="60% - 强调文字颜色 6 2 2 3 3" xfId="82"/>
    <cellStyle name="40% - 强调文字颜色 2 4 2 2" xfId="83"/>
    <cellStyle name="好" xfId="84" builtinId="26"/>
    <cellStyle name="差 2 3 2" xfId="85"/>
    <cellStyle name="强调文字颜色 2 2 4 2" xfId="86"/>
    <cellStyle name="20% - 强调文字颜色 3 3" xfId="87"/>
    <cellStyle name="适中" xfId="88" builtinId="28"/>
    <cellStyle name="20% - 强调文字颜色 5" xfId="89" builtinId="46"/>
    <cellStyle name="强调文字颜色 1" xfId="90" builtinId="29"/>
    <cellStyle name="常规 2 2 2 4" xfId="91"/>
    <cellStyle name="40% - 强调文字颜色 4 2 3 2" xfId="92"/>
    <cellStyle name="链接单元格 2 2 3" xfId="93"/>
    <cellStyle name="汇总 2 4 2" xfId="94"/>
    <cellStyle name="40% - 强调文字颜色 1 2 2 2 2 2" xfId="95"/>
    <cellStyle name="20% - 强调文字颜色 1" xfId="96" builtinId="30"/>
    <cellStyle name="解释性文本 2 3 4" xfId="97"/>
    <cellStyle name="40% - 强调文字颜色 4 3 2" xfId="98"/>
    <cellStyle name="输入 2 2 2 2" xfId="99"/>
    <cellStyle name="20% - 强调文字颜色 1 2 2 2 4" xfId="100"/>
    <cellStyle name="40% - 强调文字颜色 1" xfId="101" builtinId="31"/>
    <cellStyle name="输出 2" xfId="102"/>
    <cellStyle name="20% - 强调文字颜色 2 4 2 2" xfId="103"/>
    <cellStyle name="20% - 强调文字颜色 2" xfId="104" builtinId="34"/>
    <cellStyle name="40% - 强调文字颜色 4 3 3" xfId="105"/>
    <cellStyle name="汇总 3 4" xfId="106"/>
    <cellStyle name="40% - 强调文字颜色 1 2 2 3 2" xfId="107"/>
    <cellStyle name="40% - 强调文字颜色 2" xfId="108" builtinId="35"/>
    <cellStyle name="强调文字颜色 3" xfId="109" builtinId="37"/>
    <cellStyle name="常规 2 2 2 6" xfId="110"/>
    <cellStyle name="40% - 强调文字颜色 4 2 3 4" xfId="111"/>
    <cellStyle name="强调文字颜色 4" xfId="112" builtinId="41"/>
    <cellStyle name="常规 2 2 2 7" xfId="113"/>
    <cellStyle name="20% - 强调文字颜色 4" xfId="114" builtinId="42"/>
    <cellStyle name="标题 5 3 2" xfId="115"/>
    <cellStyle name="40% - 强调文字颜色 4" xfId="116" builtinId="43"/>
    <cellStyle name="40% - 强调文字颜色 3 3 3 3" xfId="117"/>
    <cellStyle name="强调文字颜色 5" xfId="118" builtinId="45"/>
    <cellStyle name="常规 2 2 2 8" xfId="119"/>
    <cellStyle name="60% - 强调文字颜色 6 5 2" xfId="120"/>
    <cellStyle name="40% - 强调文字颜色 5" xfId="121" builtinId="47"/>
    <cellStyle name="60% - 强调文字颜色 5" xfId="122" builtinId="48"/>
    <cellStyle name="强调文字颜色 6" xfId="123" builtinId="49"/>
    <cellStyle name="常规 2 2 2 9" xfId="124"/>
    <cellStyle name="60% - 强调文字颜色 6 5 3" xfId="125"/>
    <cellStyle name="20% - 强调文字颜色 3 3 2" xfId="126"/>
    <cellStyle name="40% - 强调文字颜色 6" xfId="127" builtinId="51"/>
    <cellStyle name="60% - 强调文字颜色 6" xfId="128" builtinId="52"/>
    <cellStyle name="20% - 强调文字颜色 1 2 2 2" xfId="129"/>
    <cellStyle name="20% - 强调文字颜色 1 2 2 3" xfId="130"/>
    <cellStyle name="40% - 强调文字颜色 2 2" xfId="131"/>
    <cellStyle name="20% - 强调文字颜色 1 2 3" xfId="132"/>
    <cellStyle name="20% - 强调文字颜色 1 2 2 2 2 2" xfId="133"/>
    <cellStyle name="20% - 强调文字颜色 1 2 2 3 2" xfId="134"/>
    <cellStyle name="60% - 强调文字颜色 2 4 2" xfId="135"/>
    <cellStyle name="20% - 强调文字颜色 1 2 2 2 2 3" xfId="136"/>
    <cellStyle name="20% - 强调文字颜色 1 2 2 4" xfId="137"/>
    <cellStyle name="40% - 强调文字颜色 2 2 2" xfId="138"/>
    <cellStyle name="适中 2 3 2 3" xfId="139"/>
    <cellStyle name="20% - 强调文字颜色 1 2 3 2" xfId="140"/>
    <cellStyle name="40% - 强调文字颜色 2 2 2 2" xfId="141"/>
    <cellStyle name="20% - 强调文字颜色 1 2 3 2 2" xfId="142"/>
    <cellStyle name="20% - 强调文字颜色 1 2 2 5" xfId="143"/>
    <cellStyle name="20% - 强调文字颜色 1 2 2" xfId="144"/>
    <cellStyle name="20% - 强调文字颜色 1 2 2 2 2" xfId="145"/>
    <cellStyle name="20% - 强调文字颜色 1 2 2 2 3" xfId="146"/>
    <cellStyle name="40% - 强调文字颜色 2 2 2 3" xfId="147"/>
    <cellStyle name="20% - 强调文字颜色 1 2 3 2 3" xfId="148"/>
    <cellStyle name="40% - 强调文字颜色 2 2 3" xfId="149"/>
    <cellStyle name="20% - 强调文字颜色 1 2 3 3" xfId="150"/>
    <cellStyle name="40% - 强调文字颜色 2 2 4" xfId="151"/>
    <cellStyle name="20% - 强调文字颜色 1 3 2 2 2" xfId="152"/>
    <cellStyle name="20% - 强调文字颜色 1 2 3 4" xfId="153"/>
    <cellStyle name="40% - 强调文字颜色 2 3" xfId="154"/>
    <cellStyle name="20% - 强调文字颜色 1 2 4" xfId="155"/>
    <cellStyle name="40% - 强调文字颜色 2 3 2" xfId="156"/>
    <cellStyle name="20% - 强调文字颜色 1 2 4 2" xfId="157"/>
    <cellStyle name="40% - 强调文字颜色 2 3 3" xfId="158"/>
    <cellStyle name="20% - 强调文字颜色 1 2 4 3" xfId="159"/>
    <cellStyle name="40% - 强调文字颜色 2 4" xfId="160"/>
    <cellStyle name="20% - 强调文字颜色 1 2 5" xfId="161"/>
    <cellStyle name="40% - 强调文字颜色 2 5" xfId="162"/>
    <cellStyle name="20% - 强调文字颜色 1 2 6" xfId="163"/>
    <cellStyle name="40% - 强调文字颜色 1 3 2 4" xfId="164"/>
    <cellStyle name="20% - 强调文字颜色 3 2 2 3 2" xfId="165"/>
    <cellStyle name="强调文字颜色 2 2 2 2" xfId="166"/>
    <cellStyle name="20% - 强调文字颜色 1 3" xfId="167"/>
    <cellStyle name="强调文字颜色 2 2 2 2 2" xfId="168"/>
    <cellStyle name="20% - 强调文字颜色 1 3 2" xfId="169"/>
    <cellStyle name="强调文字颜色 2 2 2 2 2 2" xfId="170"/>
    <cellStyle name="20% - 强调文字颜色 1 3 2 2" xfId="171"/>
    <cellStyle name="40% - 强调文字颜色 2 2 5" xfId="172"/>
    <cellStyle name="20% - 强调文字颜色 1 3 2 2 3" xfId="173"/>
    <cellStyle name="强调文字颜色 2 2 2 2 2 3" xfId="174"/>
    <cellStyle name="20% - 强调文字颜色 1 3 2 3" xfId="175"/>
    <cellStyle name="20% - 强调文字颜色 1 3 2 4" xfId="176"/>
    <cellStyle name="40% - 强调文字颜色 3 2" xfId="177"/>
    <cellStyle name="强调文字颜色 2 2 2 2 3" xfId="178"/>
    <cellStyle name="20% - 强调文字颜色 1 3 3" xfId="179"/>
    <cellStyle name="注释 3 5" xfId="180"/>
    <cellStyle name="40% - 强调文字颜色 3 2 2" xfId="181"/>
    <cellStyle name="20% - 强调文字颜色 1 3 3 2" xfId="182"/>
    <cellStyle name="40% - 强调文字颜色 3 2 3" xfId="183"/>
    <cellStyle name="20% - 强调文字颜色 1 3 3 3" xfId="184"/>
    <cellStyle name="40% - 强调文字颜色 3 3" xfId="185"/>
    <cellStyle name="强调文字颜色 2 2 2 2 4" xfId="186"/>
    <cellStyle name="20% - 强调文字颜色 1 3 4" xfId="187"/>
    <cellStyle name="40% - 强调文字颜色 3 4" xfId="188"/>
    <cellStyle name="20% - 强调文字颜色 1 3 5" xfId="189"/>
    <cellStyle name="20% - 强调文字颜色 3 2 2 3 3" xfId="190"/>
    <cellStyle name="强调文字颜色 2 2 2 3" xfId="191"/>
    <cellStyle name="20% - 强调文字颜色 1 4" xfId="192"/>
    <cellStyle name="强调文字颜色 2 2 2 3 2" xfId="193"/>
    <cellStyle name="20% - 强调文字颜色 1 4 2" xfId="194"/>
    <cellStyle name="20% - 强调文字颜色 1 4 2 2" xfId="195"/>
    <cellStyle name="20% - 强调文字颜色 1 4 2 3" xfId="196"/>
    <cellStyle name="40% - 强调文字颜色 4 3" xfId="197"/>
    <cellStyle name="20% - 强调文字颜色 1 4 4" xfId="198"/>
    <cellStyle name="强调文字颜色 2 2 2 4" xfId="199"/>
    <cellStyle name="20% - 强调文字颜色 1 5" xfId="200"/>
    <cellStyle name="20% - 强调文字颜色 1 5 2" xfId="201"/>
    <cellStyle name="20% - 强调文字颜色 1 5 3" xfId="202"/>
    <cellStyle name="强调文字颜色 2 2 2 5" xfId="203"/>
    <cellStyle name="20% - 强调文字颜色 1 6" xfId="204"/>
    <cellStyle name="60% - 强调文字颜色 4 4 2 2" xfId="205"/>
    <cellStyle name="20% - 强调文字颜色 1 7" xfId="206"/>
    <cellStyle name="60% - 强调文字颜色 4 4 2 3" xfId="207"/>
    <cellStyle name="20% - 强调文字颜色 1 8" xfId="208"/>
    <cellStyle name="40% - 强调文字颜色 1 3 3 3" xfId="209"/>
    <cellStyle name="20% - 强调文字颜色 2 2" xfId="210"/>
    <cellStyle name="40% - 强调文字颜色 3 2 2 5" xfId="211"/>
    <cellStyle name="20% - 强调文字颜色 2 2 2" xfId="212"/>
    <cellStyle name="20% - 强调文字颜色 2 6" xfId="213"/>
    <cellStyle name="20% - 强调文字颜色 2 2 2 2" xfId="214"/>
    <cellStyle name="20% - 强调文字颜色 2 2 2 2 2" xfId="215"/>
    <cellStyle name="标题 2 8" xfId="216"/>
    <cellStyle name="20% - 强调文字颜色 2 2 2 2 2 2" xfId="217"/>
    <cellStyle name="20% - 强调文字颜色 4 2 2 3 2" xfId="218"/>
    <cellStyle name="20% - 强调文字颜色 2 2 2 2 2 3" xfId="219"/>
    <cellStyle name="20% - 强调文字颜色 3 4 2 2" xfId="220"/>
    <cellStyle name="20% - 强调文字颜色 2 2 2 2 3" xfId="221"/>
    <cellStyle name="常规 2 5 2" xfId="222"/>
    <cellStyle name="20% - 强调文字颜色 3 4 2 3" xfId="223"/>
    <cellStyle name="20% - 强调文字颜色 2 2 2 2 4" xfId="224"/>
    <cellStyle name="检查单元格 2 3 2 2" xfId="225"/>
    <cellStyle name="20% - 强调文字颜色 2 7" xfId="226"/>
    <cellStyle name="20% - 强调文字颜色 2 2 2 3" xfId="227"/>
    <cellStyle name="20% - 强调文字颜色 2 2 2 5" xfId="228"/>
    <cellStyle name="20% - 强调文字颜色 2 2 2 3 2" xfId="229"/>
    <cellStyle name="20% - 强调文字颜色 2 2 2 3 3" xfId="230"/>
    <cellStyle name="检查单元格 2 3 2 3" xfId="231"/>
    <cellStyle name="20% - 强调文字颜色 2 8" xfId="232"/>
    <cellStyle name="20% - 强调文字颜色 2 2 2 4" xfId="233"/>
    <cellStyle name="20% - 强调文字颜色 6 2 2 3 2" xfId="234"/>
    <cellStyle name="20% - 强调文字颜色 2 2 3" xfId="235"/>
    <cellStyle name="20% - 强调文字颜色 3 6" xfId="236"/>
    <cellStyle name="20% - 强调文字颜色 2 2 3 2" xfId="237"/>
    <cellStyle name="输入 8" xfId="238"/>
    <cellStyle name="20% - 强调文字颜色 2 2 3 2 2" xfId="239"/>
    <cellStyle name="20% - 强调文字颜色 2 2 3 2 3" xfId="240"/>
    <cellStyle name="20% - 强调文字颜色 3 7" xfId="241"/>
    <cellStyle name="20% - 强调文字颜色 2 2 3 3" xfId="242"/>
    <cellStyle name="20% - 强调文字颜色 3 8" xfId="243"/>
    <cellStyle name="20% - 强调文字颜色 2 2 3 4" xfId="244"/>
    <cellStyle name="20% - 强调文字颜色 6 2 2 3 3" xfId="245"/>
    <cellStyle name="20% - 强调文字颜色 2 2 4" xfId="246"/>
    <cellStyle name="20% - 强调文字颜色 4 6" xfId="247"/>
    <cellStyle name="20% - 强调文字颜色 2 2 4 2" xfId="248"/>
    <cellStyle name="20% - 强调文字颜色 4 7" xfId="249"/>
    <cellStyle name="20% - 强调文字颜色 2 2 4 3" xfId="250"/>
    <cellStyle name="20% - 强调文字颜色 2 2 5" xfId="251"/>
    <cellStyle name="40% - 强调文字颜色 1 2 3 2" xfId="252"/>
    <cellStyle name="20% - 强调文字颜色 2 2 6" xfId="253"/>
    <cellStyle name="20% - 强调文字颜色 5 4 2 2" xfId="254"/>
    <cellStyle name="强调文字颜色 2 2 3 2" xfId="255"/>
    <cellStyle name="20% - 强调文字颜色 2 3" xfId="256"/>
    <cellStyle name="输出 2 3 2" xfId="257"/>
    <cellStyle name="40% - 强调文字颜色 2 2 2 2 2 3" xfId="258"/>
    <cellStyle name="强调文字颜色 2 2 3 2 2" xfId="259"/>
    <cellStyle name="20% - 强调文字颜色 2 3 2" xfId="260"/>
    <cellStyle name="20% - 强调文字颜色 2 3 2 2" xfId="261"/>
    <cellStyle name="20% - 强调文字颜色 2 3 2 3" xfId="262"/>
    <cellStyle name="20% - 强调文字颜色 2 3 2 4" xfId="263"/>
    <cellStyle name="强调文字颜色 2 2 3 2 3" xfId="264"/>
    <cellStyle name="20% - 强调文字颜色 2 3 3" xfId="265"/>
    <cellStyle name="20% - 强调文字颜色 2 3 3 2" xfId="266"/>
    <cellStyle name="20% - 强调文字颜色 2 3 3 3" xfId="267"/>
    <cellStyle name="20% - 强调文字颜色 2 3 4" xfId="268"/>
    <cellStyle name="20% - 强调文字颜色 2 3 5" xfId="269"/>
    <cellStyle name="20% - 强调文字颜色 5 4 2 3" xfId="270"/>
    <cellStyle name="20% - 强调文字颜色 5 2 3 2 2" xfId="271"/>
    <cellStyle name="强调文字颜色 2 2 3 3" xfId="272"/>
    <cellStyle name="20% - 强调文字颜色 2 4" xfId="273"/>
    <cellStyle name="20% - 强调文字颜色 2 4 3" xfId="274"/>
    <cellStyle name="20% - 强调文字颜色 2 4 4" xfId="275"/>
    <cellStyle name="20% - 强调文字颜色 5 2 3 2 3" xfId="276"/>
    <cellStyle name="强调文字颜色 2 2 3 4" xfId="277"/>
    <cellStyle name="20% - 强调文字颜色 2 5" xfId="278"/>
    <cellStyle name="20% - 强调文字颜色 2 5 2" xfId="279"/>
    <cellStyle name="20% - 强调文字颜色 2 5 3" xfId="280"/>
    <cellStyle name="20% - 强调文字颜色 4 2 2 5" xfId="281"/>
    <cellStyle name="20% - 强调文字颜色 3 2" xfId="282"/>
    <cellStyle name="60% - 强调文字颜色 1 2 2 3 3" xfId="283"/>
    <cellStyle name="20% - 强调文字颜色 3 2 2" xfId="284"/>
    <cellStyle name="20% - 强调文字颜色 3 2 2 2" xfId="285"/>
    <cellStyle name="20% - 强调文字颜色 3 2 2 2 2" xfId="286"/>
    <cellStyle name="20% - 强调文字颜色 3 2 2 2 2 2" xfId="287"/>
    <cellStyle name="40% - 强调文字颜色 4 2 4 2" xfId="288"/>
    <cellStyle name="40% - 强调文字颜色 3 3 2 2 2" xfId="289"/>
    <cellStyle name="20% - 强调文字颜色 3 2 2 2 2 3" xfId="290"/>
    <cellStyle name="40% - 强调文字颜色 3 5 2" xfId="291"/>
    <cellStyle name="20% - 强调文字颜色 3 2 2 2 3" xfId="292"/>
    <cellStyle name="20% - 强调文字颜色 3 2 2 3" xfId="293"/>
    <cellStyle name="20% - 强调文字颜色 5 4 2" xfId="294"/>
    <cellStyle name="20% - 强调文字颜色 3 2 2 4" xfId="295"/>
    <cellStyle name="20% - 强调文字颜色 5 4 3" xfId="296"/>
    <cellStyle name="20% - 强调文字颜色 3 2 2 5" xfId="297"/>
    <cellStyle name="20% - 强调文字颜色 3 2 3" xfId="298"/>
    <cellStyle name="汇总 5" xfId="299"/>
    <cellStyle name="20% - 强调文字颜色 3 2 3 2" xfId="300"/>
    <cellStyle name="汇总 5 2" xfId="301"/>
    <cellStyle name="20% - 强调文字颜色 3 2 3 2 2" xfId="302"/>
    <cellStyle name="20% - 强调文字颜色 6 2 3 2" xfId="303"/>
    <cellStyle name="汇总 5 3" xfId="304"/>
    <cellStyle name="20% - 强调文字颜色 3 2 3 2 3" xfId="305"/>
    <cellStyle name="强调文字颜色 6 2 3 2 3" xfId="306"/>
    <cellStyle name="20% - 强调文字颜色 5 5 2" xfId="307"/>
    <cellStyle name="汇总 7" xfId="308"/>
    <cellStyle name="20% - 强调文字颜色 3 2 3 4" xfId="309"/>
    <cellStyle name="20% - 强调文字颜色 3 2 4" xfId="310"/>
    <cellStyle name="20% - 强调文字颜色 3 2 4 2" xfId="311"/>
    <cellStyle name="标题 6 2 2" xfId="312"/>
    <cellStyle name="20% - 强调文字颜色 3 2 4 3" xfId="313"/>
    <cellStyle name="20% - 强调文字颜色 3 2 5" xfId="314"/>
    <cellStyle name="40% - 强调文字颜色 1 3 3 2" xfId="315"/>
    <cellStyle name="20% - 强调文字颜色 3 2 6" xfId="316"/>
    <cellStyle name="20% - 强调文字颜色 3 3 2 2" xfId="317"/>
    <cellStyle name="20% - 强调文字颜色 3 3 2 2 2" xfId="318"/>
    <cellStyle name="20% - 强调文字颜色 3 3 2 2 3" xfId="319"/>
    <cellStyle name="20% - 强调文字颜色 3 3 2 3" xfId="320"/>
    <cellStyle name="适中 2 4" xfId="321"/>
    <cellStyle name="20% - 强调文字颜色 6 4 2" xfId="322"/>
    <cellStyle name="20% - 强调文字颜色 3 3 2 4" xfId="323"/>
    <cellStyle name="20% - 强调文字颜色 3 3 3" xfId="324"/>
    <cellStyle name="20% - 强调文字颜色 3 3 3 2" xfId="325"/>
    <cellStyle name="20% - 强调文字颜色 3 3 3 3" xfId="326"/>
    <cellStyle name="20% - 强调文字颜色 3 3 4" xfId="327"/>
    <cellStyle name="20% - 强调文字颜色 4 2 2 2" xfId="328"/>
    <cellStyle name="20% - 强调文字颜色 3 3 5" xfId="329"/>
    <cellStyle name="20% - 强调文字颜色 4 2 2 3" xfId="330"/>
    <cellStyle name="强调文字颜色 2 2 4 3" xfId="331"/>
    <cellStyle name="20% - 强调文字颜色 3 4" xfId="332"/>
    <cellStyle name="20% - 强调文字颜色 3 4 2" xfId="333"/>
    <cellStyle name="20% - 强调文字颜色 3 4 3" xfId="334"/>
    <cellStyle name="20% - 强调文字颜色 3 4 4" xfId="335"/>
    <cellStyle name="20% - 强调文字颜色 4 2 3 2" xfId="336"/>
    <cellStyle name="20% - 强调文字颜色 3 5" xfId="337"/>
    <cellStyle name="20% - 强调文字颜色 3 5 2" xfId="338"/>
    <cellStyle name="20% - 强调文字颜色 3 5 3" xfId="339"/>
    <cellStyle name="好 3 2 2 3" xfId="340"/>
    <cellStyle name="20% - 强调文字颜色 4 2" xfId="341"/>
    <cellStyle name="20% - 强调文字颜色 4 2 2" xfId="342"/>
    <cellStyle name="20% - 强调文字颜色 4 2 2 2 2" xfId="343"/>
    <cellStyle name="40% - 强调文字颜色 3 2 4 3" xfId="344"/>
    <cellStyle name="40% - 强调文字颜色 3 2 2 2 3" xfId="345"/>
    <cellStyle name="警告文本 8" xfId="346"/>
    <cellStyle name="20% - 强调文字颜色 4 2 2 2 2 2" xfId="347"/>
    <cellStyle name="40% - 强调文字颜色 3 2 2 2 4" xfId="348"/>
    <cellStyle name="20% - 强调文字颜色 4 2 2 2 2 3" xfId="349"/>
    <cellStyle name="20% - 强调文字颜色 4 2 2 2 3" xfId="350"/>
    <cellStyle name="20% - 强调文字颜色 4 2 2 2 4" xfId="351"/>
    <cellStyle name="20% - 强调文字颜色 4 2 2 3 3" xfId="352"/>
    <cellStyle name="20% - 强调文字颜色 4 2 2 4" xfId="353"/>
    <cellStyle name="20% - 强调文字颜色 4 2 3" xfId="354"/>
    <cellStyle name="20% - 强调文字颜色 4 2 3 2 2" xfId="355"/>
    <cellStyle name="20% - 强调文字颜色 4 2 3 2 3" xfId="356"/>
    <cellStyle name="20% - 强调文字颜色 4 2 3 3" xfId="357"/>
    <cellStyle name="20% - 强调文字颜色 4 2 3 4" xfId="358"/>
    <cellStyle name="20% - 强调文字颜色 4 2 4" xfId="359"/>
    <cellStyle name="20% - 强调文字颜色 4 2 4 2" xfId="360"/>
    <cellStyle name="20% - 强调文字颜色 4 2 5" xfId="361"/>
    <cellStyle name="20% - 强调文字颜色 4 2 6" xfId="362"/>
    <cellStyle name="20% - 强调文字颜色 4 3" xfId="363"/>
    <cellStyle name="20% - 强调文字颜色 4 3 2" xfId="364"/>
    <cellStyle name="20% - 强调文字颜色 4 3 2 2" xfId="365"/>
    <cellStyle name="20% - 强调文字颜色 4 3 4" xfId="366"/>
    <cellStyle name="20% - 强调文字颜色 4 3 2 2 2" xfId="367"/>
    <cellStyle name="20% - 强调文字颜色 4 3 2 3" xfId="368"/>
    <cellStyle name="20% - 强调文字颜色 4 3 5" xfId="369"/>
    <cellStyle name="20% - 强调文字颜色 4 3 2 4" xfId="370"/>
    <cellStyle name="20% - 强调文字颜色 4 3 3" xfId="371"/>
    <cellStyle name="20% - 强调文字颜色 4 3 3 2" xfId="372"/>
    <cellStyle name="20% - 强调文字颜色 4 4 4" xfId="373"/>
    <cellStyle name="20% - 强调文字颜色 4 3 3 3" xfId="374"/>
    <cellStyle name="20% - 强调文字颜色 4 4" xfId="375"/>
    <cellStyle name="20% - 强调文字颜色 4 4 3" xfId="376"/>
    <cellStyle name="强调文字颜色 6 2 2 2 3" xfId="377"/>
    <cellStyle name="20% - 强调文字颜色 4 5 2" xfId="378"/>
    <cellStyle name="强调文字颜色 6 2 2 2 4" xfId="379"/>
    <cellStyle name="20% - 强调文字颜色 4 5 3" xfId="380"/>
    <cellStyle name="20% - 强调文字颜色 4 8" xfId="381"/>
    <cellStyle name="20% - 强调文字颜色 5 2" xfId="382"/>
    <cellStyle name="20% - 强调文字颜色 5 2 2" xfId="383"/>
    <cellStyle name="20% - 强调文字颜色 5 2 2 2" xfId="384"/>
    <cellStyle name="40% - 强调文字颜色 2 7" xfId="385"/>
    <cellStyle name="20% - 强调文字颜色 5 3 2 3" xfId="386"/>
    <cellStyle name="20% - 强调文字颜色 5 2 2 2 2" xfId="387"/>
    <cellStyle name="20% - 强调文字颜色 6 3 3 3" xfId="388"/>
    <cellStyle name="20% - 强调文字颜色 5 2 2 2 2 2" xfId="389"/>
    <cellStyle name="20% - 强调文字颜色 5 2 2 2 2 3" xfId="390"/>
    <cellStyle name="20% - 强调文字颜色 5 3 2 4" xfId="391"/>
    <cellStyle name="20% - 强调文字颜色 5 2 2 2 3" xfId="392"/>
    <cellStyle name="好 2 10" xfId="393"/>
    <cellStyle name="20% - 强调文字颜色 5 2 2 2 4" xfId="394"/>
    <cellStyle name="20% - 强调文字颜色 5 2 2 3" xfId="395"/>
    <cellStyle name="40% - 强调文字颜色 2 8" xfId="396"/>
    <cellStyle name="20% - 强调文字颜色 5 3 3 3" xfId="397"/>
    <cellStyle name="标题 1 3" xfId="398"/>
    <cellStyle name="20% - 强调文字颜色 5 2 2 3 2" xfId="399"/>
    <cellStyle name="标题 1 4" xfId="400"/>
    <cellStyle name="20% - 强调文字颜色 5 2 2 3 3" xfId="401"/>
    <cellStyle name="20% - 强调文字颜色 5 2 2 4" xfId="402"/>
    <cellStyle name="20% - 强调文字颜色 5 2 2 5" xfId="403"/>
    <cellStyle name="20% - 强调文字颜色 5 2 3" xfId="404"/>
    <cellStyle name="20% - 强调文字颜色 5 2 3 2" xfId="405"/>
    <cellStyle name="40% - 强调文字颜色 3 7" xfId="406"/>
    <cellStyle name="20% - 强调文字颜色 5 2 4" xfId="407"/>
    <cellStyle name="强调文字颜色 6 2 2 2 2 3" xfId="408"/>
    <cellStyle name="20% - 强调文字颜色 6 2 5" xfId="409"/>
    <cellStyle name="40% - 强调文字颜色 4 7" xfId="410"/>
    <cellStyle name="20% - 强调文字颜色 5 2 4 2" xfId="411"/>
    <cellStyle name="20% - 强调文字颜色 6 2 6" xfId="412"/>
    <cellStyle name="40% - 强调文字颜色 4 8" xfId="413"/>
    <cellStyle name="20% - 强调文字颜色 5 2 4 3" xfId="414"/>
    <cellStyle name="20% - 强调文字颜色 5 2 5" xfId="415"/>
    <cellStyle name="20% - 强调文字颜色 5 2 6" xfId="416"/>
    <cellStyle name="40% - 强调文字颜色 2 3 2 2 2" xfId="417"/>
    <cellStyle name="20% - 强调文字颜色 5 3" xfId="418"/>
    <cellStyle name="20% - 强调文字颜色 5 3 2" xfId="419"/>
    <cellStyle name="40% - 强调文字颜色 1 2 3 4" xfId="420"/>
    <cellStyle name="20% - 强调文字颜色 5 3 2 2" xfId="421"/>
    <cellStyle name="20% - 强调文字颜色 6 3 2 3" xfId="422"/>
    <cellStyle name="20% - 强调文字颜色 5 3 2 2 2" xfId="423"/>
    <cellStyle name="40% - 强调文字颜色 3 2 2 2 2 2" xfId="424"/>
    <cellStyle name="20% - 强调文字颜色 6 3 2 4" xfId="425"/>
    <cellStyle name="20% - 强调文字颜色 5 3 2 2 3" xfId="426"/>
    <cellStyle name="20% - 强调文字颜色 5 3 3 2" xfId="427"/>
    <cellStyle name="20% - 强调文字颜色 5 4" xfId="428"/>
    <cellStyle name="20% - 强调文字颜色 5 4 4" xfId="429"/>
    <cellStyle name="20% - 强调文字颜色 5 5" xfId="430"/>
    <cellStyle name="20% - 强调文字颜色 5 5 3" xfId="431"/>
    <cellStyle name="60% - 强调文字颜色 6 3 2 2 2" xfId="432"/>
    <cellStyle name="20% - 强调文字颜色 5 6" xfId="433"/>
    <cellStyle name="60% - 强调文字颜色 6 3 2 2 3" xfId="434"/>
    <cellStyle name="20% - 强调文字颜色 5 7" xfId="435"/>
    <cellStyle name="20% - 强调文字颜色 5 8" xfId="436"/>
    <cellStyle name="链接单元格 2 3 2 3" xfId="437"/>
    <cellStyle name="20% - 强调文字颜色 6 2" xfId="438"/>
    <cellStyle name="20% - 强调文字颜色 6 2 2" xfId="439"/>
    <cellStyle name="20% - 强调文字颜色 6 2 2 2" xfId="440"/>
    <cellStyle name="20% - 强调文字颜色 6 2 2 2 2" xfId="441"/>
    <cellStyle name="常规 2 2 9" xfId="442"/>
    <cellStyle name="20% - 强调文字颜色 6 2 2 2 2 2" xfId="443"/>
    <cellStyle name="注释 4 2 2" xfId="444"/>
    <cellStyle name="检查单元格 2 2 3 2" xfId="445"/>
    <cellStyle name="20% - 强调文字颜色 6 2 2 2 2 3" xfId="446"/>
    <cellStyle name="20% - 强调文字颜色 6 2 2 2 3" xfId="447"/>
    <cellStyle name="20% - 强调文字颜色 6 2 2 2 4" xfId="448"/>
    <cellStyle name="20% - 强调文字颜色 6 2 2 3" xfId="449"/>
    <cellStyle name="40% - 强调文字颜色 4 4 4" xfId="450"/>
    <cellStyle name="40% - 强调文字颜色 3 2 3 2 2" xfId="451"/>
    <cellStyle name="20% - 强调文字颜色 6 2 2 4" xfId="452"/>
    <cellStyle name="40% - 强调文字颜色 3 2 3 2 3" xfId="453"/>
    <cellStyle name="20% - 强调文字颜色 6 2 2 5" xfId="454"/>
    <cellStyle name="20% - 强调文字颜色 6 2 3" xfId="455"/>
    <cellStyle name="20% - 强调文字颜色 6 2 3 2 2" xfId="456"/>
    <cellStyle name="20% - 强调文字颜色 6 2 3 2 3" xfId="457"/>
    <cellStyle name="20% - 强调文字颜色 6 2 3 3" xfId="458"/>
    <cellStyle name="20% - 强调文字颜色 6 2 3 4" xfId="459"/>
    <cellStyle name="强调文字颜色 6 2 2 2 2 2" xfId="460"/>
    <cellStyle name="20% - 强调文字颜色 6 2 4" xfId="461"/>
    <cellStyle name="20% - 强调文字颜色 6 2 4 2" xfId="462"/>
    <cellStyle name="20% - 强调文字颜色 6 2 4 3" xfId="463"/>
    <cellStyle name="20% - 强调文字颜色 6 3" xfId="464"/>
    <cellStyle name="60% - 强调文字颜色 5 2 2 2 4" xfId="465"/>
    <cellStyle name="20% - 强调文字颜色 6 3 2" xfId="466"/>
    <cellStyle name="40% - 强调文字颜色 2 2 3 4" xfId="467"/>
    <cellStyle name="20% - 强调文字颜色 6 3 2 2" xfId="468"/>
    <cellStyle name="20% - 强调文字颜色 6 3 2 2 3" xfId="469"/>
    <cellStyle name="20% - 强调文字颜色 6 3 3" xfId="470"/>
    <cellStyle name="20% - 强调文字颜色 6 3 3 2" xfId="471"/>
    <cellStyle name="20% - 强调文字颜色 6 3 4" xfId="472"/>
    <cellStyle name="20% - 强调文字颜色 6 4" xfId="473"/>
    <cellStyle name="适中 2 4 3" xfId="474"/>
    <cellStyle name="20% - 强调文字颜色 6 4 2 3" xfId="475"/>
    <cellStyle name="适中 2 6" xfId="476"/>
    <cellStyle name="20% - 强调文字颜色 6 4 4" xfId="477"/>
    <cellStyle name="20% - 强调文字颜色 6 5" xfId="478"/>
    <cellStyle name="适中 3 4" xfId="479"/>
    <cellStyle name="20% - 强调文字颜色 6 5 2" xfId="480"/>
    <cellStyle name="40% - 强调文字颜色 4 2 2 2 2" xfId="481"/>
    <cellStyle name="适中 3 5" xfId="482"/>
    <cellStyle name="20% - 强调文字颜色 6 5 3" xfId="483"/>
    <cellStyle name="40% - 强调文字颜色 1 2 3 2 2" xfId="484"/>
    <cellStyle name="20% - 强调文字颜色 6 6" xfId="485"/>
    <cellStyle name="20% - 强调文字颜色 6 7" xfId="486"/>
    <cellStyle name="40% - 强调文字颜色 3 4 2 2" xfId="487"/>
    <cellStyle name="40% - 强调文字颜色 1 2 3 2 3" xfId="488"/>
    <cellStyle name="20% - 强调文字颜色 6 8" xfId="489"/>
    <cellStyle name="40% - 强调文字颜色 3 4 2 3" xfId="490"/>
    <cellStyle name="40% - 强调文字颜色 4 3 2 2" xfId="491"/>
    <cellStyle name="40% - 强调文字颜色 1 3 2 2 3" xfId="492"/>
    <cellStyle name="40% - 强调文字颜色 1 2" xfId="493"/>
    <cellStyle name="40% - 强调文字颜色 4 3 2 2 2" xfId="494"/>
    <cellStyle name="40% - 强调文字颜色 1 2 2" xfId="495"/>
    <cellStyle name="40% - 强调文字颜色 1 2 2 2" xfId="496"/>
    <cellStyle name="解释性文本 2 2 5" xfId="497"/>
    <cellStyle name="40% - 强调文字颜色 4 2 3" xfId="498"/>
    <cellStyle name="汇总 2 4" xfId="499"/>
    <cellStyle name="40% - 强调文字颜色 1 2 2 2 2" xfId="500"/>
    <cellStyle name="40% - 强调文字颜色 4 2 4" xfId="501"/>
    <cellStyle name="40% - 强调文字颜色 3 3 2 2" xfId="502"/>
    <cellStyle name="汇总 2 5" xfId="503"/>
    <cellStyle name="40% - 强调文字颜色 1 2 2 2 3" xfId="504"/>
    <cellStyle name="40% - 强调文字颜色 4 2 5" xfId="505"/>
    <cellStyle name="40% - 强调文字颜色 3 3 2 3" xfId="506"/>
    <cellStyle name="汇总 2 6" xfId="507"/>
    <cellStyle name="40% - 强调文字颜色 1 2 2 2 4" xfId="508"/>
    <cellStyle name="40% - 强调文字颜色 1 2 2 3" xfId="509"/>
    <cellStyle name="40% - 强调文字颜色 1 2 2 4" xfId="510"/>
    <cellStyle name="40% - 强调文字颜色 1 2 2 5" xfId="511"/>
    <cellStyle name="40% - 强调文字颜色 4 3 2 2 3" xfId="512"/>
    <cellStyle name="40% - 强调文字颜色 1 2 3" xfId="513"/>
    <cellStyle name="40% - 强调文字颜色 1 2 3 3" xfId="514"/>
    <cellStyle name="40% - 强调文字颜色 1 2 4" xfId="515"/>
    <cellStyle name="40% - 强调文字颜色 1 2 4 3" xfId="516"/>
    <cellStyle name="40% - 强调文字颜色 1 2 5" xfId="517"/>
    <cellStyle name="40% - 强调文字颜色 1 2 6" xfId="518"/>
    <cellStyle name="40% - 强调文字颜色 4 3 2 3" xfId="519"/>
    <cellStyle name="40% - 强调文字颜色 1 3" xfId="520"/>
    <cellStyle name="注释 7" xfId="521"/>
    <cellStyle name="40% - 强调文字颜色 1 3 2" xfId="522"/>
    <cellStyle name="40% - 强调文字颜色 1 3 2 2" xfId="523"/>
    <cellStyle name="40% - 强调文字颜色 1 3 2 2 2" xfId="524"/>
    <cellStyle name="注释 8" xfId="525"/>
    <cellStyle name="40% - 强调文字颜色 1 3 3" xfId="526"/>
    <cellStyle name="40% - 强调文字颜色 1 3 4" xfId="527"/>
    <cellStyle name="40% - 强调文字颜色 4 3 2 4" xfId="528"/>
    <cellStyle name="40% - 强调文字颜色 1 4" xfId="529"/>
    <cellStyle name="40% - 强调文字颜色 1 4 2" xfId="530"/>
    <cellStyle name="40% - 强调文字颜色 1 4 2 2" xfId="531"/>
    <cellStyle name="40% - 强调文字颜色 1 4 2 3" xfId="532"/>
    <cellStyle name="40% - 强调文字颜色 1 4 3" xfId="533"/>
    <cellStyle name="40% - 强调文字颜色 1 4 4" xfId="534"/>
    <cellStyle name="40% - 强调文字颜色 1 5" xfId="535"/>
    <cellStyle name="40% - 强调文字颜色 1 5 2" xfId="536"/>
    <cellStyle name="40% - 强调文字颜色 2 3 2 2" xfId="537"/>
    <cellStyle name="40% - 强调文字颜色 1 5 3" xfId="538"/>
    <cellStyle name="40% - 强调文字颜色 1 6" xfId="539"/>
    <cellStyle name="40% - 强调文字颜色 1 7" xfId="540"/>
    <cellStyle name="40% - 强调文字颜色 1 8" xfId="541"/>
    <cellStyle name="常规 2 4 3" xfId="542"/>
    <cellStyle name="40% - 强调文字颜色 2 2 2 2 2" xfId="543"/>
    <cellStyle name="40% - 强调文字颜色 3 2 3 4" xfId="544"/>
    <cellStyle name="40% - 强调文字颜色 2 2 2 2 2 2" xfId="545"/>
    <cellStyle name="常规 2 4 4" xfId="546"/>
    <cellStyle name="40% - 强调文字颜色 2 2 2 2 3" xfId="547"/>
    <cellStyle name="40% - 强调文字颜色 2 2 2 2 4" xfId="548"/>
    <cellStyle name="常规 2 5 3" xfId="549"/>
    <cellStyle name="40% - 强调文字颜色 2 2 2 3 2" xfId="550"/>
    <cellStyle name="链接单元格 2 2 2 2" xfId="551"/>
    <cellStyle name="40% - 强调文字颜色 2 2 2 3 3" xfId="552"/>
    <cellStyle name="40% - 强调文字颜色 2 2 2 4" xfId="553"/>
    <cellStyle name="40% - 强调文字颜色 2 2 2 5" xfId="554"/>
    <cellStyle name="40% - 强调文字颜色 2 2 3 2" xfId="555"/>
    <cellStyle name="40% - 强调文字颜色 2 2 3 2 3" xfId="556"/>
    <cellStyle name="40% - 强调文字颜色 2 2 3 3" xfId="557"/>
    <cellStyle name="40% - 强调文字颜色 2 2 4 2" xfId="558"/>
    <cellStyle name="40% - 强调文字颜色 2 2 4 3" xfId="559"/>
    <cellStyle name="40% - 强调文字颜色 2 2 6" xfId="560"/>
    <cellStyle name="40% - 强调文字颜色 2 3 2 2 3" xfId="561"/>
    <cellStyle name="解释性文本 2" xfId="562"/>
    <cellStyle name="40% - 强调文字颜色 2 3 2 3" xfId="563"/>
    <cellStyle name="解释性文本 3" xfId="564"/>
    <cellStyle name="40% - 强调文字颜色 2 3 2 4" xfId="565"/>
    <cellStyle name="40% - 强调文字颜色 2 3 3 2" xfId="566"/>
    <cellStyle name="40% - 强调文字颜色 2 3 3 3" xfId="567"/>
    <cellStyle name="40% - 强调文字颜色 2 3 4" xfId="568"/>
    <cellStyle name="40% - 强调文字颜色 2 3 5" xfId="569"/>
    <cellStyle name="40% - 强调文字颜色 2 4 2" xfId="570"/>
    <cellStyle name="40% - 强调文字颜色 2 4 2 3" xfId="571"/>
    <cellStyle name="40% - 强调文字颜色 2 4 3" xfId="572"/>
    <cellStyle name="40% - 强调文字颜色 2 4 4" xfId="573"/>
    <cellStyle name="40% - 强调文字颜色 2 5 2" xfId="574"/>
    <cellStyle name="40% - 强调文字颜色 2 6" xfId="575"/>
    <cellStyle name="40% - 强调文字颜色 3 2 4" xfId="576"/>
    <cellStyle name="40% - 强调文字颜色 3 2 2 2" xfId="577"/>
    <cellStyle name="40% - 强调文字颜色 3 2 2 2 2" xfId="578"/>
    <cellStyle name="40% - 强调文字颜色 3 4 4" xfId="579"/>
    <cellStyle name="40% - 强调文字颜色 3 2 4 2" xfId="580"/>
    <cellStyle name="40% - 强调文字颜色 3 2 2 2 2 3" xfId="581"/>
    <cellStyle name="40% - 强调文字颜色 3 2 5" xfId="582"/>
    <cellStyle name="40% - 强调文字颜色 3 2 2 3" xfId="583"/>
    <cellStyle name="40% - 强调文字颜色 3 2 2 3 2" xfId="584"/>
    <cellStyle name="40% - 强调文字颜色 3 2 2 3 3" xfId="585"/>
    <cellStyle name="40% - 强调文字颜色 3 2 6" xfId="586"/>
    <cellStyle name="40% - 强调文字颜色 3 2 2 4" xfId="587"/>
    <cellStyle name="注释 2 2 2 2 3" xfId="588"/>
    <cellStyle name="40% - 强调文字颜色 3 3 4" xfId="589"/>
    <cellStyle name="40% - 强调文字颜色 3 2 3 2" xfId="590"/>
    <cellStyle name="40% - 强调文字颜色 3 3 5" xfId="591"/>
    <cellStyle name="40% - 强调文字颜色 3 2 3 3" xfId="592"/>
    <cellStyle name="40% - 强调文字颜色 3 3 2" xfId="593"/>
    <cellStyle name="40% - 强调文字颜色 4 2 4 3" xfId="594"/>
    <cellStyle name="40% - 强调文字颜色 3 3 2 2 3" xfId="595"/>
    <cellStyle name="60% - 强调文字颜色 1 2 2 3 2" xfId="596"/>
    <cellStyle name="40% - 强调文字颜色 4 2 6" xfId="597"/>
    <cellStyle name="40% - 强调文字颜色 3 3 2 4" xfId="598"/>
    <cellStyle name="40% - 强调文字颜色 3 4 2" xfId="599"/>
    <cellStyle name="40% - 强调文字颜色 3 4 3" xfId="600"/>
    <cellStyle name="40% - 强调文字颜色 3 5" xfId="601"/>
    <cellStyle name="40% - 强调文字颜色 3 6" xfId="602"/>
    <cellStyle name="解释性文本 2 2 4" xfId="603"/>
    <cellStyle name="40% - 强调文字颜色 4 2 2" xfId="604"/>
    <cellStyle name="40% - 强调文字颜色 4 2 2 2" xfId="605"/>
    <cellStyle name="常规 10" xfId="606"/>
    <cellStyle name="40% - 强调文字颜色 4 2 2 2 2 2" xfId="607"/>
    <cellStyle name="常规 11" xfId="608"/>
    <cellStyle name="40% - 强调文字颜色 4 2 2 2 2 3" xfId="609"/>
    <cellStyle name="40% - 强调文字颜色 4 2 2 2 3" xfId="610"/>
    <cellStyle name="40% - 强调文字颜色 4 2 2 2 4" xfId="611"/>
    <cellStyle name="40% - 强调文字颜色 4 2 2 3" xfId="612"/>
    <cellStyle name="40% - 强调文字颜色 4 2 2 3 2" xfId="613"/>
    <cellStyle name="40% - 强调文字颜色 4 2 2 3 3" xfId="614"/>
    <cellStyle name="40% - 强调文字颜色 4 2 2 4" xfId="615"/>
    <cellStyle name="40% - 强调文字颜色 4 2 2 5" xfId="616"/>
    <cellStyle name="强调文字颜色 1 2" xfId="617"/>
    <cellStyle name="40% - 强调文字颜色 4 2 3 2 2" xfId="618"/>
    <cellStyle name="强调文字颜色 1 3" xfId="619"/>
    <cellStyle name="40% - 强调文字颜色 4 2 3 2 3" xfId="620"/>
    <cellStyle name="常规 2 3 2 4" xfId="621"/>
    <cellStyle name="40% - 强调文字颜色 4 3 3 2" xfId="622"/>
    <cellStyle name="40% - 强调文字颜色 4 3 3 3" xfId="623"/>
    <cellStyle name="40% - 强调文字颜色 4 3 4" xfId="624"/>
    <cellStyle name="40% - 强调文字颜色 4 3 5" xfId="625"/>
    <cellStyle name="40% - 强调文字颜色 4 4" xfId="626"/>
    <cellStyle name="40% - 强调文字颜色 4 4 2" xfId="627"/>
    <cellStyle name="40% - 强调文字颜色 4 4 2 2" xfId="628"/>
    <cellStyle name="40% - 强调文字颜色 4 4 2 3" xfId="629"/>
    <cellStyle name="40% - 强调文字颜色 4 4 3" xfId="630"/>
    <cellStyle name="40% - 强调文字颜色 4 5" xfId="631"/>
    <cellStyle name="40% - 强调文字颜色 4 5 2" xfId="632"/>
    <cellStyle name="40% - 强调文字颜色 4 5 3" xfId="633"/>
    <cellStyle name="40% - 强调文字颜色 4 6" xfId="634"/>
    <cellStyle name="好 2 3" xfId="635"/>
    <cellStyle name="40% - 强调文字颜色 5 2" xfId="636"/>
    <cellStyle name="解释性文本 3 2 4" xfId="637"/>
    <cellStyle name="好 2 3 2" xfId="638"/>
    <cellStyle name="40% - 强调文字颜色 5 2 2" xfId="639"/>
    <cellStyle name="强调文字颜色 3 3 3" xfId="640"/>
    <cellStyle name="好 2 3 2 2" xfId="641"/>
    <cellStyle name="40% - 强调文字颜色 5 2 2 2" xfId="642"/>
    <cellStyle name="强调文字颜色 3 3 3 2" xfId="643"/>
    <cellStyle name="差 2 2 2 4" xfId="644"/>
    <cellStyle name="40% - 强调文字颜色 5 2 2 2 2" xfId="645"/>
    <cellStyle name="40% - 强调文字颜色 5 2 2 2 2 2" xfId="646"/>
    <cellStyle name="40% - 强调文字颜色 5 2 2 2 2 3" xfId="647"/>
    <cellStyle name="强调文字颜色 3 3 3 3" xfId="648"/>
    <cellStyle name="标题 2 2 2" xfId="649"/>
    <cellStyle name="40% - 强调文字颜色 5 2 2 2 3" xfId="650"/>
    <cellStyle name="标题 2 2 3" xfId="651"/>
    <cellStyle name="40% - 强调文字颜色 5 2 2 2 4" xfId="652"/>
    <cellStyle name="强调文字颜色 3 3 4" xfId="653"/>
    <cellStyle name="好 2 3 2 3" xfId="654"/>
    <cellStyle name="40% - 强调文字颜色 5 2 2 3" xfId="655"/>
    <cellStyle name="40% - 强调文字颜色 5 2 2 3 2" xfId="656"/>
    <cellStyle name="标题 2 3 2" xfId="657"/>
    <cellStyle name="40% - 强调文字颜色 5 2 2 3 3" xfId="658"/>
    <cellStyle name="强调文字颜色 3 3 5" xfId="659"/>
    <cellStyle name="40% - 强调文字颜色 5 2 2 4" xfId="660"/>
    <cellStyle name="40% - 强调文字颜色 5 2 2 5" xfId="661"/>
    <cellStyle name="好 2 3 3" xfId="662"/>
    <cellStyle name="40% - 强调文字颜色 5 2 3" xfId="663"/>
    <cellStyle name="强调文字颜色 3 4 3" xfId="664"/>
    <cellStyle name="40% - 强调文字颜色 5 2 3 2" xfId="665"/>
    <cellStyle name="好 4" xfId="666"/>
    <cellStyle name="40% - 强调文字颜色 5 2 3 2 2" xfId="667"/>
    <cellStyle name="好 5" xfId="668"/>
    <cellStyle name="标题 3 2 2" xfId="669"/>
    <cellStyle name="40% - 强调文字颜色 5 2 3 2 3" xfId="670"/>
    <cellStyle name="强调文字颜色 3 4 4" xfId="671"/>
    <cellStyle name="40% - 强调文字颜色 5 2 3 3" xfId="672"/>
    <cellStyle name="40% - 强调文字颜色 5 2 3 4" xfId="673"/>
    <cellStyle name="好 2 3 4" xfId="674"/>
    <cellStyle name="40% - 强调文字颜色 5 2 4" xfId="675"/>
    <cellStyle name="强调文字颜色 3 5 3" xfId="676"/>
    <cellStyle name="40% - 强调文字颜色 5 2 4 2" xfId="677"/>
    <cellStyle name="40% - 强调文字颜色 5 2 4 3" xfId="678"/>
    <cellStyle name="40% - 强调文字颜色 5 2 5" xfId="679"/>
    <cellStyle name="40% - 强调文字颜色 5 2 6" xfId="680"/>
    <cellStyle name="好 2 4" xfId="681"/>
    <cellStyle name="40% - 强调文字颜色 5 3" xfId="682"/>
    <cellStyle name="好 2 4 2" xfId="683"/>
    <cellStyle name="40% - 强调文字颜色 5 3 2" xfId="684"/>
    <cellStyle name="强调文字颜色 4 3 3" xfId="685"/>
    <cellStyle name="40% - 强调文字颜色 5 3 2 2" xfId="686"/>
    <cellStyle name="强调文字颜色 4 3 3 2" xfId="687"/>
    <cellStyle name="40% - 强调文字颜色 5 3 2 2 2" xfId="688"/>
    <cellStyle name="强调文字颜色 4 3 3 3" xfId="689"/>
    <cellStyle name="40% - 强调文字颜色 5 3 2 2 3" xfId="690"/>
    <cellStyle name="强调文字颜色 4 3 4" xfId="691"/>
    <cellStyle name="40% - 强调文字颜色 5 3 2 3" xfId="692"/>
    <cellStyle name="强调文字颜色 4 3 5" xfId="693"/>
    <cellStyle name="40% - 强调文字颜色 5 3 2 4" xfId="694"/>
    <cellStyle name="好 2 4 3" xfId="695"/>
    <cellStyle name="40% - 强调文字颜色 5 3 3" xfId="696"/>
    <cellStyle name="强调文字颜色 4 4 3" xfId="697"/>
    <cellStyle name="40% - 强调文字颜色 5 3 3 2" xfId="698"/>
    <cellStyle name="强调文字颜色 4 4 4" xfId="699"/>
    <cellStyle name="40% - 强调文字颜色 5 3 3 3" xfId="700"/>
    <cellStyle name="40% - 强调文字颜色 5 3 4" xfId="701"/>
    <cellStyle name="40% - 强调文字颜色 5 3 5" xfId="702"/>
    <cellStyle name="好 2 5" xfId="703"/>
    <cellStyle name="40% - 强调文字颜色 5 4" xfId="704"/>
    <cellStyle name="好 2 5 2" xfId="705"/>
    <cellStyle name="40% - 强调文字颜色 5 4 2" xfId="706"/>
    <cellStyle name="强调文字颜色 5 3 3" xfId="707"/>
    <cellStyle name="警告文本 2 2 5" xfId="708"/>
    <cellStyle name="40% - 强调文字颜色 5 4 2 2" xfId="709"/>
    <cellStyle name="强调文字颜色 5 3 4" xfId="710"/>
    <cellStyle name="40% - 强调文字颜色 5 4 2 3" xfId="711"/>
    <cellStyle name="好 2 5 3" xfId="712"/>
    <cellStyle name="40% - 强调文字颜色 5 4 3" xfId="713"/>
    <cellStyle name="40% - 强调文字颜色 5 4 4" xfId="714"/>
    <cellStyle name="好 2 6" xfId="715"/>
    <cellStyle name="40% - 强调文字颜色 5 5" xfId="716"/>
    <cellStyle name="40% - 强调文字颜色 5 5 2" xfId="717"/>
    <cellStyle name="40% - 强调文字颜色 5 5 3" xfId="718"/>
    <cellStyle name="注释 2 2" xfId="719"/>
    <cellStyle name="好 2 7" xfId="720"/>
    <cellStyle name="60% - 强调文字颜色 2 3 2 2" xfId="721"/>
    <cellStyle name="40% - 强调文字颜色 5 6" xfId="722"/>
    <cellStyle name="注释 2 3" xfId="723"/>
    <cellStyle name="好 2 8" xfId="724"/>
    <cellStyle name="60% - 强调文字颜色 2 3 2 3" xfId="725"/>
    <cellStyle name="40% - 强调文字颜色 5 7" xfId="726"/>
    <cellStyle name="注释 2 4" xfId="727"/>
    <cellStyle name="好 2 9" xfId="728"/>
    <cellStyle name="60% - 强调文字颜色 2 3 2 4" xfId="729"/>
    <cellStyle name="40% - 强调文字颜色 5 8" xfId="730"/>
    <cellStyle name="好 3 3" xfId="731"/>
    <cellStyle name="40% - 强调文字颜色 6 2" xfId="732"/>
    <cellStyle name="好 3 3 2" xfId="733"/>
    <cellStyle name="40% - 强调文字颜色 6 2 2" xfId="734"/>
    <cellStyle name="40% - 强调文字颜色 6 2 2 2" xfId="735"/>
    <cellStyle name="常规 2 3 17" xfId="736"/>
    <cellStyle name="40% - 强调文字颜色 6 2 2 2 2" xfId="737"/>
    <cellStyle name="计算 2 2 3" xfId="738"/>
    <cellStyle name="40% - 强调文字颜色 6 2 2 2 2 2" xfId="739"/>
    <cellStyle name="计算 2 2 4" xfId="740"/>
    <cellStyle name="40% - 强调文字颜色 6 2 2 2 2 3" xfId="741"/>
    <cellStyle name="40% - 强调文字颜色 6 2 2 2 3" xfId="742"/>
    <cellStyle name="40% - 强调文字颜色 6 2 2 2 4" xfId="743"/>
    <cellStyle name="40% - 强调文字颜色 6 2 2 3" xfId="744"/>
    <cellStyle name="40% - 强调文字颜色 6 2 2 3 2" xfId="745"/>
    <cellStyle name="40% - 强调文字颜色 6 2 2 3 3" xfId="746"/>
    <cellStyle name="40% - 强调文字颜色 6 2 2 4" xfId="747"/>
    <cellStyle name="40% - 强调文字颜色 6 2 2 5" xfId="748"/>
    <cellStyle name="好 3 3 3" xfId="749"/>
    <cellStyle name="40% - 强调文字颜色 6 2 3" xfId="750"/>
    <cellStyle name="40% - 强调文字颜色 6 2 3 2" xfId="751"/>
    <cellStyle name="40% - 强调文字颜色 6 2 3 2 2" xfId="752"/>
    <cellStyle name="40% - 强调文字颜色 6 2 3 2 3" xfId="753"/>
    <cellStyle name="40% - 强调文字颜色 6 2 3 3" xfId="754"/>
    <cellStyle name="40% - 强调文字颜色 6 2 3 4" xfId="755"/>
    <cellStyle name="链接单元格 2 4 2" xfId="756"/>
    <cellStyle name="40% - 强调文字颜色 6 2 4" xfId="757"/>
    <cellStyle name="40% - 强调文字颜色 6 2 4 2" xfId="758"/>
    <cellStyle name="强调文字颜色 5 2 2 2 2" xfId="759"/>
    <cellStyle name="40% - 强调文字颜色 6 2 4 3" xfId="760"/>
    <cellStyle name="链接单元格 2 4 3" xfId="761"/>
    <cellStyle name="40% - 强调文字颜色 6 2 5" xfId="762"/>
    <cellStyle name="40% - 强调文字颜色 6 2 6" xfId="763"/>
    <cellStyle name="好 3 4" xfId="764"/>
    <cellStyle name="40% - 强调文字颜色 6 3" xfId="765"/>
    <cellStyle name="40% - 强调文字颜色 6 3 2" xfId="766"/>
    <cellStyle name="40% - 强调文字颜色 6 3 2 2" xfId="767"/>
    <cellStyle name="40% - 强调文字颜色 6 3 2 2 2" xfId="768"/>
    <cellStyle name="40% - 强调文字颜色 6 3 2 2 3" xfId="769"/>
    <cellStyle name="40% - 强调文字颜色 6 3 2 3" xfId="770"/>
    <cellStyle name="40% - 强调文字颜色 6 3 2 4" xfId="771"/>
    <cellStyle name="40% - 强调文字颜色 6 3 3" xfId="772"/>
    <cellStyle name="40% - 强调文字颜色 6 3 3 2" xfId="773"/>
    <cellStyle name="40% - 强调文字颜色 6 3 3 3" xfId="774"/>
    <cellStyle name="40% - 强调文字颜色 6 3 4" xfId="775"/>
    <cellStyle name="40% - 强调文字颜色 6 3 5" xfId="776"/>
    <cellStyle name="好 3 5" xfId="777"/>
    <cellStyle name="60% - 强调文字颜色 4 2 2" xfId="778"/>
    <cellStyle name="40% - 强调文字颜色 6 4" xfId="779"/>
    <cellStyle name="60% - 强调文字颜色 4 2 2 2" xfId="780"/>
    <cellStyle name="40% - 强调文字颜色 6 4 2" xfId="781"/>
    <cellStyle name="60% - 强调文字颜色 4 2 2 2 2" xfId="782"/>
    <cellStyle name="40% - 强调文字颜色 6 4 2 2" xfId="783"/>
    <cellStyle name="60% - 强调文字颜色 4 2 2 2 3" xfId="784"/>
    <cellStyle name="40% - 强调文字颜色 6 4 2 3" xfId="785"/>
    <cellStyle name="60% - 强调文字颜色 4 2 2 3" xfId="786"/>
    <cellStyle name="40% - 强调文字颜色 6 4 3" xfId="787"/>
    <cellStyle name="60% - 强调文字颜色 4 2 2 4" xfId="788"/>
    <cellStyle name="40% - 强调文字颜色 6 4 4" xfId="789"/>
    <cellStyle name="60% - 强调文字颜色 4 2 3" xfId="790"/>
    <cellStyle name="40% - 强调文字颜色 6 5" xfId="791"/>
    <cellStyle name="60% - 强调文字颜色 4 2 3 2" xfId="792"/>
    <cellStyle name="40% - 强调文字颜色 6 5 2" xfId="793"/>
    <cellStyle name="60% - 强调文字颜色 4 2 3 3" xfId="794"/>
    <cellStyle name="40% - 强调文字颜色 6 5 3" xfId="795"/>
    <cellStyle name="注释 3 2" xfId="796"/>
    <cellStyle name="60% - 强调文字颜色 4 2 4" xfId="797"/>
    <cellStyle name="60% - 强调文字颜色 2 3 3 2" xfId="798"/>
    <cellStyle name="40% - 强调文字颜色 6 6" xfId="799"/>
    <cellStyle name="注释 3 3" xfId="800"/>
    <cellStyle name="60% - 强调文字颜色 4 2 5" xfId="801"/>
    <cellStyle name="60% - 强调文字颜色 2 3 3 3" xfId="802"/>
    <cellStyle name="40% - 强调文字颜色 6 7" xfId="803"/>
    <cellStyle name="注释 3 4" xfId="804"/>
    <cellStyle name="60% - 强调文字颜色 4 2 6" xfId="805"/>
    <cellStyle name="40% - 强调文字颜色 6 8" xfId="806"/>
    <cellStyle name="60% - 强调文字颜色 1 2" xfId="807"/>
    <cellStyle name="60% - 强调文字颜色 1 2 2" xfId="808"/>
    <cellStyle name="60% - 强调文字颜色 1 2 2 2" xfId="809"/>
    <cellStyle name="60% - 强调文字颜色 1 2 2 2 2" xfId="810"/>
    <cellStyle name="60% - 强调文字颜色 5 6" xfId="811"/>
    <cellStyle name="60% - 强调文字颜色 1 2 2 2 2 2" xfId="812"/>
    <cellStyle name="60% - 强调文字颜色 5 7" xfId="813"/>
    <cellStyle name="60% - 强调文字颜色 1 2 2 2 2 3" xfId="814"/>
    <cellStyle name="60% - 强调文字颜色 1 2 2 2 3" xfId="815"/>
    <cellStyle name="60% - 强调文字颜色 1 2 2 2 4" xfId="816"/>
    <cellStyle name="60% - 强调文字颜色 1 2 2 3" xfId="817"/>
    <cellStyle name="60% - 强调文字颜色 1 2 2 4" xfId="818"/>
    <cellStyle name="60% - 强调文字颜色 1 2 2 5" xfId="819"/>
    <cellStyle name="60% - 强调文字颜色 1 2 3" xfId="820"/>
    <cellStyle name="60% - 强调文字颜色 1 2 3 2" xfId="821"/>
    <cellStyle name="60% - 强调文字颜色 1 2 3 2 2" xfId="822"/>
    <cellStyle name="60% - 强调文字颜色 1 2 3 2 3" xfId="823"/>
    <cellStyle name="60% - 强调文字颜色 1 2 3 3" xfId="824"/>
    <cellStyle name="60% - 强调文字颜色 1 2 3 4" xfId="825"/>
    <cellStyle name="输入 4 2 2" xfId="826"/>
    <cellStyle name="60% - 强调文字颜色 1 2 4" xfId="827"/>
    <cellStyle name="警告文本 2 5" xfId="828"/>
    <cellStyle name="60% - 强调文字颜色 1 2 4 2" xfId="829"/>
    <cellStyle name="警告文本 2 6" xfId="830"/>
    <cellStyle name="60% - 强调文字颜色 1 2 4 3" xfId="831"/>
    <cellStyle name="输入 4 2 3" xfId="832"/>
    <cellStyle name="60% - 强调文字颜色 1 2 5" xfId="833"/>
    <cellStyle name="60% - 强调文字颜色 1 2 6" xfId="834"/>
    <cellStyle name="60% - 强调文字颜色 1 3" xfId="835"/>
    <cellStyle name="常规 2 18" xfId="836"/>
    <cellStyle name="60% - 强调文字颜色 1 3 2" xfId="837"/>
    <cellStyle name="60% - 强调文字颜色 1 3 2 2" xfId="838"/>
    <cellStyle name="链接单元格 8" xfId="839"/>
    <cellStyle name="60% - 强调文字颜色 1 3 2 2 2" xfId="840"/>
    <cellStyle name="60% - 强调文字颜色 1 3 2 2 3" xfId="841"/>
    <cellStyle name="60% - 强调文字颜色 1 3 2 3" xfId="842"/>
    <cellStyle name="60% - 强调文字颜色 1 3 2 4" xfId="843"/>
    <cellStyle name="常规 2 19" xfId="844"/>
    <cellStyle name="60% - 强调文字颜色 1 3 3" xfId="845"/>
    <cellStyle name="60% - 强调文字颜色 1 3 3 2" xfId="846"/>
    <cellStyle name="60% - 强调文字颜色 1 3 3 3" xfId="847"/>
    <cellStyle name="60% - 强调文字颜色 1 3 4" xfId="848"/>
    <cellStyle name="60% - 强调文字颜色 1 3 5" xfId="849"/>
    <cellStyle name="输出 2 2 3 2" xfId="850"/>
    <cellStyle name="60% - 强调文字颜色 1 4" xfId="851"/>
    <cellStyle name="60% - 强调文字颜色 1 4 2" xfId="852"/>
    <cellStyle name="60% - 强调文字颜色 1 4 2 2" xfId="853"/>
    <cellStyle name="60% - 强调文字颜色 1 4 2 3" xfId="854"/>
    <cellStyle name="60% - 强调文字颜色 1 4 3" xfId="855"/>
    <cellStyle name="60% - 强调文字颜色 1 4 4" xfId="856"/>
    <cellStyle name="输出 2 2 3 3" xfId="857"/>
    <cellStyle name="60% - 强调文字颜色 1 5" xfId="858"/>
    <cellStyle name="60% - 强调文字颜色 1 5 2" xfId="859"/>
    <cellStyle name="60% - 强调文字颜色 1 5 3" xfId="860"/>
    <cellStyle name="60% - 强调文字颜色 1 6" xfId="861"/>
    <cellStyle name="标题 3 3 2 2" xfId="862"/>
    <cellStyle name="60% - 强调文字颜色 1 7" xfId="863"/>
    <cellStyle name="60% - 强调文字颜色 1 8" xfId="864"/>
    <cellStyle name="60% - 强调文字颜色 2 2" xfId="865"/>
    <cellStyle name="60% - 强调文字颜色 2 2 2" xfId="866"/>
    <cellStyle name="差 7" xfId="867"/>
    <cellStyle name="60% - 强调文字颜色 2 2 2 2" xfId="868"/>
    <cellStyle name="60% - 强调文字颜色 2 2 2 2 2" xfId="869"/>
    <cellStyle name="60% - 强调文字颜色 2 2 2 2 2 2" xfId="870"/>
    <cellStyle name="60% - 强调文字颜色 2 2 2 2 2 3" xfId="871"/>
    <cellStyle name="60% - 强调文字颜色 2 2 2 2 3" xfId="872"/>
    <cellStyle name="60% - 强调文字颜色 2 2 2 2 4" xfId="873"/>
    <cellStyle name="差 8" xfId="874"/>
    <cellStyle name="60% - 强调文字颜色 2 2 2 3" xfId="875"/>
    <cellStyle name="60% - 强调文字颜色 2 2 2 3 2" xfId="876"/>
    <cellStyle name="60% - 强调文字颜色 2 2 2 3 3" xfId="877"/>
    <cellStyle name="60% - 强调文字颜色 2 2 2 4" xfId="878"/>
    <cellStyle name="60% - 强调文字颜色 2 2 2 5" xfId="879"/>
    <cellStyle name="60% - 强调文字颜色 2 2 3" xfId="880"/>
    <cellStyle name="60% - 强调文字颜色 3 2 4" xfId="881"/>
    <cellStyle name="60% - 强调文字颜色 2 2 3 2" xfId="882"/>
    <cellStyle name="60% - 强调文字颜色 3 2 4 2" xfId="883"/>
    <cellStyle name="60% - 强调文字颜色 2 2 3 2 2" xfId="884"/>
    <cellStyle name="60% - 强调文字颜色 3 2 4 3" xfId="885"/>
    <cellStyle name="60% - 强调文字颜色 2 2 3 2 3" xfId="886"/>
    <cellStyle name="60% - 强调文字颜色 3 2 5" xfId="887"/>
    <cellStyle name="60% - 强调文字颜色 2 2 3 3" xfId="888"/>
    <cellStyle name="60% - 强调文字颜色 3 2 6" xfId="889"/>
    <cellStyle name="60% - 强调文字颜色 2 2 3 4" xfId="890"/>
    <cellStyle name="60% - 强调文字颜色 2 2 4" xfId="891"/>
    <cellStyle name="60% - 强调文字颜色 3 3 4" xfId="892"/>
    <cellStyle name="60% - 强调文字颜色 2 2 4 2" xfId="893"/>
    <cellStyle name="60% - 强调文字颜色 3 3 5" xfId="894"/>
    <cellStyle name="60% - 强调文字颜色 2 2 4 3" xfId="895"/>
    <cellStyle name="60% - 强调文字颜色 2 2 5" xfId="896"/>
    <cellStyle name="60% - 强调文字颜色 2 2 6" xfId="897"/>
    <cellStyle name="注释 2" xfId="898"/>
    <cellStyle name="60% - 强调文字颜色 2 3 2" xfId="899"/>
    <cellStyle name="注释 2 2 2" xfId="900"/>
    <cellStyle name="60% - 强调文字颜色 2 3 2 2 2" xfId="901"/>
    <cellStyle name="注释 2 2 3" xfId="902"/>
    <cellStyle name="60% - 强调文字颜色 2 3 2 2 3" xfId="903"/>
    <cellStyle name="注释 3" xfId="904"/>
    <cellStyle name="60% - 强调文字颜色 2 3 3" xfId="905"/>
    <cellStyle name="注释 4" xfId="906"/>
    <cellStyle name="60% - 强调文字颜色 2 3 4" xfId="907"/>
    <cellStyle name="注释 5" xfId="908"/>
    <cellStyle name="60% - 强调文字颜色 2 3 5" xfId="909"/>
    <cellStyle name="60% - 强调文字颜色 2 4" xfId="910"/>
    <cellStyle name="60% - 强调文字颜色 2 4 2 2" xfId="911"/>
    <cellStyle name="60% - 强调文字颜色 2 4 2 3" xfId="912"/>
    <cellStyle name="60% - 强调文字颜色 2 4 3" xfId="913"/>
    <cellStyle name="60% - 强调文字颜色 2 4 4" xfId="914"/>
    <cellStyle name="60% - 强调文字颜色 2 5" xfId="915"/>
    <cellStyle name="60% - 强调文字颜色 2 5 2" xfId="916"/>
    <cellStyle name="60% - 强调文字颜色 2 5 3" xfId="917"/>
    <cellStyle name="60% - 强调文字颜色 2 6" xfId="918"/>
    <cellStyle name="60% - 强调文字颜色 2 7" xfId="919"/>
    <cellStyle name="60% - 强调文字颜色 2 8" xfId="920"/>
    <cellStyle name="60% - 强调文字颜色 3 2" xfId="921"/>
    <cellStyle name="60% - 强调文字颜色 3 2 2" xfId="922"/>
    <cellStyle name="60% - 强调文字颜色 3 2 2 2" xfId="923"/>
    <cellStyle name="60% - 强调文字颜色 3 2 2 2 2" xfId="924"/>
    <cellStyle name="强调文字颜色 5 8" xfId="925"/>
    <cellStyle name="60% - 强调文字颜色 3 2 2 2 2 2" xfId="926"/>
    <cellStyle name="60% - 强调文字颜色 3 2 2 2 2 3" xfId="927"/>
    <cellStyle name="60% - 强调文字颜色 3 2 2 2 3" xfId="928"/>
    <cellStyle name="60% - 强调文字颜色 3 2 2 2 4" xfId="929"/>
    <cellStyle name="60% - 强调文字颜色 3 2 2 3" xfId="930"/>
    <cellStyle name="60% - 强调文字颜色 3 2 2 3 2" xfId="931"/>
    <cellStyle name="60% - 强调文字颜色 3 2 2 3 3" xfId="932"/>
    <cellStyle name="60% - 强调文字颜色 3 2 2 4" xfId="933"/>
    <cellStyle name="60% - 强调文字颜色 3 2 2 5" xfId="934"/>
    <cellStyle name="60% - 强调文字颜色 3 2 3" xfId="935"/>
    <cellStyle name="60% - 强调文字颜色 3 2 3 2" xfId="936"/>
    <cellStyle name="计算 5" xfId="937"/>
    <cellStyle name="60% - 强调文字颜色 3 2 3 2 2" xfId="938"/>
    <cellStyle name="计算 6" xfId="939"/>
    <cellStyle name="60% - 强调文字颜色 3 2 3 2 3" xfId="940"/>
    <cellStyle name="60% - 强调文字颜色 3 2 3 3" xfId="941"/>
    <cellStyle name="60% - 强调文字颜色 3 2 3 4" xfId="942"/>
    <cellStyle name="60% - 强调文字颜色 3 3" xfId="943"/>
    <cellStyle name="60% - 强调文字颜色 3 3 2" xfId="944"/>
    <cellStyle name="60% - 强调文字颜色 3 3 2 2" xfId="945"/>
    <cellStyle name="60% - 强调文字颜色 3 3 2 2 2" xfId="946"/>
    <cellStyle name="60% - 强调文字颜色 3 3 2 2 3" xfId="947"/>
    <cellStyle name="60% - 强调文字颜色 3 3 2 3" xfId="948"/>
    <cellStyle name="60% - 强调文字颜色 3 3 2 4" xfId="949"/>
    <cellStyle name="60% - 强调文字颜色 3 3 3" xfId="950"/>
    <cellStyle name="60% - 强调文字颜色 3 3 3 2" xfId="951"/>
    <cellStyle name="60% - 强调文字颜色 3 3 3 3" xfId="952"/>
    <cellStyle name="60% - 强调文字颜色 3 4" xfId="953"/>
    <cellStyle name="60% - 强调文字颜色 3 4 2" xfId="954"/>
    <cellStyle name="60% - 强调文字颜色 3 4 2 2" xfId="955"/>
    <cellStyle name="链接单元格 2" xfId="956"/>
    <cellStyle name="60% - 强调文字颜色 3 4 2 3" xfId="957"/>
    <cellStyle name="60% - 强调文字颜色 3 4 3" xfId="958"/>
    <cellStyle name="60% - 强调文字颜色 3 4 4" xfId="959"/>
    <cellStyle name="60% - 强调文字颜色 3 5" xfId="960"/>
    <cellStyle name="60% - 强调文字颜色 3 5 2" xfId="961"/>
    <cellStyle name="60% - 强调文字颜色 3 5 3" xfId="962"/>
    <cellStyle name="60% - 强调文字颜色 3 6" xfId="963"/>
    <cellStyle name="60% - 强调文字颜色 3 7" xfId="964"/>
    <cellStyle name="60% - 强调文字颜色 3 8" xfId="965"/>
    <cellStyle name="60% - 强调文字颜色 4 2" xfId="966"/>
    <cellStyle name="60% - 强调文字颜色 4 2 2 2 2 2" xfId="967"/>
    <cellStyle name="60% - 强调文字颜色 4 2 2 2 2 3" xfId="968"/>
    <cellStyle name="60% - 强调文字颜色 4 2 2 2 4" xfId="969"/>
    <cellStyle name="60% - 强调文字颜色 4 2 2 3 2" xfId="970"/>
    <cellStyle name="60% - 强调文字颜色 4 2 2 3 3" xfId="971"/>
    <cellStyle name="60% - 强调文字颜色 4 2 2 5" xfId="972"/>
    <cellStyle name="60% - 强调文字颜色 4 2 3 2 2" xfId="973"/>
    <cellStyle name="60% - 强调文字颜色 4 2 3 2 3" xfId="974"/>
    <cellStyle name="60% - 强调文字颜色 4 2 3 4" xfId="975"/>
    <cellStyle name="注释 3 2 2" xfId="976"/>
    <cellStyle name="60% - 强调文字颜色 4 2 4 2" xfId="977"/>
    <cellStyle name="注释 3 2 3" xfId="978"/>
    <cellStyle name="60% - 强调文字颜色 4 2 4 3" xfId="979"/>
    <cellStyle name="60% - 强调文字颜色 4 3" xfId="980"/>
    <cellStyle name="60% - 强调文字颜色 4 3 2" xfId="981"/>
    <cellStyle name="常规 15 2" xfId="982"/>
    <cellStyle name="60% - 强调文字颜色 4 3 2 2" xfId="983"/>
    <cellStyle name="60% - 强调文字颜色 4 3 2 2 2" xfId="984"/>
    <cellStyle name="60% - 强调文字颜色 4 3 2 2 3" xfId="985"/>
    <cellStyle name="常规 15 3" xfId="986"/>
    <cellStyle name="60% - 强调文字颜色 4 3 2 3" xfId="987"/>
    <cellStyle name="60% - 强调文字颜色 4 3 2 4" xfId="988"/>
    <cellStyle name="检查单元格 2 2 2" xfId="989"/>
    <cellStyle name="60% - 强调文字颜色 4 3 3" xfId="990"/>
    <cellStyle name="检查单元格 2 2 2 2" xfId="991"/>
    <cellStyle name="60% - 强调文字颜色 4 3 3 2" xfId="992"/>
    <cellStyle name="检查单元格 2 2 2 3" xfId="993"/>
    <cellStyle name="60% - 强调文字颜色 4 3 3 3" xfId="994"/>
    <cellStyle name="注释 4 2" xfId="995"/>
    <cellStyle name="检查单元格 2 2 3" xfId="996"/>
    <cellStyle name="60% - 强调文字颜色 4 3 4" xfId="997"/>
    <cellStyle name="注释 4 3" xfId="998"/>
    <cellStyle name="检查单元格 2 2 4" xfId="999"/>
    <cellStyle name="60% - 强调文字颜色 4 3 5" xfId="1000"/>
    <cellStyle name="60% - 强调文字颜色 4 4" xfId="1001"/>
    <cellStyle name="60% - 强调文字颜色 4 4 2" xfId="1002"/>
    <cellStyle name="检查单元格 2 3 2" xfId="1003"/>
    <cellStyle name="60% - 强调文字颜色 4 4 3" xfId="1004"/>
    <cellStyle name="注释 5 2" xfId="1005"/>
    <cellStyle name="检查单元格 2 3 3" xfId="1006"/>
    <cellStyle name="60% - 强调文字颜色 4 4 4" xfId="1007"/>
    <cellStyle name="60% - 强调文字颜色 4 5" xfId="1008"/>
    <cellStyle name="60% - 强调文字颜色 4 5 2" xfId="1009"/>
    <cellStyle name="检查单元格 2 4 2" xfId="1010"/>
    <cellStyle name="60% - 强调文字颜色 4 5 3" xfId="1011"/>
    <cellStyle name="60% - 强调文字颜色 4 6" xfId="1012"/>
    <cellStyle name="60% - 强调文字颜色 4 7" xfId="1013"/>
    <cellStyle name="60% - 强调文字颜色 4 8" xfId="1014"/>
    <cellStyle name="强调文字颜色 6 3 2 4" xfId="1015"/>
    <cellStyle name="60% - 强调文字颜色 5 2" xfId="1016"/>
    <cellStyle name="60% - 强调文字颜色 5 2 2" xfId="1017"/>
    <cellStyle name="60% - 强调文字颜色 5 2 2 2" xfId="1018"/>
    <cellStyle name="60% - 强调文字颜色 5 2 2 2 2" xfId="1019"/>
    <cellStyle name="60% - 强调文字颜色 5 2 2 2 2 2" xfId="1020"/>
    <cellStyle name="60% - 强调文字颜色 5 2 2 2 2 3" xfId="1021"/>
    <cellStyle name="60% - 强调文字颜色 5 2 2 2 3" xfId="1022"/>
    <cellStyle name="适中 2" xfId="1023"/>
    <cellStyle name="60% - 强调文字颜色 5 2 2 3" xfId="1024"/>
    <cellStyle name="适中 2 2" xfId="1025"/>
    <cellStyle name="60% - 强调文字颜色 5 2 2 3 2" xfId="1026"/>
    <cellStyle name="适中 2 3" xfId="1027"/>
    <cellStyle name="60% - 强调文字颜色 5 2 2 3 3" xfId="1028"/>
    <cellStyle name="适中 3" xfId="1029"/>
    <cellStyle name="60% - 强调文字颜色 5 2 2 4" xfId="1030"/>
    <cellStyle name="适中 4" xfId="1031"/>
    <cellStyle name="60% - 强调文字颜色 5 2 2 5" xfId="1032"/>
    <cellStyle name="60% - 强调文字颜色 5 2 3" xfId="1033"/>
    <cellStyle name="60% - 强调文字颜色 5 2 3 2" xfId="1034"/>
    <cellStyle name="60% - 强调文字颜色 5 2 3 2 2" xfId="1035"/>
    <cellStyle name="60% - 强调文字颜色 5 2 3 2 3" xfId="1036"/>
    <cellStyle name="60% - 强调文字颜色 5 2 3 3" xfId="1037"/>
    <cellStyle name="60% - 强调文字颜色 5 2 3 4" xfId="1038"/>
    <cellStyle name="60% - 强调文字颜色 5 2 4" xfId="1039"/>
    <cellStyle name="60% - 强调文字颜色 5 2 4 2" xfId="1040"/>
    <cellStyle name="60% - 强调文字颜色 5 2 4 3" xfId="1041"/>
    <cellStyle name="解释性文本 2 2 2" xfId="1042"/>
    <cellStyle name="60% - 强调文字颜色 5 2 5" xfId="1043"/>
    <cellStyle name="解释性文本 2 2 3" xfId="1044"/>
    <cellStyle name="60% - 强调文字颜色 5 2 6" xfId="1045"/>
    <cellStyle name="60% - 强调文字颜色 5 3" xfId="1046"/>
    <cellStyle name="60% - 强调文字颜色 5 3 2" xfId="1047"/>
    <cellStyle name="60% - 强调文字颜色 5 3 2 2" xfId="1048"/>
    <cellStyle name="60% - 强调文字颜色 5 3 2 2 2" xfId="1049"/>
    <cellStyle name="60% - 强调文字颜色 5 3 2 2 3" xfId="1050"/>
    <cellStyle name="60% - 强调文字颜色 5 3 2 3" xfId="1051"/>
    <cellStyle name="60% - 强调文字颜色 5 3 2 4" xfId="1052"/>
    <cellStyle name="检查单元格 3 2 2" xfId="1053"/>
    <cellStyle name="60% - 强调文字颜色 5 3 3" xfId="1054"/>
    <cellStyle name="检查单元格 3 2 2 2" xfId="1055"/>
    <cellStyle name="60% - 强调文字颜色 5 3 3 2" xfId="1056"/>
    <cellStyle name="检查单元格 3 2 2 3" xfId="1057"/>
    <cellStyle name="60% - 强调文字颜色 5 3 3 3" xfId="1058"/>
    <cellStyle name="检查单元格 3 2 3" xfId="1059"/>
    <cellStyle name="60% - 强调文字颜色 5 3 4" xfId="1060"/>
    <cellStyle name="解释性文本 2 3 2" xfId="1061"/>
    <cellStyle name="检查单元格 3 2 4" xfId="1062"/>
    <cellStyle name="60% - 强调文字颜色 5 3 5" xfId="1063"/>
    <cellStyle name="60% - 强调文字颜色 5 4" xfId="1064"/>
    <cellStyle name="60% - 强调文字颜色 5 4 2" xfId="1065"/>
    <cellStyle name="强调文字颜色 4 2 2 2 3" xfId="1066"/>
    <cellStyle name="60% - 强调文字颜色 5 4 2 2" xfId="1067"/>
    <cellStyle name="强调文字颜色 4 2 2 2 4" xfId="1068"/>
    <cellStyle name="60% - 强调文字颜色 5 4 2 3" xfId="1069"/>
    <cellStyle name="检查单元格 3 3 2" xfId="1070"/>
    <cellStyle name="60% - 强调文字颜色 5 4 3" xfId="1071"/>
    <cellStyle name="检查单元格 3 3 3" xfId="1072"/>
    <cellStyle name="60% - 强调文字颜色 5 4 4" xfId="1073"/>
    <cellStyle name="60% - 强调文字颜色 5 5" xfId="1074"/>
    <cellStyle name="60% - 强调文字颜色 5 5 2" xfId="1075"/>
    <cellStyle name="60% - 强调文字颜色 5 5 3" xfId="1076"/>
    <cellStyle name="60% - 强调文字颜色 5 8" xfId="1077"/>
    <cellStyle name="60% - 强调文字颜色 6 2" xfId="1078"/>
    <cellStyle name="60% - 强调文字颜色 6 2 2" xfId="1079"/>
    <cellStyle name="60% - 强调文字颜色 6 2 2 2" xfId="1080"/>
    <cellStyle name="60% - 强调文字颜色 6 2 2 2 2" xfId="1081"/>
    <cellStyle name="60% - 强调文字颜色 6 2 2 2 2 2" xfId="1082"/>
    <cellStyle name="60% - 强调文字颜色 6 2 2 2 2 3" xfId="1083"/>
    <cellStyle name="60% - 强调文字颜色 6 2 2 2 3" xfId="1084"/>
    <cellStyle name="60% - 强调文字颜色 6 2 2 2 4" xfId="1085"/>
    <cellStyle name="60% - 强调文字颜色 6 2 2 3" xfId="1086"/>
    <cellStyle name="60% - 强调文字颜色 6 2 2 3 2" xfId="1087"/>
    <cellStyle name="60% - 强调文字颜色 6 2 2 4" xfId="1088"/>
    <cellStyle name="60% - 强调文字颜色 6 2 2 5" xfId="1089"/>
    <cellStyle name="60% - 强调文字颜色 6 2 3" xfId="1090"/>
    <cellStyle name="60% - 强调文字颜色 6 2 3 2" xfId="1091"/>
    <cellStyle name="60% - 强调文字颜色 6 2 3 2 2" xfId="1092"/>
    <cellStyle name="60% - 强调文字颜色 6 2 3 2 3" xfId="1093"/>
    <cellStyle name="60% - 强调文字颜色 6 2 3 3" xfId="1094"/>
    <cellStyle name="60% - 强调文字颜色 6 2 3 4" xfId="1095"/>
    <cellStyle name="60% - 强调文字颜色 6 2 4" xfId="1096"/>
    <cellStyle name="60% - 强调文字颜色 6 2 4 2" xfId="1097"/>
    <cellStyle name="60% - 强调文字颜色 6 2 4 3" xfId="1098"/>
    <cellStyle name="解释性文本 3 2 2" xfId="1099"/>
    <cellStyle name="60% - 强调文字颜色 6 2 5" xfId="1100"/>
    <cellStyle name="解释性文本 3 2 3" xfId="1101"/>
    <cellStyle name="60% - 强调文字颜色 6 2 6" xfId="1102"/>
    <cellStyle name="60% - 强调文字颜色 6 3" xfId="1103"/>
    <cellStyle name="60% - 强调文字颜色 6 3 2" xfId="1104"/>
    <cellStyle name="60% - 强调文字颜色 6 3 2 2" xfId="1105"/>
    <cellStyle name="60% - 强调文字颜色 6 3 2 3" xfId="1106"/>
    <cellStyle name="60% - 强调文字颜色 6 3 2 4" xfId="1107"/>
    <cellStyle name="检查单元格 4 2 2" xfId="1108"/>
    <cellStyle name="60% - 强调文字颜色 6 3 3" xfId="1109"/>
    <cellStyle name="60% - 强调文字颜色 6 3 3 2" xfId="1110"/>
    <cellStyle name="60% - 强调文字颜色 6 3 3 3" xfId="1111"/>
    <cellStyle name="检查单元格 4 2 3" xfId="1112"/>
    <cellStyle name="60% - 强调文字颜色 6 3 4" xfId="1113"/>
    <cellStyle name="解释性文本 3 3 2" xfId="1114"/>
    <cellStyle name="60% - 强调文字颜色 6 3 5" xfId="1115"/>
    <cellStyle name="60% - 强调文字颜色 6 4" xfId="1116"/>
    <cellStyle name="60% - 强调文字颜色 6 4 2" xfId="1117"/>
    <cellStyle name="强调文字颜色 4 3 2 2 3" xfId="1118"/>
    <cellStyle name="60% - 强调文字颜色 6 4 2 2" xfId="1119"/>
    <cellStyle name="60% - 强调文字颜色 6 4 2 3" xfId="1120"/>
    <cellStyle name="60% - 强调文字颜色 6 4 3" xfId="1121"/>
    <cellStyle name="60% - 强调文字颜色 6 4 4" xfId="1122"/>
    <cellStyle name="60% - 强调文字颜色 6 5" xfId="1123"/>
    <cellStyle name="60% - 强调文字颜色 6 6" xfId="1124"/>
    <cellStyle name="60% - 强调文字颜色 6 7" xfId="1125"/>
    <cellStyle name="60% - 强调文字颜色 6 8" xfId="1126"/>
    <cellStyle name="标题 1 2" xfId="1127"/>
    <cellStyle name="强调文字颜色 3 2 3 3" xfId="1128"/>
    <cellStyle name="标题 1 2 2" xfId="1129"/>
    <cellStyle name="标题 1 2 2 2" xfId="1130"/>
    <cellStyle name="标题 1 2 2 2 2" xfId="1131"/>
    <cellStyle name="计算 2 3 2" xfId="1132"/>
    <cellStyle name="标题 1 2 2 3" xfId="1133"/>
    <cellStyle name="强调文字颜色 3 2 3 4" xfId="1134"/>
    <cellStyle name="标题 1 2 3" xfId="1135"/>
    <cellStyle name="标题 1 2 3 2" xfId="1136"/>
    <cellStyle name="强调文字颜色 4 2 2 3 2" xfId="1137"/>
    <cellStyle name="标题 1 2 4" xfId="1138"/>
    <cellStyle name="强调文字颜色 3 2 4 3" xfId="1139"/>
    <cellStyle name="标题 1 3 2" xfId="1140"/>
    <cellStyle name="强调文字颜色 1 5" xfId="1141"/>
    <cellStyle name="标题 1 3 2 2" xfId="1142"/>
    <cellStyle name="标题 1 3 3" xfId="1143"/>
    <cellStyle name="标题 1 4 2" xfId="1144"/>
    <cellStyle name="标题 1 5" xfId="1145"/>
    <cellStyle name="标题 1 6" xfId="1146"/>
    <cellStyle name="标题 1 7" xfId="1147"/>
    <cellStyle name="标题 1 8" xfId="1148"/>
    <cellStyle name="标题 10" xfId="1149"/>
    <cellStyle name="标题 11" xfId="1150"/>
    <cellStyle name="标题 2 2" xfId="1151"/>
    <cellStyle name="标题 2 2 2 2" xfId="1152"/>
    <cellStyle name="输入 3 2 4" xfId="1153"/>
    <cellStyle name="标题 2 2 2 2 2" xfId="1154"/>
    <cellStyle name="标题 2 2 2 3" xfId="1155"/>
    <cellStyle name="标题 2 2 3 2" xfId="1156"/>
    <cellStyle name="标题 2 2 4" xfId="1157"/>
    <cellStyle name="标题 2 3" xfId="1158"/>
    <cellStyle name="标题 2 3 2 2" xfId="1159"/>
    <cellStyle name="标题 2 3 3" xfId="1160"/>
    <cellStyle name="标题 2 4" xfId="1161"/>
    <cellStyle name="标题 2 4 2" xfId="1162"/>
    <cellStyle name="标题 2 5" xfId="1163"/>
    <cellStyle name="标题 2 6" xfId="1164"/>
    <cellStyle name="标题 2 7" xfId="1165"/>
    <cellStyle name="标题 3 2" xfId="1166"/>
    <cellStyle name="好 5 2" xfId="1167"/>
    <cellStyle name="标题 3 2 2 2" xfId="1168"/>
    <cellStyle name="标题 3 2 2 2 2" xfId="1169"/>
    <cellStyle name="好 5 3" xfId="1170"/>
    <cellStyle name="标题 3 2 2 3" xfId="1171"/>
    <cellStyle name="好 6" xfId="1172"/>
    <cellStyle name="标题 3 2 3" xfId="1173"/>
    <cellStyle name="标题 3 2 3 2" xfId="1174"/>
    <cellStyle name="好 7" xfId="1175"/>
    <cellStyle name="标题 3 2 4" xfId="1176"/>
    <cellStyle name="标题 3 3" xfId="1177"/>
    <cellStyle name="标题 3 3 2" xfId="1178"/>
    <cellStyle name="标题 3 3 3" xfId="1179"/>
    <cellStyle name="标题 3 4" xfId="1180"/>
    <cellStyle name="标题 3 4 2" xfId="1181"/>
    <cellStyle name="标题 3 5" xfId="1182"/>
    <cellStyle name="标题 3 6" xfId="1183"/>
    <cellStyle name="标题 3 7" xfId="1184"/>
    <cellStyle name="标题 3 8" xfId="1185"/>
    <cellStyle name="标题 4 2" xfId="1186"/>
    <cellStyle name="标题 4 2 2" xfId="1187"/>
    <cellStyle name="强调文字颜色 1 3 4" xfId="1188"/>
    <cellStyle name="标题 4 2 2 2" xfId="1189"/>
    <cellStyle name="强调文字颜色 3 2 5" xfId="1190"/>
    <cellStyle name="标题 4 2 2 2 2" xfId="1191"/>
    <cellStyle name="强调文字颜色 1 3 5" xfId="1192"/>
    <cellStyle name="标题 4 2 2 3" xfId="1193"/>
    <cellStyle name="标题 4 2 3" xfId="1194"/>
    <cellStyle name="强调文字颜色 1 4 4" xfId="1195"/>
    <cellStyle name="标题 4 2 3 2" xfId="1196"/>
    <cellStyle name="标题 4 2 4" xfId="1197"/>
    <cellStyle name="标题 4 3" xfId="1198"/>
    <cellStyle name="标题 4 3 2" xfId="1199"/>
    <cellStyle name="强调文字颜色 2 3 4" xfId="1200"/>
    <cellStyle name="好 2 2 2 3" xfId="1201"/>
    <cellStyle name="标题 4 3 2 2" xfId="1202"/>
    <cellStyle name="标题 4 3 3" xfId="1203"/>
    <cellStyle name="标题 4 4" xfId="1204"/>
    <cellStyle name="标题 4 4 2" xfId="1205"/>
    <cellStyle name="标题 4 5" xfId="1206"/>
    <cellStyle name="标题 4 6" xfId="1207"/>
    <cellStyle name="标题 4 7" xfId="1208"/>
    <cellStyle name="标题 4 8" xfId="1209"/>
    <cellStyle name="标题 5" xfId="1210"/>
    <cellStyle name="标题 5 2" xfId="1211"/>
    <cellStyle name="标题 5 2 2" xfId="1212"/>
    <cellStyle name="常规 2 3 5" xfId="1213"/>
    <cellStyle name="标题 5 2 2 2" xfId="1214"/>
    <cellStyle name="标题 5 2 3" xfId="1215"/>
    <cellStyle name="标题 5 3" xfId="1216"/>
    <cellStyle name="标题 5 4" xfId="1217"/>
    <cellStyle name="标题 6" xfId="1218"/>
    <cellStyle name="标题 6 2" xfId="1219"/>
    <cellStyle name="标题 6 3" xfId="1220"/>
    <cellStyle name="标题 7" xfId="1221"/>
    <cellStyle name="标题 7 2" xfId="1222"/>
    <cellStyle name="检查单元格 2 2 2 2 2" xfId="1223"/>
    <cellStyle name="标题 8" xfId="1224"/>
    <cellStyle name="检查单元格 2 2 2 2 3" xfId="1225"/>
    <cellStyle name="标题 9" xfId="1226"/>
    <cellStyle name="解释性文本 5" xfId="1227"/>
    <cellStyle name="差 2" xfId="1228"/>
    <cellStyle name="解释性文本 5 2" xfId="1229"/>
    <cellStyle name="差 2 2" xfId="1230"/>
    <cellStyle name="差 2 2 2" xfId="1231"/>
    <cellStyle name="差 2 2 2 2" xfId="1232"/>
    <cellStyle name="差 2 2 2 2 2" xfId="1233"/>
    <cellStyle name="差 2 2 2 2 3" xfId="1234"/>
    <cellStyle name="差 2 2 2 3" xfId="1235"/>
    <cellStyle name="差 2 2 3" xfId="1236"/>
    <cellStyle name="差 2 2 3 2" xfId="1237"/>
    <cellStyle name="差 2 2 3 3" xfId="1238"/>
    <cellStyle name="差 2 2 4" xfId="1239"/>
    <cellStyle name="差 2 2 5" xfId="1240"/>
    <cellStyle name="解释性文本 5 3" xfId="1241"/>
    <cellStyle name="差 2 3" xfId="1242"/>
    <cellStyle name="好 2" xfId="1243"/>
    <cellStyle name="差 2 3 2 2" xfId="1244"/>
    <cellStyle name="好 3" xfId="1245"/>
    <cellStyle name="差 2 3 2 3" xfId="1246"/>
    <cellStyle name="差 2 3 3" xfId="1247"/>
    <cellStyle name="差 2 3 4" xfId="1248"/>
    <cellStyle name="差 2 4" xfId="1249"/>
    <cellStyle name="差 2 4 2" xfId="1250"/>
    <cellStyle name="差 2 4 3" xfId="1251"/>
    <cellStyle name="差 2 5" xfId="1252"/>
    <cellStyle name="差 2 6" xfId="1253"/>
    <cellStyle name="解释性文本 6" xfId="1254"/>
    <cellStyle name="差 3" xfId="1255"/>
    <cellStyle name="差 3 2" xfId="1256"/>
    <cellStyle name="差 3 2 2" xfId="1257"/>
    <cellStyle name="差 3 2 2 2" xfId="1258"/>
    <cellStyle name="差 3 2 2 3" xfId="1259"/>
    <cellStyle name="差 3 2 3" xfId="1260"/>
    <cellStyle name="差 3 2 4" xfId="1261"/>
    <cellStyle name="差 3 3" xfId="1262"/>
    <cellStyle name="差 3 3 2" xfId="1263"/>
    <cellStyle name="差 3 3 3" xfId="1264"/>
    <cellStyle name="差 3 4" xfId="1265"/>
    <cellStyle name="差 3 5" xfId="1266"/>
    <cellStyle name="解释性文本 7" xfId="1267"/>
    <cellStyle name="差 4" xfId="1268"/>
    <cellStyle name="差 4 2" xfId="1269"/>
    <cellStyle name="差 4 2 2" xfId="1270"/>
    <cellStyle name="差 4 2 3" xfId="1271"/>
    <cellStyle name="差 4 3" xfId="1272"/>
    <cellStyle name="差 4 4" xfId="1273"/>
    <cellStyle name="解释性文本 8" xfId="1274"/>
    <cellStyle name="差 5" xfId="1275"/>
    <cellStyle name="差 5 2" xfId="1276"/>
    <cellStyle name="差 5 3" xfId="1277"/>
    <cellStyle name="差 6" xfId="1278"/>
    <cellStyle name="好 4 2" xfId="1279"/>
    <cellStyle name="常规 12" xfId="1280"/>
    <cellStyle name="好 4 3" xfId="1281"/>
    <cellStyle name="常规 13" xfId="1282"/>
    <cellStyle name="好 4 4" xfId="1283"/>
    <cellStyle name="常规 14" xfId="1284"/>
    <cellStyle name="常规 2" xfId="1285"/>
    <cellStyle name="强调文字颜色 3 3" xfId="1286"/>
    <cellStyle name="常规 2 10" xfId="1287"/>
    <cellStyle name="强调文字颜色 3 4" xfId="1288"/>
    <cellStyle name="常规 2 11" xfId="1289"/>
    <cellStyle name="强调文字颜色 3 5" xfId="1290"/>
    <cellStyle name="常规 2 12" xfId="1291"/>
    <cellStyle name="强调文字颜色 3 6" xfId="1292"/>
    <cellStyle name="常规 2 13" xfId="1293"/>
    <cellStyle name="强调文字颜色 3 7" xfId="1294"/>
    <cellStyle name="常规 2 14" xfId="1295"/>
    <cellStyle name="强调文字颜色 3 8" xfId="1296"/>
    <cellStyle name="常规 2 20" xfId="1297"/>
    <cellStyle name="常规 2 15" xfId="1298"/>
    <cellStyle name="常规 2 16" xfId="1299"/>
    <cellStyle name="常规 2 17" xfId="1300"/>
    <cellStyle name="常规 2 2" xfId="1301"/>
    <cellStyle name="适中 2 2 2" xfId="1302"/>
    <cellStyle name="常规 2 2 10" xfId="1303"/>
    <cellStyle name="适中 2 2 3" xfId="1304"/>
    <cellStyle name="常规 2 2 11" xfId="1305"/>
    <cellStyle name="适中 2 2 4" xfId="1306"/>
    <cellStyle name="常规 2 2 12" xfId="1307"/>
    <cellStyle name="适中 2 2 5" xfId="1308"/>
    <cellStyle name="常规 2 2 13" xfId="1309"/>
    <cellStyle name="常规 2 2 14" xfId="1310"/>
    <cellStyle name="输出 2 3 4" xfId="1311"/>
    <cellStyle name="常规 2 2 2" xfId="1312"/>
    <cellStyle name="常规 2 2 2 10" xfId="1313"/>
    <cellStyle name="常规 2 2 2 11" xfId="1314"/>
    <cellStyle name="常规 2 2 2 2" xfId="1315"/>
    <cellStyle name="常规 2 2 2 3" xfId="1316"/>
    <cellStyle name="常规 2 2 3" xfId="1317"/>
    <cellStyle name="常规 2 2 4" xfId="1318"/>
    <cellStyle name="常规 2 2 5" xfId="1319"/>
    <cellStyle name="常规 2 2 6" xfId="1320"/>
    <cellStyle name="常规 2 2 7" xfId="1321"/>
    <cellStyle name="常规 2 2 8" xfId="1322"/>
    <cellStyle name="常规 2 3" xfId="1323"/>
    <cellStyle name="常规 2 3 10" xfId="1324"/>
    <cellStyle name="常规 2 3 11" xfId="1325"/>
    <cellStyle name="常规 2 3 12" xfId="1326"/>
    <cellStyle name="常规 2 3 13" xfId="1327"/>
    <cellStyle name="常规 2 3 14" xfId="1328"/>
    <cellStyle name="常规 2 3 15" xfId="1329"/>
    <cellStyle name="常规 2 3 16" xfId="1330"/>
    <cellStyle name="常规 2 3 2" xfId="1331"/>
    <cellStyle name="常规 2 3 2 2" xfId="1332"/>
    <cellStyle name="常规 2 3 2 2 2" xfId="1333"/>
    <cellStyle name="常规 2 3 2 2 3" xfId="1334"/>
    <cellStyle name="常规 2 3 2 3" xfId="1335"/>
    <cellStyle name="常规 2 3 3" xfId="1336"/>
    <cellStyle name="常规 2 3 3 2" xfId="1337"/>
    <cellStyle name="常规 2 3 3 3" xfId="1338"/>
    <cellStyle name="常规 2 3 4" xfId="1339"/>
    <cellStyle name="强调文字颜色 1 2 3 2 2" xfId="1340"/>
    <cellStyle name="常规 2 3 6" xfId="1341"/>
    <cellStyle name="强调文字颜色 1 2 3 2 3" xfId="1342"/>
    <cellStyle name="常规 2 3 7" xfId="1343"/>
    <cellStyle name="常规 2 3 8" xfId="1344"/>
    <cellStyle name="常规 2 3 9" xfId="1345"/>
    <cellStyle name="常规 2 4" xfId="1346"/>
    <cellStyle name="常规 2 4 2" xfId="1347"/>
    <cellStyle name="常规 2 4 2 2" xfId="1348"/>
    <cellStyle name="输出 2 2 2" xfId="1349"/>
    <cellStyle name="常规 2 4 2 3" xfId="1350"/>
    <cellStyle name="常规 2 5" xfId="1351"/>
    <cellStyle name="常规 2 6" xfId="1352"/>
    <cellStyle name="常规 2 7" xfId="1353"/>
    <cellStyle name="输入 2" xfId="1354"/>
    <cellStyle name="强调文字颜色 2 3 2 2" xfId="1355"/>
    <cellStyle name="常规 2 8" xfId="1356"/>
    <cellStyle name="输入 3" xfId="1357"/>
    <cellStyle name="强调文字颜色 2 3 2 3" xfId="1358"/>
    <cellStyle name="常规 2 9" xfId="1359"/>
    <cellStyle name="适中 2 2 3 2" xfId="1360"/>
    <cellStyle name="常规 3 10" xfId="1361"/>
    <cellStyle name="适中 2 2 3 3" xfId="1362"/>
    <cellStyle name="常规 3 11" xfId="1363"/>
    <cellStyle name="输出 4 2 2" xfId="1364"/>
    <cellStyle name="常规 3 2" xfId="1365"/>
    <cellStyle name="常规 3 2 2" xfId="1366"/>
    <cellStyle name="常规 3 2 3" xfId="1367"/>
    <cellStyle name="输出 4 2 3" xfId="1368"/>
    <cellStyle name="常规 3 3" xfId="1369"/>
    <cellStyle name="常规 3 4" xfId="1370"/>
    <cellStyle name="常规 3 5" xfId="1371"/>
    <cellStyle name="常规 3 6" xfId="1372"/>
    <cellStyle name="常规 3 7" xfId="1373"/>
    <cellStyle name="强调文字颜色 2 3 3 2" xfId="1374"/>
    <cellStyle name="好 2 2 2 2 2" xfId="1375"/>
    <cellStyle name="常规 3 8" xfId="1376"/>
    <cellStyle name="强调文字颜色 2 3 3 3" xfId="1377"/>
    <cellStyle name="好 2 2 2 2 3" xfId="1378"/>
    <cellStyle name="常规 3 9" xfId="1379"/>
    <cellStyle name="输出 4 3" xfId="1380"/>
    <cellStyle name="常规 4" xfId="1381"/>
    <cellStyle name="输出 4 4" xfId="1382"/>
    <cellStyle name="常规 5" xfId="1383"/>
    <cellStyle name="常规 6" xfId="1384"/>
    <cellStyle name="常规 7" xfId="1385"/>
    <cellStyle name="常规 8" xfId="1386"/>
    <cellStyle name="常规 9" xfId="1387"/>
    <cellStyle name="好 2 11" xfId="1388"/>
    <cellStyle name="好 2 12" xfId="1389"/>
    <cellStyle name="好 2 2" xfId="1390"/>
    <cellStyle name="好 2 2 2" xfId="1391"/>
    <cellStyle name="强调文字颜色 2 3 3" xfId="1392"/>
    <cellStyle name="好 2 2 2 2" xfId="1393"/>
    <cellStyle name="强调文字颜色 2 3 5" xfId="1394"/>
    <cellStyle name="好 2 2 2 4" xfId="1395"/>
    <cellStyle name="好 2 2 3" xfId="1396"/>
    <cellStyle name="强调文字颜色 2 4 3" xfId="1397"/>
    <cellStyle name="好 2 2 3 2" xfId="1398"/>
    <cellStyle name="强调文字颜色 2 4 4" xfId="1399"/>
    <cellStyle name="好 2 2 3 3" xfId="1400"/>
    <cellStyle name="好 2 2 4" xfId="1401"/>
    <cellStyle name="好 2 2 5" xfId="1402"/>
    <cellStyle name="好 3 2" xfId="1403"/>
    <cellStyle name="好 3 2 2" xfId="1404"/>
    <cellStyle name="好 3 2 2 2" xfId="1405"/>
    <cellStyle name="好 3 2 3" xfId="1406"/>
    <cellStyle name="链接单元格 2 3 2" xfId="1407"/>
    <cellStyle name="好 3 2 4" xfId="1408"/>
    <cellStyle name="好 4 2 2" xfId="1409"/>
    <cellStyle name="好 4 2 3" xfId="1410"/>
    <cellStyle name="好 8" xfId="1411"/>
    <cellStyle name="汇总 2" xfId="1412"/>
    <cellStyle name="汇总 2 2" xfId="1413"/>
    <cellStyle name="汇总 2 2 2" xfId="1414"/>
    <cellStyle name="汇总 8" xfId="1415"/>
    <cellStyle name="汇总 2 2 2 2" xfId="1416"/>
    <cellStyle name="汇总 2 2 2 2 2" xfId="1417"/>
    <cellStyle name="汇总 2 2 2 2 3" xfId="1418"/>
    <cellStyle name="汇总 2 2 2 3" xfId="1419"/>
    <cellStyle name="汇总 2 2 2 4" xfId="1420"/>
    <cellStyle name="警告文本 2 2 2" xfId="1421"/>
    <cellStyle name="汇总 2 2 3" xfId="1422"/>
    <cellStyle name="警告文本 2 2 2 2" xfId="1423"/>
    <cellStyle name="汇总 2 2 3 2" xfId="1424"/>
    <cellStyle name="警告文本 2 2 2 3" xfId="1425"/>
    <cellStyle name="汇总 2 2 3 3" xfId="1426"/>
    <cellStyle name="警告文本 2 2 3" xfId="1427"/>
    <cellStyle name="汇总 2 2 4" xfId="1428"/>
    <cellStyle name="强调文字颜色 5 3 2" xfId="1429"/>
    <cellStyle name="警告文本 2 2 4" xfId="1430"/>
    <cellStyle name="汇总 2 2 5" xfId="1431"/>
    <cellStyle name="汇总 2 3" xfId="1432"/>
    <cellStyle name="汇总 2 3 2" xfId="1433"/>
    <cellStyle name="汇总 2 3 2 2" xfId="1434"/>
    <cellStyle name="汇总 2 3 2 3" xfId="1435"/>
    <cellStyle name="警告文本 2 3 2" xfId="1436"/>
    <cellStyle name="汇总 2 3 3" xfId="1437"/>
    <cellStyle name="警告文本 2 3 3" xfId="1438"/>
    <cellStyle name="汇总 2 3 4" xfId="1439"/>
    <cellStyle name="汇总 3" xfId="1440"/>
    <cellStyle name="汇总 3 2" xfId="1441"/>
    <cellStyle name="汇总 3 2 2" xfId="1442"/>
    <cellStyle name="汇总 3 2 2 2" xfId="1443"/>
    <cellStyle name="汇总 3 2 2 3" xfId="1444"/>
    <cellStyle name="警告文本 3 2 2" xfId="1445"/>
    <cellStyle name="汇总 3 2 3" xfId="1446"/>
    <cellStyle name="警告文本 3 2 3" xfId="1447"/>
    <cellStyle name="汇总 3 2 4" xfId="1448"/>
    <cellStyle name="汇总 3 3" xfId="1449"/>
    <cellStyle name="汇总 3 3 2" xfId="1450"/>
    <cellStyle name="警告文本 3 3 2" xfId="1451"/>
    <cellStyle name="汇总 3 3 3" xfId="1452"/>
    <cellStyle name="汇总 4" xfId="1453"/>
    <cellStyle name="汇总 4 2" xfId="1454"/>
    <cellStyle name="汇总 4 2 2" xfId="1455"/>
    <cellStyle name="警告文本 4 2 2" xfId="1456"/>
    <cellStyle name="汇总 4 2 3" xfId="1457"/>
    <cellStyle name="汇总 4 3" xfId="1458"/>
    <cellStyle name="汇总 4 4" xfId="1459"/>
    <cellStyle name="计算 2" xfId="1460"/>
    <cellStyle name="计算 2 2" xfId="1461"/>
    <cellStyle name="强调文字颜色 3 2 3 2 3" xfId="1462"/>
    <cellStyle name="计算 2 2 2" xfId="1463"/>
    <cellStyle name="计算 2 2 2 2" xfId="1464"/>
    <cellStyle name="计算 2 2 2 2 2" xfId="1465"/>
    <cellStyle name="适中 4 2 2" xfId="1466"/>
    <cellStyle name="计算 2 2 2 2 3" xfId="1467"/>
    <cellStyle name="计算 2 2 2 3" xfId="1468"/>
    <cellStyle name="计算 2 2 2 4" xfId="1469"/>
    <cellStyle name="计算 2 2 3 2" xfId="1470"/>
    <cellStyle name="计算 2 2 3 3" xfId="1471"/>
    <cellStyle name="计算 2 2 5" xfId="1472"/>
    <cellStyle name="计算 2 3" xfId="1473"/>
    <cellStyle name="计算 2 3 2 2" xfId="1474"/>
    <cellStyle name="计算 2 3 2 3" xfId="1475"/>
    <cellStyle name="计算 2 3 4" xfId="1476"/>
    <cellStyle name="计算 2 4" xfId="1477"/>
    <cellStyle name="计算 2 4 2" xfId="1478"/>
    <cellStyle name="计算 2 4 3" xfId="1479"/>
    <cellStyle name="计算 2 5" xfId="1480"/>
    <cellStyle name="计算 2 6" xfId="1481"/>
    <cellStyle name="计算 3" xfId="1482"/>
    <cellStyle name="计算 3 2" xfId="1483"/>
    <cellStyle name="计算 3 2 2" xfId="1484"/>
    <cellStyle name="计算 3 2 2 2" xfId="1485"/>
    <cellStyle name="计算 3 2 2 3" xfId="1486"/>
    <cellStyle name="计算 3 2 3" xfId="1487"/>
    <cellStyle name="计算 3 2 4" xfId="1488"/>
    <cellStyle name="计算 3 3" xfId="1489"/>
    <cellStyle name="强调文字颜色 1 6" xfId="1490"/>
    <cellStyle name="计算 3 3 2" xfId="1491"/>
    <cellStyle name="强调文字颜色 1 7" xfId="1492"/>
    <cellStyle name="计算 3 3 3" xfId="1493"/>
    <cellStyle name="计算 3 4" xfId="1494"/>
    <cellStyle name="计算 3 5" xfId="1495"/>
    <cellStyle name="计算 4" xfId="1496"/>
    <cellStyle name="计算 4 2" xfId="1497"/>
    <cellStyle name="计算 4 2 2" xfId="1498"/>
    <cellStyle name="计算 4 2 3" xfId="1499"/>
    <cellStyle name="计算 4 3" xfId="1500"/>
    <cellStyle name="计算 4 4" xfId="1501"/>
    <cellStyle name="计算 5 2" xfId="1502"/>
    <cellStyle name="计算 5 3" xfId="1503"/>
    <cellStyle name="计算 7" xfId="1504"/>
    <cellStyle name="计算 8" xfId="1505"/>
    <cellStyle name="检查单元格 2" xfId="1506"/>
    <cellStyle name="检查单元格 2 2" xfId="1507"/>
    <cellStyle name="检查单元格 2 2 2 4" xfId="1508"/>
    <cellStyle name="注释 4 2 3" xfId="1509"/>
    <cellStyle name="检查单元格 2 2 3 3" xfId="1510"/>
    <cellStyle name="注释 4 4" xfId="1511"/>
    <cellStyle name="检查单元格 2 2 5" xfId="1512"/>
    <cellStyle name="检查单元格 2 3" xfId="1513"/>
    <cellStyle name="注释 5 3" xfId="1514"/>
    <cellStyle name="检查单元格 2 3 4" xfId="1515"/>
    <cellStyle name="检查单元格 2 4" xfId="1516"/>
    <cellStyle name="检查单元格 2 4 3" xfId="1517"/>
    <cellStyle name="检查单元格 2 5" xfId="1518"/>
    <cellStyle name="检查单元格 2 6" xfId="1519"/>
    <cellStyle name="检查单元格 3" xfId="1520"/>
    <cellStyle name="检查单元格 3 2" xfId="1521"/>
    <cellStyle name="检查单元格 3 3" xfId="1522"/>
    <cellStyle name="检查单元格 3 4" xfId="1523"/>
    <cellStyle name="检查单元格 3 5" xfId="1524"/>
    <cellStyle name="检查单元格 4" xfId="1525"/>
    <cellStyle name="检查单元格 4 2" xfId="1526"/>
    <cellStyle name="检查单元格 4 3" xfId="1527"/>
    <cellStyle name="检查单元格 4 4" xfId="1528"/>
    <cellStyle name="检查单元格 5" xfId="1529"/>
    <cellStyle name="检查单元格 5 2" xfId="1530"/>
    <cellStyle name="检查单元格 5 3" xfId="1531"/>
    <cellStyle name="检查单元格 6" xfId="1532"/>
    <cellStyle name="输出 3 2 2" xfId="1533"/>
    <cellStyle name="检查单元格 7" xfId="1534"/>
    <cellStyle name="输出 3 2 3" xfId="1535"/>
    <cellStyle name="检查单元格 8" xfId="1536"/>
    <cellStyle name="解释性文本 2 2" xfId="1537"/>
    <cellStyle name="解释性文本 2 2 2 2" xfId="1538"/>
    <cellStyle name="解释性文本 2 2 2 2 2" xfId="1539"/>
    <cellStyle name="解释性文本 2 2 2 2 3" xfId="1540"/>
    <cellStyle name="解释性文本 2 2 2 3" xfId="1541"/>
    <cellStyle name="解释性文本 2 2 2 4" xfId="1542"/>
    <cellStyle name="解释性文本 2 2 3 2" xfId="1543"/>
    <cellStyle name="解释性文本 2 2 3 3" xfId="1544"/>
    <cellStyle name="链接单元格 3 2 2 2" xfId="1545"/>
    <cellStyle name="解释性文本 2 3" xfId="1546"/>
    <cellStyle name="解释性文本 2 3 2 2" xfId="1547"/>
    <cellStyle name="解释性文本 2 3 2 3" xfId="1548"/>
    <cellStyle name="解释性文本 2 3 3" xfId="1549"/>
    <cellStyle name="链接单元格 3 2 2 3" xfId="1550"/>
    <cellStyle name="警告文本 2 2 2 2 2" xfId="1551"/>
    <cellStyle name="解释性文本 2 4" xfId="1552"/>
    <cellStyle name="解释性文本 2 4 2" xfId="1553"/>
    <cellStyle name="解释性文本 2 4 3" xfId="1554"/>
    <cellStyle name="警告文本 2 2 2 2 3" xfId="1555"/>
    <cellStyle name="解释性文本 2 5" xfId="1556"/>
    <cellStyle name="解释性文本 2 6" xfId="1557"/>
    <cellStyle name="解释性文本 3 2" xfId="1558"/>
    <cellStyle name="解释性文本 3 2 2 2" xfId="1559"/>
    <cellStyle name="解释性文本 3 2 2 3" xfId="1560"/>
    <cellStyle name="解释性文本 3 3" xfId="1561"/>
    <cellStyle name="解释性文本 3 3 3" xfId="1562"/>
    <cellStyle name="解释性文本 3 4" xfId="1563"/>
    <cellStyle name="解释性文本 3 5" xfId="1564"/>
    <cellStyle name="解释性文本 4" xfId="1565"/>
    <cellStyle name="解释性文本 4 2" xfId="1566"/>
    <cellStyle name="解释性文本 4 2 2" xfId="1567"/>
    <cellStyle name="解释性文本 4 2 3" xfId="1568"/>
    <cellStyle name="解释性文本 4 3" xfId="1569"/>
    <cellStyle name="解释性文本 4 4" xfId="1570"/>
    <cellStyle name="警告文本 2" xfId="1571"/>
    <cellStyle name="警告文本 2 2" xfId="1572"/>
    <cellStyle name="警告文本 2 2 2 4" xfId="1573"/>
    <cellStyle name="警告文本 2 2 3 2" xfId="1574"/>
    <cellStyle name="警告文本 2 2 3 3" xfId="1575"/>
    <cellStyle name="警告文本 2 3" xfId="1576"/>
    <cellStyle name="警告文本 2 3 2 2" xfId="1577"/>
    <cellStyle name="警告文本 2 3 2 3" xfId="1578"/>
    <cellStyle name="强调文字颜色 5 4 2" xfId="1579"/>
    <cellStyle name="警告文本 2 3 4" xfId="1580"/>
    <cellStyle name="警告文本 2 4" xfId="1581"/>
    <cellStyle name="链接单元格 2 2 5" xfId="1582"/>
    <cellStyle name="警告文本 2 4 3" xfId="1583"/>
    <cellStyle name="警告文本 3" xfId="1584"/>
    <cellStyle name="警告文本 3 2" xfId="1585"/>
    <cellStyle name="警告文本 3 2 2 2" xfId="1586"/>
    <cellStyle name="警告文本 3 2 2 3" xfId="1587"/>
    <cellStyle name="强调文字颜色 6 3 2" xfId="1588"/>
    <cellStyle name="警告文本 3 2 4" xfId="1589"/>
    <cellStyle name="警告文本 3 3" xfId="1590"/>
    <cellStyle name="警告文本 3 3 3" xfId="1591"/>
    <cellStyle name="警告文本 3 4" xfId="1592"/>
    <cellStyle name="警告文本 3 5" xfId="1593"/>
    <cellStyle name="警告文本 4" xfId="1594"/>
    <cellStyle name="警告文本 4 2" xfId="1595"/>
    <cellStyle name="警告文本 4 2 3" xfId="1596"/>
    <cellStyle name="警告文本 4 3" xfId="1597"/>
    <cellStyle name="警告文本 4 4" xfId="1598"/>
    <cellStyle name="警告文本 5" xfId="1599"/>
    <cellStyle name="警告文本 5 2" xfId="1600"/>
    <cellStyle name="警告文本 5 3" xfId="1601"/>
    <cellStyle name="警告文本 6" xfId="1602"/>
    <cellStyle name="警告文本 7" xfId="1603"/>
    <cellStyle name="链接单元格 2 2" xfId="1604"/>
    <cellStyle name="链接单元格 2 2 2" xfId="1605"/>
    <cellStyle name="链接单元格 2 2 2 2 2" xfId="1606"/>
    <cellStyle name="链接单元格 2 2 2 2 3" xfId="1607"/>
    <cellStyle name="链接单元格 2 2 2 3" xfId="1608"/>
    <cellStyle name="链接单元格 2 2 2 4" xfId="1609"/>
    <cellStyle name="链接单元格 2 2 3 2" xfId="1610"/>
    <cellStyle name="链接单元格 2 2 3 3" xfId="1611"/>
    <cellStyle name="链接单元格 2 3" xfId="1612"/>
    <cellStyle name="链接单元格 2 3 2 2" xfId="1613"/>
    <cellStyle name="链接单元格 2 3 3" xfId="1614"/>
    <cellStyle name="链接单元格 2 3 4" xfId="1615"/>
    <cellStyle name="链接单元格 2 4" xfId="1616"/>
    <cellStyle name="链接单元格 2 5" xfId="1617"/>
    <cellStyle name="链接单元格 2 6" xfId="1618"/>
    <cellStyle name="链接单元格 3" xfId="1619"/>
    <cellStyle name="链接单元格 3 2" xfId="1620"/>
    <cellStyle name="链接单元格 3 2 2" xfId="1621"/>
    <cellStyle name="链接单元格 3 2 3" xfId="1622"/>
    <cellStyle name="链接单元格 3 2 4" xfId="1623"/>
    <cellStyle name="链接单元格 3 3" xfId="1624"/>
    <cellStyle name="链接单元格 3 3 2" xfId="1625"/>
    <cellStyle name="链接单元格 3 3 3" xfId="1626"/>
    <cellStyle name="链接单元格 3 4" xfId="1627"/>
    <cellStyle name="链接单元格 3 5" xfId="1628"/>
    <cellStyle name="链接单元格 4" xfId="1629"/>
    <cellStyle name="链接单元格 4 2" xfId="1630"/>
    <cellStyle name="链接单元格 4 2 2" xfId="1631"/>
    <cellStyle name="链接单元格 4 2 3" xfId="1632"/>
    <cellStyle name="链接单元格 4 3" xfId="1633"/>
    <cellStyle name="链接单元格 4 4" xfId="1634"/>
    <cellStyle name="链接单元格 5" xfId="1635"/>
    <cellStyle name="链接单元格 5 2" xfId="1636"/>
    <cellStyle name="链接单元格 5 3" xfId="1637"/>
    <cellStyle name="链接单元格 6" xfId="1638"/>
    <cellStyle name="链接单元格 7" xfId="1639"/>
    <cellStyle name="强调文字颜色 1 2 2" xfId="1640"/>
    <cellStyle name="强调文字颜色 1 2 2 2" xfId="1641"/>
    <cellStyle name="强调文字颜色 1 2 2 2 2" xfId="1642"/>
    <cellStyle name="强调文字颜色 1 2 2 2 2 2" xfId="1643"/>
    <cellStyle name="强调文字颜色 1 2 2 2 2 3" xfId="1644"/>
    <cellStyle name="强调文字颜色 1 2 2 2 3" xfId="1645"/>
    <cellStyle name="强调文字颜色 1 2 2 2 4" xfId="1646"/>
    <cellStyle name="强调文字颜色 1 2 2 3" xfId="1647"/>
    <cellStyle name="强调文字颜色 1 2 2 3 2" xfId="1648"/>
    <cellStyle name="强调文字颜色 1 2 2 3 3" xfId="1649"/>
    <cellStyle name="强调文字颜色 1 2 2 4" xfId="1650"/>
    <cellStyle name="强调文字颜色 1 2 2 5" xfId="1651"/>
    <cellStyle name="强调文字颜色 1 2 3" xfId="1652"/>
    <cellStyle name="强调文字颜色 1 2 3 2" xfId="1653"/>
    <cellStyle name="强调文字颜色 1 2 3 3" xfId="1654"/>
    <cellStyle name="强调文字颜色 1 2 3 4" xfId="1655"/>
    <cellStyle name="强调文字颜色 1 2 4" xfId="1656"/>
    <cellStyle name="强调文字颜色 2 2 5" xfId="1657"/>
    <cellStyle name="强调文字颜色 1 2 4 2" xfId="1658"/>
    <cellStyle name="强调文字颜色 2 2 6" xfId="1659"/>
    <cellStyle name="强调文字颜色 1 2 4 3" xfId="1660"/>
    <cellStyle name="强调文字颜色 1 2 5" xfId="1661"/>
    <cellStyle name="强调文字颜色 1 2 6" xfId="1662"/>
    <cellStyle name="强调文字颜色 1 3 2" xfId="1663"/>
    <cellStyle name="强调文字颜色 1 3 2 2" xfId="1664"/>
    <cellStyle name="强调文字颜色 1 3 2 2 2" xfId="1665"/>
    <cellStyle name="强调文字颜色 1 3 2 2 3" xfId="1666"/>
    <cellStyle name="强调文字颜色 1 3 2 3" xfId="1667"/>
    <cellStyle name="强调文字颜色 1 3 2 4" xfId="1668"/>
    <cellStyle name="强调文字颜色 1 3 3" xfId="1669"/>
    <cellStyle name="强调文字颜色 1 3 3 2" xfId="1670"/>
    <cellStyle name="强调文字颜色 1 3 3 3" xfId="1671"/>
    <cellStyle name="强调文字颜色 1 4" xfId="1672"/>
    <cellStyle name="强调文字颜色 1 4 2" xfId="1673"/>
    <cellStyle name="强调文字颜色 1 4 2 2" xfId="1674"/>
    <cellStyle name="强调文字颜色 1 4 2 3" xfId="1675"/>
    <cellStyle name="强调文字颜色 1 4 3" xfId="1676"/>
    <cellStyle name="输出 4" xfId="1677"/>
    <cellStyle name="强调文字颜色 1 5 2" xfId="1678"/>
    <cellStyle name="输出 5" xfId="1679"/>
    <cellStyle name="强调文字颜色 1 5 3" xfId="1680"/>
    <cellStyle name="强调文字颜色 1 8" xfId="1681"/>
    <cellStyle name="强调文字颜色 2 2" xfId="1682"/>
    <cellStyle name="输出 3 2 2 3" xfId="1683"/>
    <cellStyle name="强调文字颜色 2 2 2" xfId="1684"/>
    <cellStyle name="强调文字颜色 2 2 3" xfId="1685"/>
    <cellStyle name="强调文字颜色 2 2 4" xfId="1686"/>
    <cellStyle name="强调文字颜色 2 3" xfId="1687"/>
    <cellStyle name="输入 2 2" xfId="1688"/>
    <cellStyle name="强调文字颜色 2 3 2 2 2" xfId="1689"/>
    <cellStyle name="输入 2 3" xfId="1690"/>
    <cellStyle name="强调文字颜色 2 3 2 2 3" xfId="1691"/>
    <cellStyle name="输入 4" xfId="1692"/>
    <cellStyle name="强调文字颜色 2 3 2 4" xfId="1693"/>
    <cellStyle name="强调文字颜色 2 4" xfId="1694"/>
    <cellStyle name="强调文字颜色 2 4 2" xfId="1695"/>
    <cellStyle name="强调文字颜色 2 4 2 2" xfId="1696"/>
    <cellStyle name="强调文字颜色 2 4 2 3" xfId="1697"/>
    <cellStyle name="强调文字颜色 2 5" xfId="1698"/>
    <cellStyle name="强调文字颜色 2 5 2" xfId="1699"/>
    <cellStyle name="强调文字颜色 2 5 3" xfId="1700"/>
    <cellStyle name="强调文字颜色 2 6" xfId="1701"/>
    <cellStyle name="强调文字颜色 2 7" xfId="1702"/>
    <cellStyle name="强调文字颜色 2 8" xfId="1703"/>
    <cellStyle name="强调文字颜色 3 2" xfId="1704"/>
    <cellStyle name="强调文字颜色 3 2 2" xfId="1705"/>
    <cellStyle name="强调文字颜色 3 2 2 2" xfId="1706"/>
    <cellStyle name="强调文字颜色 3 2 2 2 2" xfId="1707"/>
    <cellStyle name="强调文字颜色 3 2 2 2 2 2" xfId="1708"/>
    <cellStyle name="强调文字颜色 3 2 2 2 2 3" xfId="1709"/>
    <cellStyle name="强调文字颜色 3 2 2 2 3" xfId="1710"/>
    <cellStyle name="强调文字颜色 3 2 2 2 4" xfId="1711"/>
    <cellStyle name="强调文字颜色 3 2 2 3" xfId="1712"/>
    <cellStyle name="强调文字颜色 3 2 2 3 2" xfId="1713"/>
    <cellStyle name="强调文字颜色 3 2 2 3 3" xfId="1714"/>
    <cellStyle name="强调文字颜色 3 2 2 4" xfId="1715"/>
    <cellStyle name="强调文字颜色 4 2 2 2 2" xfId="1716"/>
    <cellStyle name="强调文字颜色 3 2 2 5" xfId="1717"/>
    <cellStyle name="强调文字颜色 3 2 3" xfId="1718"/>
    <cellStyle name="强调文字颜色 3 2 3 2" xfId="1719"/>
    <cellStyle name="强调文字颜色 3 2 3 2 2" xfId="1720"/>
    <cellStyle name="强调文字颜色 3 2 4" xfId="1721"/>
    <cellStyle name="强调文字颜色 3 2 4 2" xfId="1722"/>
    <cellStyle name="强调文字颜色 3 2 6" xfId="1723"/>
    <cellStyle name="强调文字颜色 3 3 2" xfId="1724"/>
    <cellStyle name="强调文字颜色 3 3 2 2" xfId="1725"/>
    <cellStyle name="强调文字颜色 3 3 2 2 2" xfId="1726"/>
    <cellStyle name="强调文字颜色 3 3 2 2 3" xfId="1727"/>
    <cellStyle name="强调文字颜色 3 3 2 3" xfId="1728"/>
    <cellStyle name="强调文字颜色 3 3 2 4" xfId="1729"/>
    <cellStyle name="强调文字颜色 3 4 2" xfId="1730"/>
    <cellStyle name="强调文字颜色 3 4 2 2" xfId="1731"/>
    <cellStyle name="强调文字颜色 3 4 2 3" xfId="1732"/>
    <cellStyle name="强调文字颜色 3 5 2" xfId="1733"/>
    <cellStyle name="强调文字颜色 4 2" xfId="1734"/>
    <cellStyle name="强调文字颜色 4 2 2" xfId="1735"/>
    <cellStyle name="强调文字颜色 4 2 2 2" xfId="1736"/>
    <cellStyle name="强调文字颜色 4 2 2 2 2 2" xfId="1737"/>
    <cellStyle name="强调文字颜色 4 2 2 2 2 3" xfId="1738"/>
    <cellStyle name="强调文字颜色 4 2 2 3" xfId="1739"/>
    <cellStyle name="强调文字颜色 4 2 2 3 3" xfId="1740"/>
    <cellStyle name="强调文字颜色 4 2 2 4" xfId="1741"/>
    <cellStyle name="强调文字颜色 4 3 2 2 2" xfId="1742"/>
    <cellStyle name="强调文字颜色 4 2 2 5" xfId="1743"/>
    <cellStyle name="强调文字颜色 4 2 3" xfId="1744"/>
    <cellStyle name="强调文字颜色 4 2 3 2" xfId="1745"/>
    <cellStyle name="强调文字颜色 4 2 3 2 2" xfId="1746"/>
    <cellStyle name="强调文字颜色 4 2 3 2 3" xfId="1747"/>
    <cellStyle name="强调文字颜色 4 2 3 3" xfId="1748"/>
    <cellStyle name="强调文字颜色 4 2 3 4" xfId="1749"/>
    <cellStyle name="强调文字颜色 4 2 4" xfId="1750"/>
    <cellStyle name="强调文字颜色 4 2 4 2" xfId="1751"/>
    <cellStyle name="强调文字颜色 4 2 4 3" xfId="1752"/>
    <cellStyle name="强调文字颜色 4 2 5" xfId="1753"/>
    <cellStyle name="强调文字颜色 4 2 6" xfId="1754"/>
    <cellStyle name="强调文字颜色 4 3" xfId="1755"/>
    <cellStyle name="强调文字颜色 4 3 2" xfId="1756"/>
    <cellStyle name="强调文字颜色 4 3 2 2" xfId="1757"/>
    <cellStyle name="强调文字颜色 4 3 2 3" xfId="1758"/>
    <cellStyle name="强调文字颜色 4 3 2 4" xfId="1759"/>
    <cellStyle name="强调文字颜色 4 4" xfId="1760"/>
    <cellStyle name="强调文字颜色 4 4 2" xfId="1761"/>
    <cellStyle name="强调文字颜色 4 4 2 2" xfId="1762"/>
    <cellStyle name="强调文字颜色 4 4 2 3" xfId="1763"/>
    <cellStyle name="强调文字颜色 4 5" xfId="1764"/>
    <cellStyle name="强调文字颜色 4 5 2" xfId="1765"/>
    <cellStyle name="强调文字颜色 4 5 3" xfId="1766"/>
    <cellStyle name="强调文字颜色 4 6" xfId="1767"/>
    <cellStyle name="强调文字颜色 4 7" xfId="1768"/>
    <cellStyle name="强调文字颜色 4 8" xfId="1769"/>
    <cellStyle name="强调文字颜色 5 2" xfId="1770"/>
    <cellStyle name="强调文字颜色 5 2 2" xfId="1771"/>
    <cellStyle name="强调文字颜色 5 2 2 2" xfId="1772"/>
    <cellStyle name="强调文字颜色 5 2 2 2 2 2" xfId="1773"/>
    <cellStyle name="强调文字颜色 5 2 2 2 2 3" xfId="1774"/>
    <cellStyle name="强调文字颜色 5 2 2 2 3" xfId="1775"/>
    <cellStyle name="强调文字颜色 5 2 2 2 4" xfId="1776"/>
    <cellStyle name="强调文字颜色 5 2 2 3" xfId="1777"/>
    <cellStyle name="强调文字颜色 5 2 2 3 2" xfId="1778"/>
    <cellStyle name="强调文字颜色 5 2 2 3 3" xfId="1779"/>
    <cellStyle name="强调文字颜色 5 2 2 4" xfId="1780"/>
    <cellStyle name="强调文字颜色 5 2 2 5" xfId="1781"/>
    <cellStyle name="强调文字颜色 5 2 3" xfId="1782"/>
    <cellStyle name="强调文字颜色 5 2 3 2" xfId="1783"/>
    <cellStyle name="强调文字颜色 5 2 3 2 2" xfId="1784"/>
    <cellStyle name="强调文字颜色 5 2 3 2 3" xfId="1785"/>
    <cellStyle name="强调文字颜色 5 2 3 3" xfId="1786"/>
    <cellStyle name="强调文字颜色 5 2 3 4" xfId="1787"/>
    <cellStyle name="强调文字颜色 5 2 4" xfId="1788"/>
    <cellStyle name="强调文字颜色 5 2 4 2" xfId="1789"/>
    <cellStyle name="强调文字颜色 5 2 4 3" xfId="1790"/>
    <cellStyle name="强调文字颜色 5 2 5" xfId="1791"/>
    <cellStyle name="强调文字颜色 5 2 6" xfId="1792"/>
    <cellStyle name="强调文字颜色 5 3" xfId="1793"/>
    <cellStyle name="强调文字颜色 5 3 2 2" xfId="1794"/>
    <cellStyle name="强调文字颜色 5 3 2 2 2" xfId="1795"/>
    <cellStyle name="强调文字颜色 5 3 2 2 3" xfId="1796"/>
    <cellStyle name="强调文字颜色 5 3 2 3" xfId="1797"/>
    <cellStyle name="强调文字颜色 5 3 2 4" xfId="1798"/>
    <cellStyle name="强调文字颜色 5 3 3 2" xfId="1799"/>
    <cellStyle name="强调文字颜色 5 3 3 3" xfId="1800"/>
    <cellStyle name="强调文字颜色 5 3 5" xfId="1801"/>
    <cellStyle name="强调文字颜色 5 4" xfId="1802"/>
    <cellStyle name="强调文字颜色 5 4 2 2" xfId="1803"/>
    <cellStyle name="强调文字颜色 5 4 2 3" xfId="1804"/>
    <cellStyle name="强调文字颜色 5 4 3" xfId="1805"/>
    <cellStyle name="强调文字颜色 5 4 4" xfId="1806"/>
    <cellStyle name="强调文字颜色 5 5" xfId="1807"/>
    <cellStyle name="强调文字颜色 5 5 2" xfId="1808"/>
    <cellStyle name="强调文字颜色 5 5 3" xfId="1809"/>
    <cellStyle name="强调文字颜色 5 6" xfId="1810"/>
    <cellStyle name="强调文字颜色 5 7" xfId="1811"/>
    <cellStyle name="强调文字颜色 6 2" xfId="1812"/>
    <cellStyle name="强调文字颜色 6 2 2" xfId="1813"/>
    <cellStyle name="强调文字颜色 6 2 2 2" xfId="1814"/>
    <cellStyle name="强调文字颜色 6 2 2 2 2" xfId="1815"/>
    <cellStyle name="强调文字颜色 6 2 2 3" xfId="1816"/>
    <cellStyle name="强调文字颜色 6 2 2 3 2" xfId="1817"/>
    <cellStyle name="强调文字颜色 6 2 2 3 3" xfId="1818"/>
    <cellStyle name="强调文字颜色 6 2 2 4" xfId="1819"/>
    <cellStyle name="强调文字颜色 6 2 2 5" xfId="1820"/>
    <cellStyle name="强调文字颜色 6 2 3" xfId="1821"/>
    <cellStyle name="强调文字颜色 6 2 3 2" xfId="1822"/>
    <cellStyle name="强调文字颜色 6 2 3 2 2" xfId="1823"/>
    <cellStyle name="强调文字颜色 6 2 3 3" xfId="1824"/>
    <cellStyle name="强调文字颜色 6 2 3 4" xfId="1825"/>
    <cellStyle name="强调文字颜色 6 2 4" xfId="1826"/>
    <cellStyle name="强调文字颜色 6 2 4 2" xfId="1827"/>
    <cellStyle name="强调文字颜色 6 2 4 3" xfId="1828"/>
    <cellStyle name="强调文字颜色 6 2 5" xfId="1829"/>
    <cellStyle name="强调文字颜色 6 2 6" xfId="1830"/>
    <cellStyle name="强调文字颜色 6 3" xfId="1831"/>
    <cellStyle name="强调文字颜色 6 3 2 2" xfId="1832"/>
    <cellStyle name="强调文字颜色 6 3 2 2 2" xfId="1833"/>
    <cellStyle name="强调文字颜色 6 3 2 2 3" xfId="1834"/>
    <cellStyle name="强调文字颜色 6 3 2 3" xfId="1835"/>
    <cellStyle name="强调文字颜色 6 3 3" xfId="1836"/>
    <cellStyle name="强调文字颜色 6 3 3 2" xfId="1837"/>
    <cellStyle name="强调文字颜色 6 3 3 3" xfId="1838"/>
    <cellStyle name="强调文字颜色 6 3 4" xfId="1839"/>
    <cellStyle name="强调文字颜色 6 3 5" xfId="1840"/>
    <cellStyle name="强调文字颜色 6 4" xfId="1841"/>
    <cellStyle name="强调文字颜色 6 4 2" xfId="1842"/>
    <cellStyle name="强调文字颜色 6 4 2 2" xfId="1843"/>
    <cellStyle name="强调文字颜色 6 4 2 3" xfId="1844"/>
    <cellStyle name="强调文字颜色 6 4 3" xfId="1845"/>
    <cellStyle name="强调文字颜色 6 4 4" xfId="1846"/>
    <cellStyle name="强调文字颜色 6 5" xfId="1847"/>
    <cellStyle name="强调文字颜色 6 5 2" xfId="1848"/>
    <cellStyle name="强调文字颜色 6 5 3" xfId="1849"/>
    <cellStyle name="强调文字颜色 6 6" xfId="1850"/>
    <cellStyle name="强调文字颜色 6 7" xfId="1851"/>
    <cellStyle name="强调文字颜色 6 8" xfId="1852"/>
    <cellStyle name="适中 15" xfId="1853"/>
    <cellStyle name="适中 16" xfId="1854"/>
    <cellStyle name="适中 2 2 2 2" xfId="1855"/>
    <cellStyle name="适中 2 2 2 2 2" xfId="1856"/>
    <cellStyle name="注释 2 2 2 2" xfId="1857"/>
    <cellStyle name="适中 2 2 2 2 3" xfId="1858"/>
    <cellStyle name="适中 2 2 2 3" xfId="1859"/>
    <cellStyle name="适中 2 2 2 4" xfId="1860"/>
    <cellStyle name="适中 2 3 2" xfId="1861"/>
    <cellStyle name="适中 2 3 2 2" xfId="1862"/>
    <cellStyle name="适中 2 3 3" xfId="1863"/>
    <cellStyle name="适中 2 3 4" xfId="1864"/>
    <cellStyle name="适中 3 2" xfId="1865"/>
    <cellStyle name="适中 3 2 2" xfId="1866"/>
    <cellStyle name="适中 3 2 2 2" xfId="1867"/>
    <cellStyle name="适中 3 2 2 3" xfId="1868"/>
    <cellStyle name="适中 3 2 3" xfId="1869"/>
    <cellStyle name="适中 3 2 4" xfId="1870"/>
    <cellStyle name="适中 3 3" xfId="1871"/>
    <cellStyle name="适中 3 3 2" xfId="1872"/>
    <cellStyle name="适中 3 3 3" xfId="1873"/>
    <cellStyle name="适中 4 2" xfId="1874"/>
    <cellStyle name="适中 4 2 3" xfId="1875"/>
    <cellStyle name="适中 4 3" xfId="1876"/>
    <cellStyle name="适中 4 4" xfId="1877"/>
    <cellStyle name="适中 5" xfId="1878"/>
    <cellStyle name="适中 5 2" xfId="1879"/>
    <cellStyle name="适中 5 3" xfId="1880"/>
    <cellStyle name="适中 6" xfId="1881"/>
    <cellStyle name="输出 2 2" xfId="1882"/>
    <cellStyle name="输出 2 2 2 2" xfId="1883"/>
    <cellStyle name="输出 2 2 2 2 2" xfId="1884"/>
    <cellStyle name="输出 2 2 2 2 3" xfId="1885"/>
    <cellStyle name="输出 2 2 2 3" xfId="1886"/>
    <cellStyle name="输出 2 2 2 4" xfId="1887"/>
    <cellStyle name="输出 2 2 3" xfId="1888"/>
    <cellStyle name="输出 2 2 4" xfId="1889"/>
    <cellStyle name="输出 2 2 5" xfId="1890"/>
    <cellStyle name="输出 2 3" xfId="1891"/>
    <cellStyle name="输出 2 3 2 2" xfId="1892"/>
    <cellStyle name="输出 2 3 2 3" xfId="1893"/>
    <cellStyle name="输出 2 3 3" xfId="1894"/>
    <cellStyle name="输出 2 4" xfId="1895"/>
    <cellStyle name="输出 2 4 2" xfId="1896"/>
    <cellStyle name="输出 2 4 3" xfId="1897"/>
    <cellStyle name="输出 2 5" xfId="1898"/>
    <cellStyle name="输出 2 6" xfId="1899"/>
    <cellStyle name="输出 3 2" xfId="1900"/>
    <cellStyle name="输出 3 2 2 2" xfId="1901"/>
    <cellStyle name="输出 3 2 4" xfId="1902"/>
    <cellStyle name="输出 3 3" xfId="1903"/>
    <cellStyle name="输出 3 3 2" xfId="1904"/>
    <cellStyle name="输出 3 3 3" xfId="1905"/>
    <cellStyle name="输出 3 4" xfId="1906"/>
    <cellStyle name="输出 3 5" xfId="1907"/>
    <cellStyle name="输出 4 2" xfId="1908"/>
    <cellStyle name="输出 5 2" xfId="1909"/>
    <cellStyle name="输出 5 3" xfId="1910"/>
    <cellStyle name="输出 6" xfId="1911"/>
    <cellStyle name="输出 7" xfId="1912"/>
    <cellStyle name="输出 8" xfId="1913"/>
    <cellStyle name="输入 2 2 2" xfId="1914"/>
    <cellStyle name="输入 2 2 2 2 2" xfId="1915"/>
    <cellStyle name="输入 2 2 2 2 3" xfId="1916"/>
    <cellStyle name="输入 2 2 2 3" xfId="1917"/>
    <cellStyle name="输入 2 2 2 4" xfId="1918"/>
    <cellStyle name="输入 2 2 3" xfId="1919"/>
    <cellStyle name="输入 2 2 3 2" xfId="1920"/>
    <cellStyle name="输入 2 2 3 3" xfId="1921"/>
    <cellStyle name="输入 2 2 4" xfId="1922"/>
    <cellStyle name="输入 2 2 5" xfId="1923"/>
    <cellStyle name="输入 2 3 2" xfId="1924"/>
    <cellStyle name="输入 2 3 2 2" xfId="1925"/>
    <cellStyle name="输入 2 3 2 3" xfId="1926"/>
    <cellStyle name="输入 2 3 3" xfId="1927"/>
    <cellStyle name="输入 2 3 4" xfId="1928"/>
    <cellStyle name="输入 2 4" xfId="1929"/>
    <cellStyle name="输入 2 4 2" xfId="1930"/>
    <cellStyle name="输入 2 4 3" xfId="1931"/>
    <cellStyle name="输入 2 5" xfId="1932"/>
    <cellStyle name="输入 2 6" xfId="1933"/>
    <cellStyle name="输入 3 2" xfId="1934"/>
    <cellStyle name="输入 3 2 2" xfId="1935"/>
    <cellStyle name="输入 3 2 2 2" xfId="1936"/>
    <cellStyle name="输入 3 2 2 3" xfId="1937"/>
    <cellStyle name="输入 3 2 3" xfId="1938"/>
    <cellStyle name="输入 3 3" xfId="1939"/>
    <cellStyle name="输入 3 3 2" xfId="1940"/>
    <cellStyle name="输入 3 3 3" xfId="1941"/>
    <cellStyle name="输入 3 4" xfId="1942"/>
    <cellStyle name="输入 3 5" xfId="1943"/>
    <cellStyle name="输入 4 2" xfId="1944"/>
    <cellStyle name="输入 4 3" xfId="1945"/>
    <cellStyle name="输入 4 4" xfId="1946"/>
    <cellStyle name="输入 5" xfId="1947"/>
    <cellStyle name="输入 5 2" xfId="1948"/>
    <cellStyle name="输入 5 3" xfId="1949"/>
    <cellStyle name="输入 6" xfId="1950"/>
    <cellStyle name="输入 7" xfId="1951"/>
    <cellStyle name="注释 2 2 2 3" xfId="1952"/>
    <cellStyle name="注释 2 2 2 4" xfId="1953"/>
    <cellStyle name="注释 2 2 3 2" xfId="1954"/>
    <cellStyle name="注释 2 2 3 3" xfId="1955"/>
    <cellStyle name="注释 2 2 4" xfId="1956"/>
    <cellStyle name="注释 2 2 5" xfId="1957"/>
    <cellStyle name="注释 2 3 2" xfId="1958"/>
    <cellStyle name="注释 2 3 2 2" xfId="1959"/>
    <cellStyle name="注释 2 3 2 3" xfId="1960"/>
    <cellStyle name="注释 2 3 3" xfId="1961"/>
    <cellStyle name="注释 2 3 4" xfId="1962"/>
    <cellStyle name="注释 2 4 2" xfId="1963"/>
    <cellStyle name="注释 2 4 3" xfId="1964"/>
    <cellStyle name="注释 2 5" xfId="1965"/>
    <cellStyle name="注释 2 6" xfId="1966"/>
    <cellStyle name="注释 3 2 2 2" xfId="1967"/>
    <cellStyle name="注释 3 2 2 3" xfId="1968"/>
    <cellStyle name="注释 3 2 4" xfId="1969"/>
    <cellStyle name="注释 3 3 2" xfId="1970"/>
    <cellStyle name="注释 3 3 3" xfId="1971"/>
    <cellStyle name="注释 6" xfId="1972"/>
  </cellStyles>
  <tableStyles count="0" defaultTableStyle="TableStyleMedium9"/>
  <colors>
    <mruColors>
      <color rgb="00FFFFFF"/>
      <color rgb="00CCFFCC"/>
      <color rgb="00000000"/>
      <color rgb="0000FF00"/>
      <color rgb="00FF8080"/>
      <color rgb="00FFFF00"/>
      <color rgb="00FFCC99"/>
    </mruColors>
  </colors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DX1301"/>
  <sheetViews>
    <sheetView tabSelected="1" workbookViewId="0">
      <pane xSplit="2" ySplit="1" topLeftCell="C2" activePane="bottomRight" state="frozen"/>
      <selection/>
      <selection pane="topRight"/>
      <selection pane="bottomLeft"/>
      <selection pane="bottomRight" activeCell="M2" sqref="M2"/>
    </sheetView>
  </sheetViews>
  <sheetFormatPr defaultColWidth="9" defaultRowHeight="13.5"/>
  <cols>
    <col min="1" max="1" width="7.45" customWidth="1"/>
    <col min="2" max="2" width="14.725" customWidth="1"/>
    <col min="3" max="3" width="11" customWidth="1"/>
    <col min="4" max="5" width="6.26666666666667" customWidth="1"/>
    <col min="6" max="7" width="12.725" customWidth="1"/>
    <col min="8" max="8" width="9" customWidth="1"/>
    <col min="9" max="9" width="8.45" customWidth="1"/>
    <col min="10" max="10" width="15.0916666666667" customWidth="1"/>
    <col min="11" max="11" width="10.45" customWidth="1"/>
    <col min="12" max="12" width="6.45" style="32" customWidth="1"/>
    <col min="13" max="13" width="8.45" customWidth="1"/>
    <col min="14" max="14" width="15.0916666666667" customWidth="1"/>
    <col min="15" max="15" width="7.26666666666667" style="32" customWidth="1"/>
    <col min="16" max="16" width="5.45" customWidth="1"/>
    <col min="17" max="18" width="22.45" customWidth="1"/>
    <col min="19" max="20" width="5.45" customWidth="1"/>
    <col min="21" max="22" width="5.26666666666667" customWidth="1"/>
    <col min="23" max="23" width="11" style="32" customWidth="1"/>
    <col min="24" max="24" width="21.6333333333333" style="32" customWidth="1"/>
    <col min="25" max="25" width="15.0916666666667" style="32" customWidth="1"/>
    <col min="26" max="26" width="15.0916666666667" customWidth="1"/>
    <col min="27" max="27" width="9" customWidth="1"/>
    <col min="28" max="28" width="23.725" customWidth="1"/>
    <col min="29" max="32" width="10.45" customWidth="1"/>
    <col min="33" max="33" width="14.8583333333333" customWidth="1"/>
    <col min="34" max="34" width="20.975" style="32" customWidth="1"/>
    <col min="35" max="35" width="12.4916666666667" customWidth="1"/>
    <col min="36" max="36" width="19.9083333333333" customWidth="1"/>
    <col min="37" max="39" width="7.26666666666667" customWidth="1"/>
    <col min="40" max="40" width="19.2666666666667" style="32" customWidth="1"/>
    <col min="41" max="41" width="7.26666666666667" customWidth="1"/>
    <col min="42" max="42" width="14.2666666666667" customWidth="1"/>
  </cols>
  <sheetData>
    <row r="1" s="1" customFormat="1" ht="80.25" customHeight="1" spans="1:44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4" t="s">
        <v>5</v>
      </c>
      <c r="G1" s="33" t="s">
        <v>6</v>
      </c>
      <c r="H1" s="33" t="s">
        <v>7</v>
      </c>
      <c r="I1" s="33" t="s">
        <v>8</v>
      </c>
      <c r="J1" s="33" t="s">
        <v>9</v>
      </c>
      <c r="K1" s="33" t="s">
        <v>10</v>
      </c>
      <c r="L1" s="46" t="s">
        <v>11</v>
      </c>
      <c r="M1" s="33" t="s">
        <v>12</v>
      </c>
      <c r="N1" s="33" t="s">
        <v>13</v>
      </c>
      <c r="O1" s="46" t="s">
        <v>14</v>
      </c>
      <c r="P1" s="33" t="s">
        <v>15</v>
      </c>
      <c r="Q1" s="33" t="s">
        <v>16</v>
      </c>
      <c r="R1" s="33" t="s">
        <v>17</v>
      </c>
      <c r="S1" s="33" t="s">
        <v>18</v>
      </c>
      <c r="T1" s="33" t="s">
        <v>19</v>
      </c>
      <c r="U1" s="33" t="s">
        <v>20</v>
      </c>
      <c r="V1" s="33" t="s">
        <v>21</v>
      </c>
      <c r="W1" s="46" t="s">
        <v>22</v>
      </c>
      <c r="X1" s="46" t="s">
        <v>23</v>
      </c>
      <c r="Y1" s="46" t="s">
        <v>24</v>
      </c>
      <c r="Z1" s="33" t="s">
        <v>25</v>
      </c>
      <c r="AA1" s="33" t="s">
        <v>26</v>
      </c>
      <c r="AB1" s="33" t="s">
        <v>27</v>
      </c>
      <c r="AC1" s="33" t="s">
        <v>28</v>
      </c>
      <c r="AD1" s="33" t="s">
        <v>29</v>
      </c>
      <c r="AE1" s="33" t="s">
        <v>30</v>
      </c>
      <c r="AF1" s="33" t="s">
        <v>31</v>
      </c>
      <c r="AG1" s="33" t="s">
        <v>32</v>
      </c>
      <c r="AH1" s="46" t="s">
        <v>33</v>
      </c>
      <c r="AI1" s="33" t="s">
        <v>34</v>
      </c>
      <c r="AJ1" s="33" t="s">
        <v>35</v>
      </c>
      <c r="AK1" s="33" t="s">
        <v>36</v>
      </c>
      <c r="AL1" s="33" t="s">
        <v>37</v>
      </c>
      <c r="AM1" s="33" t="s">
        <v>38</v>
      </c>
      <c r="AN1" s="46" t="s">
        <v>39</v>
      </c>
      <c r="AO1" s="33" t="s">
        <v>40</v>
      </c>
      <c r="AP1" s="33" t="s">
        <v>41</v>
      </c>
      <c r="AQ1" s="1" t="s">
        <v>42</v>
      </c>
      <c r="AR1" s="1" t="s">
        <v>43</v>
      </c>
    </row>
    <row r="2" s="2" customFormat="1" customHeight="1" spans="1:43">
      <c r="A2" s="11">
        <v>99998</v>
      </c>
      <c r="B2" s="11" t="s">
        <v>44</v>
      </c>
      <c r="C2" s="11"/>
      <c r="D2" s="11"/>
      <c r="E2" s="11"/>
      <c r="F2" s="11">
        <v>0</v>
      </c>
      <c r="G2" s="11">
        <v>0</v>
      </c>
      <c r="H2" s="11" t="s">
        <v>45</v>
      </c>
      <c r="I2" s="11">
        <v>1</v>
      </c>
      <c r="J2" s="11">
        <v>0</v>
      </c>
      <c r="K2" s="11" t="s">
        <v>46</v>
      </c>
      <c r="L2" s="47" t="s">
        <v>47</v>
      </c>
      <c r="M2" s="44">
        <v>1030011</v>
      </c>
      <c r="N2" s="11">
        <v>0</v>
      </c>
      <c r="O2" s="47" t="s">
        <v>48</v>
      </c>
      <c r="P2" s="11">
        <v>1615</v>
      </c>
      <c r="Q2" s="11"/>
      <c r="R2" s="11"/>
      <c r="S2" s="11">
        <v>100</v>
      </c>
      <c r="T2" s="11">
        <v>100</v>
      </c>
      <c r="U2" s="11"/>
      <c r="V2" s="11"/>
      <c r="W2" s="47" t="s">
        <v>47</v>
      </c>
      <c r="X2" s="47"/>
      <c r="Y2" s="47" t="s">
        <v>49</v>
      </c>
      <c r="Z2" s="11"/>
      <c r="AA2" s="11"/>
      <c r="AB2" s="11" t="s">
        <v>50</v>
      </c>
      <c r="AC2" s="11">
        <v>2193</v>
      </c>
      <c r="AD2" s="11" t="s">
        <v>51</v>
      </c>
      <c r="AE2" s="11" t="s">
        <v>51</v>
      </c>
      <c r="AF2" s="11" t="s">
        <v>51</v>
      </c>
      <c r="AG2" s="11"/>
      <c r="AH2" s="47" t="s">
        <v>52</v>
      </c>
      <c r="AI2" s="11">
        <v>0</v>
      </c>
      <c r="AJ2" s="11"/>
      <c r="AK2" s="11"/>
      <c r="AL2" s="11"/>
      <c r="AM2" s="11"/>
      <c r="AN2" s="47" t="s">
        <v>47</v>
      </c>
      <c r="AO2" s="11">
        <v>7998</v>
      </c>
      <c r="AP2" s="11" t="s">
        <v>53</v>
      </c>
      <c r="AQ2" s="2">
        <v>0</v>
      </c>
    </row>
    <row r="3" s="3" customFormat="1" ht="12" spans="1:43">
      <c r="A3" s="12">
        <v>99999</v>
      </c>
      <c r="B3" s="12" t="s">
        <v>54</v>
      </c>
      <c r="C3" s="12"/>
      <c r="D3" s="12"/>
      <c r="E3" s="12"/>
      <c r="F3" s="12">
        <v>0</v>
      </c>
      <c r="G3" s="12">
        <v>0</v>
      </c>
      <c r="H3" s="12" t="s">
        <v>45</v>
      </c>
      <c r="I3" s="12">
        <v>1</v>
      </c>
      <c r="J3" s="12">
        <v>0</v>
      </c>
      <c r="K3" s="12" t="s">
        <v>46</v>
      </c>
      <c r="L3" s="47" t="s">
        <v>47</v>
      </c>
      <c r="M3" s="12">
        <v>1000105</v>
      </c>
      <c r="N3" s="12">
        <v>0</v>
      </c>
      <c r="O3" s="47" t="s">
        <v>48</v>
      </c>
      <c r="P3" s="12">
        <v>1615</v>
      </c>
      <c r="Q3" s="12"/>
      <c r="R3" s="12"/>
      <c r="S3" s="12">
        <v>100</v>
      </c>
      <c r="T3" s="12">
        <v>100</v>
      </c>
      <c r="U3" s="12"/>
      <c r="V3" s="12"/>
      <c r="W3" s="47" t="s">
        <v>47</v>
      </c>
      <c r="X3" s="47"/>
      <c r="Y3" s="47" t="s">
        <v>54</v>
      </c>
      <c r="Z3" s="12" t="s">
        <v>55</v>
      </c>
      <c r="AA3" s="12"/>
      <c r="AB3" s="12" t="s">
        <v>55</v>
      </c>
      <c r="AC3" s="12">
        <v>2193</v>
      </c>
      <c r="AD3" s="12" t="s">
        <v>51</v>
      </c>
      <c r="AE3" s="12" t="s">
        <v>51</v>
      </c>
      <c r="AF3" s="12" t="s">
        <v>51</v>
      </c>
      <c r="AG3" s="12"/>
      <c r="AH3" s="47" t="s">
        <v>52</v>
      </c>
      <c r="AI3" s="12">
        <v>0</v>
      </c>
      <c r="AJ3" s="12"/>
      <c r="AK3" s="12"/>
      <c r="AL3" s="12"/>
      <c r="AM3" s="12"/>
      <c r="AN3" s="47" t="s">
        <v>47</v>
      </c>
      <c r="AO3" s="12">
        <v>7999</v>
      </c>
      <c r="AP3" s="12" t="s">
        <v>53</v>
      </c>
      <c r="AQ3" s="2">
        <v>0</v>
      </c>
    </row>
    <row r="4" s="2" customFormat="1" spans="1:43">
      <c r="A4" s="11" t="s">
        <v>56</v>
      </c>
      <c r="B4" s="35" t="s">
        <v>57</v>
      </c>
      <c r="C4" s="11"/>
      <c r="D4" s="11"/>
      <c r="E4" s="11"/>
      <c r="F4" s="11">
        <v>0</v>
      </c>
      <c r="G4" s="11">
        <v>0</v>
      </c>
      <c r="H4" s="11" t="s">
        <v>45</v>
      </c>
      <c r="I4" s="11" t="s">
        <v>45</v>
      </c>
      <c r="J4" s="11">
        <v>1</v>
      </c>
      <c r="K4" s="11" t="s">
        <v>46</v>
      </c>
      <c r="L4" s="47" t="s">
        <v>47</v>
      </c>
      <c r="M4" s="11">
        <v>1000105</v>
      </c>
      <c r="N4" s="11" t="s">
        <v>45</v>
      </c>
      <c r="O4" s="47" t="s">
        <v>48</v>
      </c>
      <c r="P4" s="11">
        <v>1617</v>
      </c>
      <c r="Q4" s="11">
        <v>912</v>
      </c>
      <c r="R4" s="11">
        <v>496</v>
      </c>
      <c r="S4" s="11">
        <v>127</v>
      </c>
      <c r="T4" s="11">
        <v>95</v>
      </c>
      <c r="U4" s="11">
        <v>5</v>
      </c>
      <c r="V4" s="11"/>
      <c r="W4" s="47" t="s">
        <v>47</v>
      </c>
      <c r="X4" s="47" t="s">
        <v>58</v>
      </c>
      <c r="Y4" s="47" t="s">
        <v>57</v>
      </c>
      <c r="Z4" s="11"/>
      <c r="AA4" s="11" t="s">
        <v>59</v>
      </c>
      <c r="AB4" s="57" t="s">
        <v>57</v>
      </c>
      <c r="AC4" s="11">
        <v>2111</v>
      </c>
      <c r="AD4" s="11">
        <v>2113</v>
      </c>
      <c r="AE4" s="11">
        <v>2464</v>
      </c>
      <c r="AF4" s="11" t="s">
        <v>51</v>
      </c>
      <c r="AG4" s="11"/>
      <c r="AH4" s="47" t="s">
        <v>52</v>
      </c>
      <c r="AI4" s="11" t="s">
        <v>47</v>
      </c>
      <c r="AJ4" s="11" t="s">
        <v>60</v>
      </c>
      <c r="AK4" s="11" t="s">
        <v>61</v>
      </c>
      <c r="AL4" s="11" t="s">
        <v>62</v>
      </c>
      <c r="AM4" s="11"/>
      <c r="AN4" s="47" t="s">
        <v>47</v>
      </c>
      <c r="AO4" s="11"/>
      <c r="AP4" s="11" t="s">
        <v>53</v>
      </c>
      <c r="AQ4" s="2">
        <v>0</v>
      </c>
    </row>
    <row r="5" s="3" customFormat="1" spans="1:43">
      <c r="A5" s="12">
        <v>161701</v>
      </c>
      <c r="B5" s="36" t="s">
        <v>63</v>
      </c>
      <c r="C5" s="12"/>
      <c r="D5" s="12"/>
      <c r="E5" s="12"/>
      <c r="F5" s="12">
        <v>0</v>
      </c>
      <c r="G5" s="12">
        <v>0</v>
      </c>
      <c r="H5" s="12" t="s">
        <v>45</v>
      </c>
      <c r="I5" s="12" t="s">
        <v>45</v>
      </c>
      <c r="J5" s="12">
        <v>0</v>
      </c>
      <c r="K5" s="12" t="s">
        <v>46</v>
      </c>
      <c r="L5" s="47" t="s">
        <v>47</v>
      </c>
      <c r="M5" s="48">
        <v>1040105</v>
      </c>
      <c r="N5" s="12" t="s">
        <v>45</v>
      </c>
      <c r="O5" s="47" t="s">
        <v>48</v>
      </c>
      <c r="P5" s="12">
        <v>1617</v>
      </c>
      <c r="Q5" s="12">
        <v>720</v>
      </c>
      <c r="R5" s="12">
        <v>512</v>
      </c>
      <c r="S5" s="12">
        <v>38</v>
      </c>
      <c r="T5" s="12">
        <v>51</v>
      </c>
      <c r="U5" s="12">
        <v>3</v>
      </c>
      <c r="V5" s="12"/>
      <c r="W5" s="47" t="s">
        <v>47</v>
      </c>
      <c r="X5" s="47" t="s">
        <v>64</v>
      </c>
      <c r="Y5" s="47" t="s">
        <v>63</v>
      </c>
      <c r="Z5" s="12" t="s">
        <v>65</v>
      </c>
      <c r="AA5" s="12"/>
      <c r="AB5" s="36" t="s">
        <v>63</v>
      </c>
      <c r="AC5" s="12">
        <v>2637</v>
      </c>
      <c r="AD5" s="12">
        <v>2638</v>
      </c>
      <c r="AE5" s="12">
        <v>2694</v>
      </c>
      <c r="AF5" s="12"/>
      <c r="AG5" s="12"/>
      <c r="AH5" s="47" t="s">
        <v>52</v>
      </c>
      <c r="AI5" s="12" t="s">
        <v>47</v>
      </c>
      <c r="AJ5" s="12"/>
      <c r="AK5" s="12"/>
      <c r="AL5" s="12"/>
      <c r="AM5" s="12"/>
      <c r="AN5" s="47" t="s">
        <v>47</v>
      </c>
      <c r="AO5" s="59">
        <v>3105</v>
      </c>
      <c r="AP5" s="12" t="s">
        <v>53</v>
      </c>
      <c r="AQ5" s="3">
        <v>1</v>
      </c>
    </row>
    <row r="6" s="4" customFormat="1" spans="1:43">
      <c r="A6" s="37" t="s">
        <v>66</v>
      </c>
      <c r="B6" s="38" t="s">
        <v>67</v>
      </c>
      <c r="C6" s="37"/>
      <c r="D6" s="37"/>
      <c r="E6" s="37"/>
      <c r="F6" s="11">
        <v>0</v>
      </c>
      <c r="G6" s="11">
        <v>0</v>
      </c>
      <c r="H6" s="37" t="s">
        <v>45</v>
      </c>
      <c r="I6" s="37" t="s">
        <v>45</v>
      </c>
      <c r="J6" s="37">
        <v>1</v>
      </c>
      <c r="K6" s="37" t="s">
        <v>46</v>
      </c>
      <c r="L6" s="47" t="s">
        <v>47</v>
      </c>
      <c r="M6" s="48">
        <v>1040105</v>
      </c>
      <c r="N6" s="37" t="s">
        <v>45</v>
      </c>
      <c r="O6" s="47" t="s">
        <v>48</v>
      </c>
      <c r="P6" s="37">
        <v>1617</v>
      </c>
      <c r="Q6" s="37">
        <v>720</v>
      </c>
      <c r="R6" s="37">
        <v>512</v>
      </c>
      <c r="S6" s="37">
        <v>42</v>
      </c>
      <c r="T6" s="37">
        <v>60</v>
      </c>
      <c r="U6" s="37">
        <v>5</v>
      </c>
      <c r="V6" s="37"/>
      <c r="W6" s="47" t="s">
        <v>47</v>
      </c>
      <c r="X6" s="47" t="s">
        <v>64</v>
      </c>
      <c r="Y6" s="47" t="s">
        <v>67</v>
      </c>
      <c r="Z6" s="37" t="s">
        <v>68</v>
      </c>
      <c r="AA6" s="37"/>
      <c r="AB6" s="57" t="s">
        <v>67</v>
      </c>
      <c r="AC6" s="37">
        <v>2353</v>
      </c>
      <c r="AD6" s="37" t="s">
        <v>51</v>
      </c>
      <c r="AE6" s="37" t="s">
        <v>51</v>
      </c>
      <c r="AF6" s="37" t="s">
        <v>51</v>
      </c>
      <c r="AG6" s="37"/>
      <c r="AH6" s="47" t="s">
        <v>52</v>
      </c>
      <c r="AI6" s="37" t="s">
        <v>47</v>
      </c>
      <c r="AJ6" s="37"/>
      <c r="AK6" s="37"/>
      <c r="AL6" s="37"/>
      <c r="AM6" s="37"/>
      <c r="AN6" s="47" t="s">
        <v>47</v>
      </c>
      <c r="AO6" s="37">
        <v>3093</v>
      </c>
      <c r="AP6" s="37" t="s">
        <v>53</v>
      </c>
      <c r="AQ6" s="2">
        <v>0</v>
      </c>
    </row>
    <row r="7" s="5" customFormat="1" spans="1:43">
      <c r="A7" s="13">
        <v>161703</v>
      </c>
      <c r="B7" s="39" t="s">
        <v>69</v>
      </c>
      <c r="C7" s="13"/>
      <c r="D7" s="13"/>
      <c r="E7" s="13"/>
      <c r="F7" s="12">
        <v>0</v>
      </c>
      <c r="G7" s="12">
        <v>0</v>
      </c>
      <c r="H7" s="13" t="s">
        <v>45</v>
      </c>
      <c r="I7" s="13" t="s">
        <v>45</v>
      </c>
      <c r="J7" s="13">
        <v>1</v>
      </c>
      <c r="K7" s="13" t="s">
        <v>46</v>
      </c>
      <c r="L7" s="47" t="s">
        <v>47</v>
      </c>
      <c r="M7" s="13">
        <v>1030009</v>
      </c>
      <c r="N7" s="13">
        <v>0</v>
      </c>
      <c r="O7" s="47" t="s">
        <v>48</v>
      </c>
      <c r="P7" s="13">
        <v>1617</v>
      </c>
      <c r="Q7" s="13">
        <v>169</v>
      </c>
      <c r="R7" s="13">
        <v>1068</v>
      </c>
      <c r="S7" s="13">
        <v>134</v>
      </c>
      <c r="T7" s="13">
        <v>109</v>
      </c>
      <c r="U7" s="13">
        <v>3</v>
      </c>
      <c r="V7" s="13"/>
      <c r="W7" s="47" t="s">
        <v>47</v>
      </c>
      <c r="X7" s="47" t="s">
        <v>70</v>
      </c>
      <c r="Y7" s="47" t="s">
        <v>69</v>
      </c>
      <c r="Z7" s="13"/>
      <c r="AA7" s="13"/>
      <c r="AB7" s="36" t="s">
        <v>71</v>
      </c>
      <c r="AC7" s="13">
        <v>2470</v>
      </c>
      <c r="AD7" s="13">
        <v>2360</v>
      </c>
      <c r="AE7" s="5" t="s">
        <v>51</v>
      </c>
      <c r="AF7" s="13" t="s">
        <v>51</v>
      </c>
      <c r="AG7" s="13"/>
      <c r="AH7" s="47" t="s">
        <v>52</v>
      </c>
      <c r="AI7" s="13">
        <v>0</v>
      </c>
      <c r="AJ7" s="13" t="s">
        <v>72</v>
      </c>
      <c r="AK7" s="13"/>
      <c r="AL7" s="13"/>
      <c r="AM7" s="13"/>
      <c r="AN7" s="47" t="s">
        <v>47</v>
      </c>
      <c r="AO7" s="13"/>
      <c r="AP7" s="13" t="s">
        <v>53</v>
      </c>
      <c r="AQ7" s="2">
        <v>0</v>
      </c>
    </row>
    <row r="8" s="3" customFormat="1" spans="1:43">
      <c r="A8" s="12">
        <v>161705</v>
      </c>
      <c r="B8" s="40" t="s">
        <v>73</v>
      </c>
      <c r="C8" s="12"/>
      <c r="D8" s="12"/>
      <c r="E8" s="12"/>
      <c r="F8" s="11">
        <v>0</v>
      </c>
      <c r="G8" s="11">
        <v>0</v>
      </c>
      <c r="H8" s="12" t="s">
        <v>45</v>
      </c>
      <c r="I8" s="12" t="s">
        <v>45</v>
      </c>
      <c r="J8" s="49">
        <v>0</v>
      </c>
      <c r="K8" s="12" t="s">
        <v>46</v>
      </c>
      <c r="L8" s="47" t="s">
        <v>47</v>
      </c>
      <c r="M8" s="50">
        <v>1020113</v>
      </c>
      <c r="N8" s="12" t="s">
        <v>45</v>
      </c>
      <c r="O8" s="47" t="s">
        <v>48</v>
      </c>
      <c r="P8" s="12">
        <v>1617</v>
      </c>
      <c r="Q8" s="12">
        <v>512</v>
      </c>
      <c r="R8" s="12">
        <v>592</v>
      </c>
      <c r="S8" s="12">
        <v>115</v>
      </c>
      <c r="T8" s="12">
        <v>96</v>
      </c>
      <c r="U8" s="12">
        <v>3</v>
      </c>
      <c r="V8" s="12"/>
      <c r="W8" s="47" t="s">
        <v>47</v>
      </c>
      <c r="X8" s="47" t="s">
        <v>64</v>
      </c>
      <c r="Y8" s="47" t="s">
        <v>73</v>
      </c>
      <c r="Z8" s="12" t="s">
        <v>74</v>
      </c>
      <c r="AA8" s="12"/>
      <c r="AB8" s="57" t="s">
        <v>73</v>
      </c>
      <c r="AC8" s="12">
        <v>2060</v>
      </c>
      <c r="AD8" s="12">
        <v>2061</v>
      </c>
      <c r="AE8" s="12">
        <v>2454</v>
      </c>
      <c r="AF8" s="12">
        <v>2063</v>
      </c>
      <c r="AG8" s="12"/>
      <c r="AH8" s="47" t="s">
        <v>52</v>
      </c>
      <c r="AI8" s="12" t="s">
        <v>47</v>
      </c>
      <c r="AJ8" s="12" t="s">
        <v>75</v>
      </c>
      <c r="AK8" s="12" t="s">
        <v>76</v>
      </c>
      <c r="AL8" s="12" t="s">
        <v>77</v>
      </c>
      <c r="AM8" s="12" t="s">
        <v>78</v>
      </c>
      <c r="AN8" s="47" t="s">
        <v>47</v>
      </c>
      <c r="AO8" s="59"/>
      <c r="AP8" s="12" t="s">
        <v>53</v>
      </c>
      <c r="AQ8" s="3">
        <v>0</v>
      </c>
    </row>
    <row r="9" s="3" customFormat="1" spans="1:43">
      <c r="A9" s="12" t="s">
        <v>79</v>
      </c>
      <c r="B9" s="41" t="s">
        <v>80</v>
      </c>
      <c r="C9" s="12"/>
      <c r="D9" s="12"/>
      <c r="E9" s="12"/>
      <c r="F9" s="12">
        <v>0</v>
      </c>
      <c r="G9" s="12">
        <v>0</v>
      </c>
      <c r="H9" s="12" t="s">
        <v>45</v>
      </c>
      <c r="I9" s="12" t="s">
        <v>45</v>
      </c>
      <c r="J9" s="49">
        <v>1</v>
      </c>
      <c r="K9" s="12" t="s">
        <v>46</v>
      </c>
      <c r="L9" s="47" t="s">
        <v>47</v>
      </c>
      <c r="M9" s="12">
        <v>1000101</v>
      </c>
      <c r="N9" s="12" t="s">
        <v>45</v>
      </c>
      <c r="O9" s="47" t="s">
        <v>48</v>
      </c>
      <c r="P9" s="12">
        <v>1618</v>
      </c>
      <c r="Q9" s="12">
        <v>448</v>
      </c>
      <c r="R9" s="12">
        <v>320</v>
      </c>
      <c r="S9" s="12">
        <v>92</v>
      </c>
      <c r="T9" s="12">
        <v>98</v>
      </c>
      <c r="U9" s="12">
        <v>3</v>
      </c>
      <c r="V9" s="12"/>
      <c r="W9" s="47" t="s">
        <v>47</v>
      </c>
      <c r="X9" s="47" t="s">
        <v>81</v>
      </c>
      <c r="Y9" s="47" t="s">
        <v>80</v>
      </c>
      <c r="Z9" s="12"/>
      <c r="AA9" s="12" t="s">
        <v>59</v>
      </c>
      <c r="AB9" s="36" t="s">
        <v>80</v>
      </c>
      <c r="AC9" s="12">
        <v>2480</v>
      </c>
      <c r="AD9" s="12">
        <v>2481</v>
      </c>
      <c r="AE9" s="12">
        <v>2460</v>
      </c>
      <c r="AF9" s="12" t="s">
        <v>51</v>
      </c>
      <c r="AG9" s="12"/>
      <c r="AH9" s="47" t="s">
        <v>52</v>
      </c>
      <c r="AI9" s="12" t="s">
        <v>47</v>
      </c>
      <c r="AJ9" s="12" t="s">
        <v>82</v>
      </c>
      <c r="AK9" s="12" t="s">
        <v>83</v>
      </c>
      <c r="AL9" s="12" t="s">
        <v>84</v>
      </c>
      <c r="AM9" s="12"/>
      <c r="AN9" s="47" t="s">
        <v>47</v>
      </c>
      <c r="AO9" s="59"/>
      <c r="AP9" s="12" t="s">
        <v>53</v>
      </c>
      <c r="AQ9" s="2">
        <v>0</v>
      </c>
    </row>
    <row r="10" s="2" customFormat="1" spans="1:43">
      <c r="A10" s="11" t="s">
        <v>85</v>
      </c>
      <c r="B10" s="35" t="s">
        <v>63</v>
      </c>
      <c r="C10" s="11"/>
      <c r="D10" s="11"/>
      <c r="E10" s="11"/>
      <c r="F10" s="11">
        <v>0</v>
      </c>
      <c r="G10" s="11">
        <v>0</v>
      </c>
      <c r="H10" s="11" t="s">
        <v>45</v>
      </c>
      <c r="I10" s="11" t="s">
        <v>45</v>
      </c>
      <c r="J10" s="51">
        <v>0</v>
      </c>
      <c r="K10" s="11" t="s">
        <v>46</v>
      </c>
      <c r="L10" s="47" t="s">
        <v>47</v>
      </c>
      <c r="M10" s="48">
        <v>1040101</v>
      </c>
      <c r="N10" s="11" t="s">
        <v>45</v>
      </c>
      <c r="O10" s="47" t="s">
        <v>48</v>
      </c>
      <c r="P10" s="11">
        <v>1618</v>
      </c>
      <c r="Q10" s="11">
        <v>528</v>
      </c>
      <c r="R10" s="11">
        <v>608</v>
      </c>
      <c r="S10" s="11">
        <v>18</v>
      </c>
      <c r="T10" s="11">
        <v>42</v>
      </c>
      <c r="U10" s="11">
        <v>4</v>
      </c>
      <c r="V10" s="11"/>
      <c r="W10" s="47" t="s">
        <v>47</v>
      </c>
      <c r="X10" s="47" t="s">
        <v>64</v>
      </c>
      <c r="Y10" s="47" t="s">
        <v>63</v>
      </c>
      <c r="Z10" s="11" t="s">
        <v>86</v>
      </c>
      <c r="AA10" s="11"/>
      <c r="AB10" s="36" t="s">
        <v>63</v>
      </c>
      <c r="AC10" s="12">
        <v>2637</v>
      </c>
      <c r="AD10" s="12">
        <v>2638</v>
      </c>
      <c r="AE10" s="12">
        <v>2694</v>
      </c>
      <c r="AF10" s="12"/>
      <c r="AG10" s="11"/>
      <c r="AH10" s="47" t="s">
        <v>52</v>
      </c>
      <c r="AI10" s="11" t="s">
        <v>47</v>
      </c>
      <c r="AJ10" s="11"/>
      <c r="AK10" s="11"/>
      <c r="AL10" s="11"/>
      <c r="AM10" s="11"/>
      <c r="AN10" s="47" t="s">
        <v>47</v>
      </c>
      <c r="AO10" s="11">
        <v>3106</v>
      </c>
      <c r="AP10" s="11" t="s">
        <v>53</v>
      </c>
      <c r="AQ10" s="2">
        <v>1</v>
      </c>
    </row>
    <row r="11" s="4" customFormat="1" spans="1:43">
      <c r="A11" s="37" t="s">
        <v>87</v>
      </c>
      <c r="B11" s="42" t="s">
        <v>88</v>
      </c>
      <c r="C11" s="37"/>
      <c r="D11" s="37"/>
      <c r="E11" s="37"/>
      <c r="F11" s="12">
        <v>0</v>
      </c>
      <c r="G11" s="12">
        <v>0</v>
      </c>
      <c r="H11" s="37" t="s">
        <v>45</v>
      </c>
      <c r="I11" s="37" t="s">
        <v>45</v>
      </c>
      <c r="J11" s="52">
        <v>1</v>
      </c>
      <c r="K11" s="37" t="s">
        <v>46</v>
      </c>
      <c r="L11" s="47" t="s">
        <v>47</v>
      </c>
      <c r="M11" s="48">
        <v>1040101</v>
      </c>
      <c r="N11" s="37" t="s">
        <v>45</v>
      </c>
      <c r="O11" s="47" t="s">
        <v>48</v>
      </c>
      <c r="P11" s="37">
        <v>1618</v>
      </c>
      <c r="Q11" s="37">
        <v>528</v>
      </c>
      <c r="R11" s="37">
        <v>608</v>
      </c>
      <c r="S11" s="37">
        <v>42</v>
      </c>
      <c r="T11" s="37">
        <v>53</v>
      </c>
      <c r="U11" s="37">
        <v>4</v>
      </c>
      <c r="V11" s="37"/>
      <c r="W11" s="47" t="s">
        <v>47</v>
      </c>
      <c r="X11" s="47" t="s">
        <v>64</v>
      </c>
      <c r="Y11" s="47" t="s">
        <v>88</v>
      </c>
      <c r="Z11" s="37" t="s">
        <v>68</v>
      </c>
      <c r="AA11" s="37"/>
      <c r="AB11" s="36" t="s">
        <v>88</v>
      </c>
      <c r="AC11" s="37">
        <v>2349</v>
      </c>
      <c r="AD11" s="37" t="s">
        <v>51</v>
      </c>
      <c r="AE11" s="37" t="s">
        <v>51</v>
      </c>
      <c r="AF11" s="37" t="s">
        <v>51</v>
      </c>
      <c r="AG11" s="37"/>
      <c r="AH11" s="47" t="s">
        <v>52</v>
      </c>
      <c r="AI11" s="37" t="s">
        <v>47</v>
      </c>
      <c r="AJ11" s="37"/>
      <c r="AK11" s="37"/>
      <c r="AL11" s="37"/>
      <c r="AM11" s="37"/>
      <c r="AN11" s="47" t="s">
        <v>47</v>
      </c>
      <c r="AO11" s="37">
        <v>3094</v>
      </c>
      <c r="AP11" s="37" t="s">
        <v>53</v>
      </c>
      <c r="AQ11" s="2">
        <v>0</v>
      </c>
    </row>
    <row r="12" s="5" customFormat="1" spans="1:43">
      <c r="A12" s="13">
        <v>161804</v>
      </c>
      <c r="B12" s="39" t="s">
        <v>69</v>
      </c>
      <c r="C12" s="13"/>
      <c r="D12" s="13"/>
      <c r="E12" s="13"/>
      <c r="F12" s="11">
        <v>0</v>
      </c>
      <c r="G12" s="11">
        <v>0</v>
      </c>
      <c r="H12" s="13" t="s">
        <v>45</v>
      </c>
      <c r="I12" s="13" t="s">
        <v>45</v>
      </c>
      <c r="J12" s="53">
        <v>1</v>
      </c>
      <c r="K12" s="13" t="s">
        <v>46</v>
      </c>
      <c r="L12" s="47" t="s">
        <v>47</v>
      </c>
      <c r="M12" s="13">
        <v>1030009</v>
      </c>
      <c r="N12" s="13">
        <v>0</v>
      </c>
      <c r="O12" s="47" t="s">
        <v>48</v>
      </c>
      <c r="P12" s="13">
        <v>1618</v>
      </c>
      <c r="Q12" s="13">
        <v>769</v>
      </c>
      <c r="R12" s="13">
        <v>288</v>
      </c>
      <c r="S12" s="13">
        <v>92</v>
      </c>
      <c r="T12" s="13">
        <v>98</v>
      </c>
      <c r="U12" s="13">
        <v>3</v>
      </c>
      <c r="V12" s="13"/>
      <c r="W12" s="47" t="s">
        <v>47</v>
      </c>
      <c r="X12" s="47" t="s">
        <v>70</v>
      </c>
      <c r="Y12" s="47" t="s">
        <v>69</v>
      </c>
      <c r="Z12" s="13"/>
      <c r="AA12" s="13"/>
      <c r="AB12" s="57" t="s">
        <v>71</v>
      </c>
      <c r="AC12" s="13">
        <v>2470</v>
      </c>
      <c r="AD12" s="13">
        <v>2360</v>
      </c>
      <c r="AE12" s="13" t="s">
        <v>51</v>
      </c>
      <c r="AF12" s="13" t="s">
        <v>51</v>
      </c>
      <c r="AG12" s="13"/>
      <c r="AH12" s="47" t="s">
        <v>52</v>
      </c>
      <c r="AI12" s="13">
        <v>0</v>
      </c>
      <c r="AJ12" s="13" t="s">
        <v>72</v>
      </c>
      <c r="AK12" s="13"/>
      <c r="AL12" s="13"/>
      <c r="AM12" s="13"/>
      <c r="AN12" s="47" t="s">
        <v>47</v>
      </c>
      <c r="AO12" s="13"/>
      <c r="AP12" s="13" t="s">
        <v>53</v>
      </c>
      <c r="AQ12" s="2">
        <v>0</v>
      </c>
    </row>
    <row r="13" s="2" customFormat="1" ht="12" spans="1:43">
      <c r="A13" s="11">
        <v>161805</v>
      </c>
      <c r="B13" s="11" t="s">
        <v>89</v>
      </c>
      <c r="C13" s="11"/>
      <c r="D13" s="11"/>
      <c r="E13" s="11"/>
      <c r="F13" s="12">
        <v>0</v>
      </c>
      <c r="G13" s="12">
        <v>0</v>
      </c>
      <c r="H13" s="11" t="s">
        <v>45</v>
      </c>
      <c r="I13" s="11" t="s">
        <v>45</v>
      </c>
      <c r="J13" s="11">
        <v>0</v>
      </c>
      <c r="K13" s="11" t="s">
        <v>46</v>
      </c>
      <c r="L13" s="47" t="s">
        <v>47</v>
      </c>
      <c r="M13" s="11">
        <v>1020101</v>
      </c>
      <c r="N13" s="11" t="s">
        <v>45</v>
      </c>
      <c r="O13" s="47" t="s">
        <v>48</v>
      </c>
      <c r="P13" s="11">
        <v>1618</v>
      </c>
      <c r="Q13" s="11">
        <v>468</v>
      </c>
      <c r="R13" s="11">
        <v>342</v>
      </c>
      <c r="S13" s="12">
        <v>83</v>
      </c>
      <c r="T13" s="12">
        <v>104</v>
      </c>
      <c r="U13" s="11">
        <v>5</v>
      </c>
      <c r="V13" s="11"/>
      <c r="W13" s="47" t="s">
        <v>47</v>
      </c>
      <c r="X13" s="47" t="s">
        <v>64</v>
      </c>
      <c r="Y13" s="47" t="s">
        <v>89</v>
      </c>
      <c r="Z13" s="11" t="s">
        <v>74</v>
      </c>
      <c r="AA13" s="11"/>
      <c r="AB13" s="11" t="s">
        <v>89</v>
      </c>
      <c r="AC13" s="11">
        <v>2040</v>
      </c>
      <c r="AD13" s="11">
        <v>2042</v>
      </c>
      <c r="AE13" s="11">
        <v>2450</v>
      </c>
      <c r="AF13" s="11">
        <v>2043</v>
      </c>
      <c r="AG13" s="11"/>
      <c r="AH13" s="47" t="s">
        <v>52</v>
      </c>
      <c r="AI13" s="11" t="s">
        <v>47</v>
      </c>
      <c r="AJ13" s="11" t="s">
        <v>90</v>
      </c>
      <c r="AK13" s="11" t="s">
        <v>91</v>
      </c>
      <c r="AL13" s="11" t="s">
        <v>92</v>
      </c>
      <c r="AM13" s="11" t="s">
        <v>93</v>
      </c>
      <c r="AN13" s="47" t="s">
        <v>47</v>
      </c>
      <c r="AO13" s="11"/>
      <c r="AP13" s="11" t="s">
        <v>53</v>
      </c>
      <c r="AQ13" s="2">
        <v>0</v>
      </c>
    </row>
    <row r="14" s="2" customFormat="1" ht="12" spans="1:43">
      <c r="A14" s="11" t="s">
        <v>94</v>
      </c>
      <c r="B14" s="11" t="s">
        <v>95</v>
      </c>
      <c r="C14" s="11"/>
      <c r="D14" s="11"/>
      <c r="E14" s="11"/>
      <c r="F14" s="11">
        <v>0</v>
      </c>
      <c r="G14" s="11">
        <v>0</v>
      </c>
      <c r="H14" s="11" t="s">
        <v>45</v>
      </c>
      <c r="I14" s="11" t="s">
        <v>45</v>
      </c>
      <c r="J14" s="11">
        <v>1</v>
      </c>
      <c r="K14" s="11" t="s">
        <v>46</v>
      </c>
      <c r="L14" s="47" t="s">
        <v>47</v>
      </c>
      <c r="M14" s="11">
        <v>1000103</v>
      </c>
      <c r="N14" s="11" t="s">
        <v>45</v>
      </c>
      <c r="O14" s="47" t="s">
        <v>48</v>
      </c>
      <c r="P14" s="11">
        <v>1619</v>
      </c>
      <c r="Q14" s="12">
        <v>752</v>
      </c>
      <c r="R14" s="12">
        <v>912</v>
      </c>
      <c r="S14" s="11">
        <v>14</v>
      </c>
      <c r="T14" s="11">
        <v>21</v>
      </c>
      <c r="U14" s="11">
        <v>5</v>
      </c>
      <c r="V14" s="11"/>
      <c r="W14" s="47" t="s">
        <v>47</v>
      </c>
      <c r="X14" s="47" t="s">
        <v>96</v>
      </c>
      <c r="Y14" s="47" t="s">
        <v>95</v>
      </c>
      <c r="Z14" s="11"/>
      <c r="AA14" s="11" t="s">
        <v>59</v>
      </c>
      <c r="AB14" s="11" t="s">
        <v>95</v>
      </c>
      <c r="AC14" s="11">
        <v>2115</v>
      </c>
      <c r="AD14" s="11">
        <v>2117</v>
      </c>
      <c r="AE14" s="11">
        <v>2465</v>
      </c>
      <c r="AF14" s="11" t="s">
        <v>51</v>
      </c>
      <c r="AG14" s="11"/>
      <c r="AH14" s="47" t="s">
        <v>52</v>
      </c>
      <c r="AI14" s="11" t="s">
        <v>47</v>
      </c>
      <c r="AJ14" s="11" t="s">
        <v>97</v>
      </c>
      <c r="AK14" s="11" t="s">
        <v>98</v>
      </c>
      <c r="AL14" s="11" t="s">
        <v>99</v>
      </c>
      <c r="AM14" s="11"/>
      <c r="AN14" s="47" t="s">
        <v>47</v>
      </c>
      <c r="AO14" s="11"/>
      <c r="AP14" s="11" t="s">
        <v>53</v>
      </c>
      <c r="AQ14" s="2">
        <v>0</v>
      </c>
    </row>
    <row r="15" s="3" customFormat="1" spans="1:43">
      <c r="A15" s="12" t="s">
        <v>100</v>
      </c>
      <c r="B15" s="12" t="s">
        <v>63</v>
      </c>
      <c r="C15" s="12"/>
      <c r="D15" s="12"/>
      <c r="E15" s="12"/>
      <c r="F15" s="12">
        <v>0</v>
      </c>
      <c r="G15" s="12">
        <v>0</v>
      </c>
      <c r="H15" s="12" t="s">
        <v>45</v>
      </c>
      <c r="I15" s="12" t="s">
        <v>45</v>
      </c>
      <c r="J15" s="12">
        <v>0</v>
      </c>
      <c r="K15" s="12" t="s">
        <v>46</v>
      </c>
      <c r="L15" s="47" t="s">
        <v>47</v>
      </c>
      <c r="M15" s="48">
        <v>1040106</v>
      </c>
      <c r="N15" s="12" t="s">
        <v>45</v>
      </c>
      <c r="O15" s="47" t="s">
        <v>48</v>
      </c>
      <c r="P15" s="12">
        <v>1619</v>
      </c>
      <c r="Q15" s="12">
        <v>704</v>
      </c>
      <c r="R15" s="12">
        <v>1072</v>
      </c>
      <c r="S15" s="12">
        <v>44</v>
      </c>
      <c r="T15" s="12">
        <v>67</v>
      </c>
      <c r="U15" s="12">
        <v>3</v>
      </c>
      <c r="V15" s="12"/>
      <c r="W15" s="47" t="s">
        <v>47</v>
      </c>
      <c r="X15" s="47" t="s">
        <v>64</v>
      </c>
      <c r="Y15" s="47" t="s">
        <v>63</v>
      </c>
      <c r="Z15" s="12" t="s">
        <v>101</v>
      </c>
      <c r="AA15" s="12"/>
      <c r="AB15" s="36" t="s">
        <v>63</v>
      </c>
      <c r="AC15" s="12">
        <v>2637</v>
      </c>
      <c r="AD15" s="12">
        <v>2638</v>
      </c>
      <c r="AE15" s="12">
        <v>2694</v>
      </c>
      <c r="AF15" s="12"/>
      <c r="AG15" s="12"/>
      <c r="AH15" s="47" t="s">
        <v>52</v>
      </c>
      <c r="AI15" s="12" t="s">
        <v>47</v>
      </c>
      <c r="AJ15" s="12"/>
      <c r="AK15" s="12"/>
      <c r="AL15" s="12"/>
      <c r="AM15" s="12"/>
      <c r="AN15" s="47" t="s">
        <v>47</v>
      </c>
      <c r="AO15" s="59">
        <v>3107</v>
      </c>
      <c r="AP15" s="12" t="s">
        <v>53</v>
      </c>
      <c r="AQ15" s="3">
        <v>1</v>
      </c>
    </row>
    <row r="16" s="4" customFormat="1" ht="12.75" spans="1:43">
      <c r="A16" s="37">
        <v>161902</v>
      </c>
      <c r="B16" s="37" t="s">
        <v>102</v>
      </c>
      <c r="C16" s="37"/>
      <c r="D16" s="37"/>
      <c r="E16" s="37"/>
      <c r="F16" s="11">
        <v>0</v>
      </c>
      <c r="G16" s="11">
        <v>0</v>
      </c>
      <c r="H16" s="37" t="s">
        <v>45</v>
      </c>
      <c r="I16" s="37" t="s">
        <v>45</v>
      </c>
      <c r="J16" s="37">
        <v>1</v>
      </c>
      <c r="K16" s="37" t="s">
        <v>46</v>
      </c>
      <c r="L16" s="47" t="s">
        <v>47</v>
      </c>
      <c r="M16" s="48">
        <v>1040106</v>
      </c>
      <c r="N16" s="37" t="s">
        <v>45</v>
      </c>
      <c r="O16" s="47" t="s">
        <v>48</v>
      </c>
      <c r="P16" s="37">
        <v>1619</v>
      </c>
      <c r="Q16" s="37">
        <v>544</v>
      </c>
      <c r="R16" s="37">
        <v>624</v>
      </c>
      <c r="S16" s="37">
        <v>53</v>
      </c>
      <c r="T16" s="37">
        <v>63</v>
      </c>
      <c r="U16" s="37">
        <v>4</v>
      </c>
      <c r="V16" s="37"/>
      <c r="W16" s="47" t="s">
        <v>47</v>
      </c>
      <c r="X16" s="47" t="s">
        <v>64</v>
      </c>
      <c r="Y16" s="47" t="s">
        <v>102</v>
      </c>
      <c r="Z16" s="37" t="s">
        <v>68</v>
      </c>
      <c r="AA16" s="37"/>
      <c r="AB16" s="37" t="s">
        <v>102</v>
      </c>
      <c r="AC16" s="37">
        <v>2354</v>
      </c>
      <c r="AD16" s="37" t="s">
        <v>51</v>
      </c>
      <c r="AE16" s="37" t="s">
        <v>51</v>
      </c>
      <c r="AF16" s="37" t="s">
        <v>51</v>
      </c>
      <c r="AG16" s="37"/>
      <c r="AH16" s="47" t="s">
        <v>52</v>
      </c>
      <c r="AI16" s="37" t="s">
        <v>47</v>
      </c>
      <c r="AJ16" s="37"/>
      <c r="AK16" s="37"/>
      <c r="AL16" s="37"/>
      <c r="AM16" s="37"/>
      <c r="AN16" s="47" t="s">
        <v>47</v>
      </c>
      <c r="AO16" s="37">
        <v>3095</v>
      </c>
      <c r="AP16" s="37" t="s">
        <v>53</v>
      </c>
      <c r="AQ16" s="2">
        <v>0</v>
      </c>
    </row>
    <row r="17" s="5" customFormat="1" spans="1:43">
      <c r="A17" s="13">
        <v>161903</v>
      </c>
      <c r="B17" s="39" t="s">
        <v>69</v>
      </c>
      <c r="C17" s="13"/>
      <c r="D17" s="13"/>
      <c r="E17" s="13"/>
      <c r="F17" s="12">
        <v>0</v>
      </c>
      <c r="G17" s="12">
        <v>0</v>
      </c>
      <c r="H17" s="13" t="s">
        <v>45</v>
      </c>
      <c r="I17" s="13" t="s">
        <v>45</v>
      </c>
      <c r="J17" s="13">
        <v>1</v>
      </c>
      <c r="K17" s="13" t="s">
        <v>46</v>
      </c>
      <c r="L17" s="47" t="s">
        <v>47</v>
      </c>
      <c r="M17" s="13">
        <v>1030009</v>
      </c>
      <c r="N17" s="13">
        <v>0</v>
      </c>
      <c r="O17" s="47" t="s">
        <v>48</v>
      </c>
      <c r="P17" s="13">
        <v>1619</v>
      </c>
      <c r="Q17" s="13">
        <v>944</v>
      </c>
      <c r="R17" s="13">
        <v>1072</v>
      </c>
      <c r="S17" s="13">
        <v>26</v>
      </c>
      <c r="T17" s="13">
        <v>29</v>
      </c>
      <c r="U17" s="13">
        <v>3</v>
      </c>
      <c r="V17" s="13"/>
      <c r="W17" s="47" t="s">
        <v>47</v>
      </c>
      <c r="X17" s="47" t="s">
        <v>70</v>
      </c>
      <c r="Y17" s="47" t="s">
        <v>69</v>
      </c>
      <c r="Z17" s="13"/>
      <c r="AA17" s="13"/>
      <c r="AB17" s="13" t="s">
        <v>71</v>
      </c>
      <c r="AC17" s="13">
        <v>2470</v>
      </c>
      <c r="AD17" s="13">
        <v>2360</v>
      </c>
      <c r="AE17" s="13" t="s">
        <v>51</v>
      </c>
      <c r="AF17" s="13" t="s">
        <v>51</v>
      </c>
      <c r="AG17" s="13"/>
      <c r="AH17" s="47" t="s">
        <v>52</v>
      </c>
      <c r="AI17" s="13">
        <v>0</v>
      </c>
      <c r="AJ17" s="13" t="s">
        <v>72</v>
      </c>
      <c r="AK17" s="13"/>
      <c r="AL17" s="13"/>
      <c r="AM17" s="13"/>
      <c r="AN17" s="47" t="s">
        <v>47</v>
      </c>
      <c r="AO17" s="13"/>
      <c r="AP17" s="13" t="s">
        <v>53</v>
      </c>
      <c r="AQ17" s="2">
        <v>0</v>
      </c>
    </row>
    <row r="18" s="3" customFormat="1" ht="12" spans="1:43">
      <c r="A18" s="12">
        <v>161905</v>
      </c>
      <c r="B18" s="12" t="s">
        <v>103</v>
      </c>
      <c r="C18" s="12"/>
      <c r="D18" s="12"/>
      <c r="E18" s="12"/>
      <c r="F18" s="11">
        <v>0</v>
      </c>
      <c r="G18" s="11">
        <v>0</v>
      </c>
      <c r="H18" s="12" t="s">
        <v>45</v>
      </c>
      <c r="I18" s="12" t="s">
        <v>45</v>
      </c>
      <c r="J18" s="12">
        <v>0</v>
      </c>
      <c r="K18" s="12" t="s">
        <v>46</v>
      </c>
      <c r="L18" s="47" t="s">
        <v>47</v>
      </c>
      <c r="M18" s="12">
        <v>1020114</v>
      </c>
      <c r="N18" s="12" t="s">
        <v>45</v>
      </c>
      <c r="O18" s="47" t="s">
        <v>48</v>
      </c>
      <c r="P18" s="12">
        <v>1619</v>
      </c>
      <c r="Q18" s="12">
        <v>444</v>
      </c>
      <c r="R18" s="12">
        <v>456</v>
      </c>
      <c r="S18" s="12">
        <v>15</v>
      </c>
      <c r="T18" s="12">
        <v>38</v>
      </c>
      <c r="U18" s="12">
        <v>3</v>
      </c>
      <c r="V18" s="12"/>
      <c r="W18" s="47" t="s">
        <v>47</v>
      </c>
      <c r="X18" s="47" t="s">
        <v>64</v>
      </c>
      <c r="Y18" s="47" t="s">
        <v>103</v>
      </c>
      <c r="Z18" s="12" t="s">
        <v>74</v>
      </c>
      <c r="AA18" s="12"/>
      <c r="AB18" s="12" t="s">
        <v>103</v>
      </c>
      <c r="AC18" s="12">
        <v>2064</v>
      </c>
      <c r="AD18" s="12">
        <v>2067</v>
      </c>
      <c r="AE18" s="12">
        <v>2066</v>
      </c>
      <c r="AF18" s="12">
        <v>2455</v>
      </c>
      <c r="AG18" s="12"/>
      <c r="AH18" s="47" t="s">
        <v>52</v>
      </c>
      <c r="AI18" s="12" t="s">
        <v>47</v>
      </c>
      <c r="AJ18" s="12" t="s">
        <v>104</v>
      </c>
      <c r="AK18" s="12" t="s">
        <v>105</v>
      </c>
      <c r="AL18" s="12" t="s">
        <v>106</v>
      </c>
      <c r="AM18" s="12" t="s">
        <v>107</v>
      </c>
      <c r="AN18" s="47" t="s">
        <v>47</v>
      </c>
      <c r="AO18" s="59"/>
      <c r="AP18" s="12" t="s">
        <v>53</v>
      </c>
      <c r="AQ18" s="3">
        <v>0</v>
      </c>
    </row>
    <row r="19" s="3" customFormat="1" ht="12" spans="1:43">
      <c r="A19" s="12" t="s">
        <v>108</v>
      </c>
      <c r="B19" s="12" t="s">
        <v>109</v>
      </c>
      <c r="C19" s="12"/>
      <c r="D19" s="12"/>
      <c r="E19" s="12"/>
      <c r="F19" s="12">
        <v>0</v>
      </c>
      <c r="G19" s="12">
        <v>0</v>
      </c>
      <c r="H19" s="12" t="s">
        <v>45</v>
      </c>
      <c r="I19" s="12" t="s">
        <v>45</v>
      </c>
      <c r="J19" s="12">
        <v>1</v>
      </c>
      <c r="K19" s="12" t="s">
        <v>46</v>
      </c>
      <c r="L19" s="47" t="s">
        <v>47</v>
      </c>
      <c r="M19" s="12">
        <v>1000104</v>
      </c>
      <c r="N19" s="12">
        <v>0</v>
      </c>
      <c r="O19" s="47" t="s">
        <v>48</v>
      </c>
      <c r="P19" s="12">
        <v>1620</v>
      </c>
      <c r="Q19" s="12">
        <v>704</v>
      </c>
      <c r="R19" s="12">
        <v>656</v>
      </c>
      <c r="S19" s="12">
        <v>131</v>
      </c>
      <c r="T19" s="12">
        <v>130</v>
      </c>
      <c r="U19" s="12">
        <v>3</v>
      </c>
      <c r="V19" s="12"/>
      <c r="W19" s="47" t="s">
        <v>47</v>
      </c>
      <c r="X19" s="47" t="s">
        <v>110</v>
      </c>
      <c r="Y19" s="47" t="s">
        <v>109</v>
      </c>
      <c r="Z19" s="12"/>
      <c r="AA19" s="12" t="s">
        <v>59</v>
      </c>
      <c r="AB19" s="12" t="s">
        <v>109</v>
      </c>
      <c r="AC19" s="12">
        <v>2463</v>
      </c>
      <c r="AD19" s="12" t="s">
        <v>51</v>
      </c>
      <c r="AE19" s="12" t="s">
        <v>51</v>
      </c>
      <c r="AF19" s="12" t="s">
        <v>51</v>
      </c>
      <c r="AG19" s="12"/>
      <c r="AH19" s="47" t="s">
        <v>52</v>
      </c>
      <c r="AI19" s="12" t="s">
        <v>47</v>
      </c>
      <c r="AJ19" s="12" t="s">
        <v>111</v>
      </c>
      <c r="AK19" s="12"/>
      <c r="AL19" s="12"/>
      <c r="AM19" s="12"/>
      <c r="AN19" s="47" t="s">
        <v>47</v>
      </c>
      <c r="AO19" s="12"/>
      <c r="AP19" s="12" t="s">
        <v>53</v>
      </c>
      <c r="AQ19" s="2">
        <v>0</v>
      </c>
    </row>
    <row r="20" s="2" customFormat="1" spans="1:43">
      <c r="A20" s="11" t="s">
        <v>112</v>
      </c>
      <c r="B20" s="11" t="s">
        <v>63</v>
      </c>
      <c r="C20" s="11"/>
      <c r="D20" s="11"/>
      <c r="E20" s="11"/>
      <c r="F20" s="11">
        <v>0</v>
      </c>
      <c r="G20" s="11">
        <v>0</v>
      </c>
      <c r="H20" s="11" t="s">
        <v>45</v>
      </c>
      <c r="I20" s="11" t="s">
        <v>45</v>
      </c>
      <c r="J20" s="11">
        <v>0</v>
      </c>
      <c r="K20" s="11" t="s">
        <v>46</v>
      </c>
      <c r="L20" s="47" t="s">
        <v>47</v>
      </c>
      <c r="M20" s="48">
        <v>1040104</v>
      </c>
      <c r="N20" s="11">
        <v>0</v>
      </c>
      <c r="O20" s="47" t="s">
        <v>48</v>
      </c>
      <c r="P20" s="11">
        <v>1620</v>
      </c>
      <c r="Q20" s="12">
        <v>720</v>
      </c>
      <c r="R20" s="12">
        <v>928</v>
      </c>
      <c r="S20" s="11">
        <v>45</v>
      </c>
      <c r="T20" s="11">
        <v>58</v>
      </c>
      <c r="U20" s="11">
        <v>3</v>
      </c>
      <c r="V20" s="11"/>
      <c r="W20" s="47" t="s">
        <v>47</v>
      </c>
      <c r="X20" s="47" t="s">
        <v>64</v>
      </c>
      <c r="Y20" s="47" t="s">
        <v>63</v>
      </c>
      <c r="Z20" s="11" t="s">
        <v>113</v>
      </c>
      <c r="AA20" s="11"/>
      <c r="AB20" s="36" t="s">
        <v>63</v>
      </c>
      <c r="AC20" s="12">
        <v>2637</v>
      </c>
      <c r="AD20" s="12">
        <v>2638</v>
      </c>
      <c r="AE20" s="12">
        <v>2694</v>
      </c>
      <c r="AF20" s="12"/>
      <c r="AG20" s="11"/>
      <c r="AH20" s="47" t="s">
        <v>52</v>
      </c>
      <c r="AI20" s="11" t="s">
        <v>47</v>
      </c>
      <c r="AJ20" s="11"/>
      <c r="AK20" s="11"/>
      <c r="AL20" s="11"/>
      <c r="AM20" s="11"/>
      <c r="AN20" s="47" t="s">
        <v>47</v>
      </c>
      <c r="AO20" s="11">
        <v>3108</v>
      </c>
      <c r="AP20" s="11" t="s">
        <v>53</v>
      </c>
      <c r="AQ20" s="2">
        <v>1</v>
      </c>
    </row>
    <row r="21" s="4" customFormat="1" ht="12.75" spans="1:43">
      <c r="A21" s="37" t="s">
        <v>114</v>
      </c>
      <c r="B21" s="37" t="s">
        <v>115</v>
      </c>
      <c r="C21" s="37"/>
      <c r="D21" s="37"/>
      <c r="E21" s="37"/>
      <c r="F21" s="12">
        <v>0</v>
      </c>
      <c r="G21" s="12">
        <v>0</v>
      </c>
      <c r="H21" s="37" t="s">
        <v>45</v>
      </c>
      <c r="I21" s="37" t="s">
        <v>45</v>
      </c>
      <c r="J21" s="37">
        <v>1</v>
      </c>
      <c r="K21" s="37" t="s">
        <v>46</v>
      </c>
      <c r="L21" s="47" t="s">
        <v>47</v>
      </c>
      <c r="M21" s="48">
        <v>1040104</v>
      </c>
      <c r="N21" s="37">
        <v>0</v>
      </c>
      <c r="O21" s="47" t="s">
        <v>48</v>
      </c>
      <c r="P21" s="37">
        <v>1620</v>
      </c>
      <c r="Q21" s="37">
        <v>720</v>
      </c>
      <c r="R21" s="37">
        <v>576</v>
      </c>
      <c r="S21" s="37">
        <v>34</v>
      </c>
      <c r="T21" s="37">
        <v>54</v>
      </c>
      <c r="U21" s="37">
        <v>5</v>
      </c>
      <c r="V21" s="37"/>
      <c r="W21" s="47" t="s">
        <v>47</v>
      </c>
      <c r="X21" s="47" t="s">
        <v>64</v>
      </c>
      <c r="Y21" s="47" t="s">
        <v>115</v>
      </c>
      <c r="Z21" s="37" t="s">
        <v>68</v>
      </c>
      <c r="AA21" s="37"/>
      <c r="AB21" s="37" t="s">
        <v>115</v>
      </c>
      <c r="AC21" s="37">
        <v>2351</v>
      </c>
      <c r="AD21" s="37" t="s">
        <v>51</v>
      </c>
      <c r="AE21" s="37" t="s">
        <v>51</v>
      </c>
      <c r="AF21" s="37" t="s">
        <v>51</v>
      </c>
      <c r="AG21" s="37"/>
      <c r="AH21" s="47" t="s">
        <v>52</v>
      </c>
      <c r="AI21" s="37" t="s">
        <v>47</v>
      </c>
      <c r="AJ21" s="37"/>
      <c r="AK21" s="37"/>
      <c r="AL21" s="37"/>
      <c r="AM21" s="37"/>
      <c r="AN21" s="47" t="s">
        <v>47</v>
      </c>
      <c r="AO21" s="37">
        <v>3096</v>
      </c>
      <c r="AP21" s="37" t="s">
        <v>53</v>
      </c>
      <c r="AQ21" s="2">
        <v>0</v>
      </c>
    </row>
    <row r="22" s="5" customFormat="1" spans="1:43">
      <c r="A22" s="13">
        <v>162003</v>
      </c>
      <c r="B22" s="39" t="s">
        <v>69</v>
      </c>
      <c r="C22" s="13"/>
      <c r="D22" s="13"/>
      <c r="E22" s="13"/>
      <c r="F22" s="11">
        <v>0</v>
      </c>
      <c r="G22" s="11">
        <v>0</v>
      </c>
      <c r="H22" s="13" t="s">
        <v>45</v>
      </c>
      <c r="I22" s="13" t="s">
        <v>45</v>
      </c>
      <c r="J22" s="13">
        <v>1</v>
      </c>
      <c r="K22" s="13" t="s">
        <v>46</v>
      </c>
      <c r="L22" s="47" t="s">
        <v>47</v>
      </c>
      <c r="M22" s="13">
        <v>1030009</v>
      </c>
      <c r="N22" s="13">
        <v>0</v>
      </c>
      <c r="O22" s="47" t="s">
        <v>48</v>
      </c>
      <c r="P22" s="13">
        <v>1620</v>
      </c>
      <c r="Q22" s="13">
        <v>834</v>
      </c>
      <c r="R22" s="13">
        <v>529</v>
      </c>
      <c r="S22" s="13">
        <v>127</v>
      </c>
      <c r="T22" s="13">
        <v>123</v>
      </c>
      <c r="U22" s="13">
        <v>3</v>
      </c>
      <c r="V22" s="13"/>
      <c r="W22" s="47" t="s">
        <v>47</v>
      </c>
      <c r="X22" s="47" t="s">
        <v>70</v>
      </c>
      <c r="Y22" s="47" t="s">
        <v>69</v>
      </c>
      <c r="Z22" s="13"/>
      <c r="AA22" s="13"/>
      <c r="AB22" s="13" t="s">
        <v>71</v>
      </c>
      <c r="AC22" s="13">
        <v>2470</v>
      </c>
      <c r="AD22" s="13">
        <v>2360</v>
      </c>
      <c r="AE22" s="13" t="s">
        <v>51</v>
      </c>
      <c r="AF22" s="13" t="s">
        <v>51</v>
      </c>
      <c r="AG22" s="13"/>
      <c r="AH22" s="47" t="s">
        <v>52</v>
      </c>
      <c r="AI22" s="13">
        <v>0</v>
      </c>
      <c r="AJ22" s="13" t="s">
        <v>72</v>
      </c>
      <c r="AK22" s="13"/>
      <c r="AL22" s="13"/>
      <c r="AM22" s="13"/>
      <c r="AN22" s="47" t="s">
        <v>47</v>
      </c>
      <c r="AO22" s="13"/>
      <c r="AP22" s="13" t="s">
        <v>53</v>
      </c>
      <c r="AQ22" s="2">
        <v>0</v>
      </c>
    </row>
    <row r="23" s="2" customFormat="1" ht="12.75" spans="1:43">
      <c r="A23" s="11">
        <v>162005</v>
      </c>
      <c r="B23" s="11" t="s">
        <v>116</v>
      </c>
      <c r="C23" s="11"/>
      <c r="D23" s="11"/>
      <c r="E23" s="11"/>
      <c r="F23" s="12">
        <v>0</v>
      </c>
      <c r="G23" s="12">
        <v>0</v>
      </c>
      <c r="H23" s="11" t="s">
        <v>45</v>
      </c>
      <c r="I23" s="11" t="s">
        <v>45</v>
      </c>
      <c r="J23" s="11">
        <v>0</v>
      </c>
      <c r="K23" s="11" t="s">
        <v>46</v>
      </c>
      <c r="L23" s="47" t="s">
        <v>47</v>
      </c>
      <c r="M23" s="50">
        <v>1020103</v>
      </c>
      <c r="N23" s="11">
        <v>0</v>
      </c>
      <c r="O23" s="47" t="s">
        <v>48</v>
      </c>
      <c r="P23" s="11">
        <v>1620</v>
      </c>
      <c r="Q23" s="12">
        <v>230</v>
      </c>
      <c r="R23" s="12">
        <v>693</v>
      </c>
      <c r="S23" s="12">
        <v>140</v>
      </c>
      <c r="T23" s="12">
        <v>132</v>
      </c>
      <c r="U23" s="11">
        <v>3</v>
      </c>
      <c r="V23" s="11"/>
      <c r="W23" s="47" t="s">
        <v>47</v>
      </c>
      <c r="X23" s="47" t="s">
        <v>64</v>
      </c>
      <c r="Y23" s="47" t="s">
        <v>116</v>
      </c>
      <c r="Z23" s="11" t="s">
        <v>74</v>
      </c>
      <c r="AA23" s="11"/>
      <c r="AB23" s="11" t="s">
        <v>116</v>
      </c>
      <c r="AC23" s="11">
        <v>2048</v>
      </c>
      <c r="AD23" s="11">
        <v>2049</v>
      </c>
      <c r="AE23" s="11">
        <v>2050</v>
      </c>
      <c r="AF23" s="11">
        <v>2051</v>
      </c>
      <c r="AG23" s="11"/>
      <c r="AH23" s="47" t="s">
        <v>52</v>
      </c>
      <c r="AI23" s="11" t="s">
        <v>47</v>
      </c>
      <c r="AJ23" s="11" t="s">
        <v>117</v>
      </c>
      <c r="AK23" s="11" t="s">
        <v>118</v>
      </c>
      <c r="AL23" s="11" t="s">
        <v>119</v>
      </c>
      <c r="AM23" s="11" t="s">
        <v>120</v>
      </c>
      <c r="AN23" s="47">
        <v>0</v>
      </c>
      <c r="AO23" s="11"/>
      <c r="AP23" s="11" t="s">
        <v>53</v>
      </c>
      <c r="AQ23" s="2">
        <v>0</v>
      </c>
    </row>
    <row r="24" s="2" customFormat="1" ht="12" spans="1:43">
      <c r="A24" s="11" t="s">
        <v>121</v>
      </c>
      <c r="B24" s="11" t="s">
        <v>122</v>
      </c>
      <c r="C24" s="11"/>
      <c r="D24" s="11"/>
      <c r="E24" s="11"/>
      <c r="F24" s="11">
        <v>0</v>
      </c>
      <c r="G24" s="11">
        <v>0</v>
      </c>
      <c r="H24" s="11" t="s">
        <v>45</v>
      </c>
      <c r="I24" s="11" t="s">
        <v>45</v>
      </c>
      <c r="J24" s="11">
        <v>1</v>
      </c>
      <c r="K24" s="11" t="s">
        <v>46</v>
      </c>
      <c r="L24" s="47" t="s">
        <v>47</v>
      </c>
      <c r="M24" s="11">
        <v>1000102</v>
      </c>
      <c r="N24" s="11" t="s">
        <v>45</v>
      </c>
      <c r="O24" s="47" t="s">
        <v>48</v>
      </c>
      <c r="P24" s="11">
        <v>1621</v>
      </c>
      <c r="Q24" s="11">
        <v>778</v>
      </c>
      <c r="R24" s="11">
        <v>464</v>
      </c>
      <c r="S24" s="11">
        <v>145</v>
      </c>
      <c r="T24" s="11">
        <v>63</v>
      </c>
      <c r="U24" s="11">
        <v>3</v>
      </c>
      <c r="V24" s="11"/>
      <c r="W24" s="47" t="s">
        <v>47</v>
      </c>
      <c r="X24" s="47" t="s">
        <v>123</v>
      </c>
      <c r="Y24" s="47" t="s">
        <v>122</v>
      </c>
      <c r="Z24" s="11"/>
      <c r="AA24" s="11" t="s">
        <v>59</v>
      </c>
      <c r="AB24" s="11" t="s">
        <v>122</v>
      </c>
      <c r="AC24" s="11">
        <v>2099</v>
      </c>
      <c r="AD24" s="11">
        <v>2100</v>
      </c>
      <c r="AE24" s="11">
        <v>2461</v>
      </c>
      <c r="AF24" s="11" t="s">
        <v>51</v>
      </c>
      <c r="AG24" s="11"/>
      <c r="AH24" s="47" t="s">
        <v>52</v>
      </c>
      <c r="AI24" s="11" t="s">
        <v>47</v>
      </c>
      <c r="AJ24" s="11" t="s">
        <v>124</v>
      </c>
      <c r="AK24" s="11" t="s">
        <v>125</v>
      </c>
      <c r="AL24" s="11" t="s">
        <v>126</v>
      </c>
      <c r="AM24" s="11"/>
      <c r="AN24" s="47" t="s">
        <v>47</v>
      </c>
      <c r="AO24" s="11"/>
      <c r="AP24" s="11" t="s">
        <v>53</v>
      </c>
      <c r="AQ24" s="2">
        <v>0</v>
      </c>
    </row>
    <row r="25" s="3" customFormat="1" spans="1:43">
      <c r="A25" s="12" t="s">
        <v>127</v>
      </c>
      <c r="B25" s="12" t="s">
        <v>63</v>
      </c>
      <c r="C25" s="12"/>
      <c r="D25" s="12"/>
      <c r="E25" s="12"/>
      <c r="F25" s="12">
        <v>0</v>
      </c>
      <c r="G25" s="12">
        <v>0</v>
      </c>
      <c r="H25" s="12" t="s">
        <v>45</v>
      </c>
      <c r="I25" s="12" t="s">
        <v>45</v>
      </c>
      <c r="J25" s="12">
        <v>0</v>
      </c>
      <c r="K25" s="12" t="s">
        <v>46</v>
      </c>
      <c r="L25" s="47" t="s">
        <v>47</v>
      </c>
      <c r="M25" s="48">
        <v>1040102</v>
      </c>
      <c r="N25" s="12" t="s">
        <v>45</v>
      </c>
      <c r="O25" s="47" t="s">
        <v>48</v>
      </c>
      <c r="P25" s="12">
        <v>1621</v>
      </c>
      <c r="Q25" s="12">
        <v>174</v>
      </c>
      <c r="R25" s="12">
        <v>690</v>
      </c>
      <c r="S25" s="11">
        <v>18</v>
      </c>
      <c r="T25" s="11">
        <v>35</v>
      </c>
      <c r="U25" s="12">
        <v>3</v>
      </c>
      <c r="V25" s="12"/>
      <c r="W25" s="47" t="s">
        <v>47</v>
      </c>
      <c r="X25" s="47" t="s">
        <v>64</v>
      </c>
      <c r="Y25" s="47" t="s">
        <v>63</v>
      </c>
      <c r="Z25" s="12" t="s">
        <v>128</v>
      </c>
      <c r="AA25" s="12"/>
      <c r="AB25" s="36" t="s">
        <v>63</v>
      </c>
      <c r="AC25" s="12">
        <v>2637</v>
      </c>
      <c r="AD25" s="12">
        <v>2638</v>
      </c>
      <c r="AE25" s="12">
        <v>2694</v>
      </c>
      <c r="AF25" s="12"/>
      <c r="AG25" s="12"/>
      <c r="AH25" s="47" t="s">
        <v>52</v>
      </c>
      <c r="AI25" s="12" t="s">
        <v>47</v>
      </c>
      <c r="AJ25" s="12"/>
      <c r="AK25" s="12"/>
      <c r="AL25" s="12"/>
      <c r="AM25" s="12"/>
      <c r="AN25" s="47" t="s">
        <v>47</v>
      </c>
      <c r="AO25" s="12">
        <v>3109</v>
      </c>
      <c r="AP25" s="12" t="s">
        <v>53</v>
      </c>
      <c r="AQ25" s="3">
        <v>1</v>
      </c>
    </row>
    <row r="26" s="4" customFormat="1" ht="12.75" spans="1:43">
      <c r="A26" s="37" t="s">
        <v>129</v>
      </c>
      <c r="B26" s="37" t="s">
        <v>130</v>
      </c>
      <c r="C26" s="37"/>
      <c r="D26" s="37"/>
      <c r="E26" s="37"/>
      <c r="F26" s="11">
        <v>0</v>
      </c>
      <c r="G26" s="11">
        <v>0</v>
      </c>
      <c r="H26" s="37" t="s">
        <v>45</v>
      </c>
      <c r="I26" s="37" t="s">
        <v>45</v>
      </c>
      <c r="J26" s="37">
        <v>1</v>
      </c>
      <c r="K26" s="37" t="s">
        <v>46</v>
      </c>
      <c r="L26" s="47" t="s">
        <v>47</v>
      </c>
      <c r="M26" s="48">
        <v>1040102</v>
      </c>
      <c r="N26" s="37" t="s">
        <v>45</v>
      </c>
      <c r="O26" s="47" t="s">
        <v>48</v>
      </c>
      <c r="P26" s="37">
        <v>1621</v>
      </c>
      <c r="Q26" s="37">
        <v>528</v>
      </c>
      <c r="R26" s="37">
        <v>608</v>
      </c>
      <c r="S26" s="37">
        <v>30</v>
      </c>
      <c r="T26" s="37">
        <v>38</v>
      </c>
      <c r="U26" s="37">
        <v>4</v>
      </c>
      <c r="V26" s="37"/>
      <c r="W26" s="47" t="s">
        <v>47</v>
      </c>
      <c r="X26" s="47" t="s">
        <v>64</v>
      </c>
      <c r="Y26" s="47" t="s">
        <v>130</v>
      </c>
      <c r="Z26" s="37" t="s">
        <v>68</v>
      </c>
      <c r="AA26" s="37"/>
      <c r="AB26" s="37" t="s">
        <v>130</v>
      </c>
      <c r="AC26" s="37">
        <v>2350</v>
      </c>
      <c r="AD26" s="37" t="s">
        <v>51</v>
      </c>
      <c r="AE26" s="37" t="s">
        <v>51</v>
      </c>
      <c r="AF26" s="37" t="s">
        <v>51</v>
      </c>
      <c r="AG26" s="37"/>
      <c r="AH26" s="47" t="s">
        <v>52</v>
      </c>
      <c r="AI26" s="37" t="s">
        <v>47</v>
      </c>
      <c r="AJ26" s="37"/>
      <c r="AK26" s="37"/>
      <c r="AL26" s="37"/>
      <c r="AM26" s="37"/>
      <c r="AN26" s="47" t="s">
        <v>47</v>
      </c>
      <c r="AO26" s="37">
        <v>3097</v>
      </c>
      <c r="AP26" s="37" t="s">
        <v>53</v>
      </c>
      <c r="AQ26" s="2">
        <v>0</v>
      </c>
    </row>
    <row r="27" s="5" customFormat="1" spans="1:43">
      <c r="A27" s="13">
        <v>162103</v>
      </c>
      <c r="B27" s="39" t="s">
        <v>69</v>
      </c>
      <c r="C27" s="13"/>
      <c r="D27" s="13"/>
      <c r="E27" s="13"/>
      <c r="F27" s="12">
        <v>0</v>
      </c>
      <c r="G27" s="12">
        <v>0</v>
      </c>
      <c r="H27" s="13" t="s">
        <v>45</v>
      </c>
      <c r="I27" s="13" t="s">
        <v>45</v>
      </c>
      <c r="J27" s="13">
        <v>1</v>
      </c>
      <c r="K27" s="13" t="s">
        <v>46</v>
      </c>
      <c r="L27" s="47" t="s">
        <v>47</v>
      </c>
      <c r="M27" s="13">
        <v>1030009</v>
      </c>
      <c r="N27" s="13">
        <v>0</v>
      </c>
      <c r="O27" s="47" t="s">
        <v>48</v>
      </c>
      <c r="P27" s="13">
        <v>1621</v>
      </c>
      <c r="Q27" s="13">
        <v>785</v>
      </c>
      <c r="R27" s="13">
        <v>1181</v>
      </c>
      <c r="S27" s="11">
        <v>154</v>
      </c>
      <c r="T27" s="11">
        <v>68</v>
      </c>
      <c r="U27" s="13">
        <v>3</v>
      </c>
      <c r="V27" s="13"/>
      <c r="W27" s="47" t="s">
        <v>47</v>
      </c>
      <c r="X27" s="47" t="s">
        <v>70</v>
      </c>
      <c r="Y27" s="47" t="s">
        <v>69</v>
      </c>
      <c r="Z27" s="13"/>
      <c r="AA27" s="13"/>
      <c r="AB27" s="13" t="s">
        <v>71</v>
      </c>
      <c r="AC27" s="13">
        <v>2470</v>
      </c>
      <c r="AD27" s="13">
        <v>2360</v>
      </c>
      <c r="AE27" s="13" t="s">
        <v>51</v>
      </c>
      <c r="AF27" s="13" t="s">
        <v>51</v>
      </c>
      <c r="AG27" s="13"/>
      <c r="AH27" s="47" t="s">
        <v>52</v>
      </c>
      <c r="AI27" s="13">
        <v>0</v>
      </c>
      <c r="AJ27" s="13" t="s">
        <v>72</v>
      </c>
      <c r="AK27" s="13"/>
      <c r="AL27" s="13"/>
      <c r="AM27" s="13"/>
      <c r="AN27" s="47" t="s">
        <v>47</v>
      </c>
      <c r="AO27" s="13"/>
      <c r="AP27" s="13" t="s">
        <v>53</v>
      </c>
      <c r="AQ27" s="2">
        <v>0</v>
      </c>
    </row>
    <row r="28" s="3" customFormat="1" ht="12.75" spans="1:43">
      <c r="A28" s="12">
        <v>162105</v>
      </c>
      <c r="B28" s="12" t="s">
        <v>131</v>
      </c>
      <c r="C28" s="12"/>
      <c r="D28" s="12"/>
      <c r="E28" s="12"/>
      <c r="F28" s="11">
        <v>0</v>
      </c>
      <c r="G28" s="11">
        <v>0</v>
      </c>
      <c r="H28" s="12" t="s">
        <v>45</v>
      </c>
      <c r="I28" s="12" t="s">
        <v>45</v>
      </c>
      <c r="J28" s="12">
        <v>0</v>
      </c>
      <c r="K28" s="12" t="s">
        <v>46</v>
      </c>
      <c r="L28" s="47" t="s">
        <v>47</v>
      </c>
      <c r="M28" s="50">
        <v>1020122</v>
      </c>
      <c r="N28" s="12" t="s">
        <v>45</v>
      </c>
      <c r="O28" s="47" t="s">
        <v>48</v>
      </c>
      <c r="P28" s="12">
        <v>1621</v>
      </c>
      <c r="Q28" s="12">
        <v>623</v>
      </c>
      <c r="R28" s="12">
        <v>349</v>
      </c>
      <c r="S28" s="12">
        <v>136</v>
      </c>
      <c r="T28" s="12">
        <v>53</v>
      </c>
      <c r="U28" s="12">
        <v>3</v>
      </c>
      <c r="V28" s="12"/>
      <c r="W28" s="47" t="s">
        <v>47</v>
      </c>
      <c r="X28" s="47" t="s">
        <v>64</v>
      </c>
      <c r="Y28" s="47" t="s">
        <v>131</v>
      </c>
      <c r="Z28" s="12" t="s">
        <v>74</v>
      </c>
      <c r="AA28" s="12"/>
      <c r="AB28" s="12" t="s">
        <v>131</v>
      </c>
      <c r="AC28" s="12">
        <v>2084</v>
      </c>
      <c r="AD28" s="12">
        <v>2085</v>
      </c>
      <c r="AE28" s="12">
        <v>2086</v>
      </c>
      <c r="AF28" s="12">
        <v>2087</v>
      </c>
      <c r="AG28" s="12"/>
      <c r="AH28" s="47" t="s">
        <v>52</v>
      </c>
      <c r="AI28" s="12" t="s">
        <v>47</v>
      </c>
      <c r="AJ28" s="12" t="s">
        <v>132</v>
      </c>
      <c r="AK28" s="12" t="s">
        <v>133</v>
      </c>
      <c r="AL28" s="12" t="s">
        <v>134</v>
      </c>
      <c r="AM28" s="12" t="s">
        <v>135</v>
      </c>
      <c r="AN28" s="47" t="s">
        <v>47</v>
      </c>
      <c r="AO28" s="12"/>
      <c r="AP28" s="12" t="s">
        <v>53</v>
      </c>
      <c r="AQ28" s="3">
        <v>0</v>
      </c>
    </row>
    <row r="29" s="3" customFormat="1" ht="12" spans="1:43">
      <c r="A29" s="12" t="s">
        <v>136</v>
      </c>
      <c r="B29" s="12" t="s">
        <v>137</v>
      </c>
      <c r="C29" s="12"/>
      <c r="D29" s="12"/>
      <c r="E29" s="12"/>
      <c r="F29" s="12">
        <v>0</v>
      </c>
      <c r="G29" s="12">
        <v>0</v>
      </c>
      <c r="H29" s="12" t="s">
        <v>45</v>
      </c>
      <c r="I29" s="12" t="s">
        <v>45</v>
      </c>
      <c r="J29" s="12">
        <v>1</v>
      </c>
      <c r="K29" s="12" t="s">
        <v>46</v>
      </c>
      <c r="L29" s="47" t="s">
        <v>47</v>
      </c>
      <c r="M29" s="12">
        <v>1000106</v>
      </c>
      <c r="N29" s="12" t="s">
        <v>45</v>
      </c>
      <c r="O29" s="47" t="s">
        <v>48</v>
      </c>
      <c r="P29" s="12">
        <v>1622</v>
      </c>
      <c r="Q29" s="12">
        <v>448</v>
      </c>
      <c r="R29" s="12">
        <v>320</v>
      </c>
      <c r="S29" s="12">
        <v>39</v>
      </c>
      <c r="T29" s="12">
        <v>96</v>
      </c>
      <c r="U29" s="12">
        <v>3</v>
      </c>
      <c r="V29" s="12"/>
      <c r="W29" s="47" t="s">
        <v>47</v>
      </c>
      <c r="X29" s="47" t="s">
        <v>138</v>
      </c>
      <c r="Y29" s="47" t="s">
        <v>137</v>
      </c>
      <c r="Z29" s="12"/>
      <c r="AA29" s="12" t="s">
        <v>59</v>
      </c>
      <c r="AB29" s="12" t="s">
        <v>137</v>
      </c>
      <c r="AC29" s="12">
        <v>2103</v>
      </c>
      <c r="AD29" s="12">
        <v>2106</v>
      </c>
      <c r="AE29" s="12">
        <v>2462</v>
      </c>
      <c r="AF29" s="12" t="s">
        <v>51</v>
      </c>
      <c r="AG29" s="12"/>
      <c r="AH29" s="47" t="s">
        <v>52</v>
      </c>
      <c r="AI29" s="12" t="s">
        <v>47</v>
      </c>
      <c r="AJ29" s="12" t="s">
        <v>139</v>
      </c>
      <c r="AK29" s="12" t="s">
        <v>140</v>
      </c>
      <c r="AL29" s="12" t="s">
        <v>141</v>
      </c>
      <c r="AM29" s="12"/>
      <c r="AN29" s="47" t="s">
        <v>47</v>
      </c>
      <c r="AO29" s="12"/>
      <c r="AP29" s="12" t="s">
        <v>53</v>
      </c>
      <c r="AQ29" s="2">
        <v>0</v>
      </c>
    </row>
    <row r="30" s="2" customFormat="1" spans="1:43">
      <c r="A30" s="11" t="s">
        <v>142</v>
      </c>
      <c r="B30" s="11" t="s">
        <v>63</v>
      </c>
      <c r="C30" s="11"/>
      <c r="D30" s="11"/>
      <c r="E30" s="11"/>
      <c r="F30" s="11">
        <v>0</v>
      </c>
      <c r="G30" s="11">
        <v>0</v>
      </c>
      <c r="H30" s="11" t="s">
        <v>45</v>
      </c>
      <c r="I30" s="11" t="s">
        <v>45</v>
      </c>
      <c r="J30" s="11">
        <v>0</v>
      </c>
      <c r="K30" s="11" t="s">
        <v>46</v>
      </c>
      <c r="L30" s="47" t="s">
        <v>47</v>
      </c>
      <c r="M30" s="48">
        <v>1040108</v>
      </c>
      <c r="N30" s="11" t="s">
        <v>45</v>
      </c>
      <c r="O30" s="47" t="s">
        <v>48</v>
      </c>
      <c r="P30" s="11">
        <v>1622</v>
      </c>
      <c r="Q30" s="11">
        <v>528</v>
      </c>
      <c r="R30" s="11">
        <v>608</v>
      </c>
      <c r="S30" s="11">
        <v>52</v>
      </c>
      <c r="T30" s="11">
        <v>44</v>
      </c>
      <c r="U30" s="11">
        <v>3</v>
      </c>
      <c r="V30" s="11"/>
      <c r="W30" s="47" t="s">
        <v>47</v>
      </c>
      <c r="X30" s="47" t="s">
        <v>64</v>
      </c>
      <c r="Y30" s="47" t="s">
        <v>63</v>
      </c>
      <c r="Z30" s="11" t="s">
        <v>143</v>
      </c>
      <c r="AA30" s="11"/>
      <c r="AB30" s="36" t="s">
        <v>63</v>
      </c>
      <c r="AC30" s="12">
        <v>2637</v>
      </c>
      <c r="AD30" s="12">
        <v>2638</v>
      </c>
      <c r="AE30" s="12">
        <v>2694</v>
      </c>
      <c r="AF30" s="12"/>
      <c r="AG30" s="11"/>
      <c r="AH30" s="47" t="s">
        <v>52</v>
      </c>
      <c r="AI30" s="11" t="s">
        <v>47</v>
      </c>
      <c r="AJ30" s="12"/>
      <c r="AK30" s="12"/>
      <c r="AL30" s="12"/>
      <c r="AM30" s="12"/>
      <c r="AN30" s="47" t="s">
        <v>47</v>
      </c>
      <c r="AO30" s="11">
        <v>3110</v>
      </c>
      <c r="AP30" s="11" t="s">
        <v>53</v>
      </c>
      <c r="AQ30" s="2">
        <v>1</v>
      </c>
    </row>
    <row r="31" s="4" customFormat="1" ht="12.75" spans="1:43">
      <c r="A31" s="37" t="s">
        <v>144</v>
      </c>
      <c r="B31" s="37" t="s">
        <v>145</v>
      </c>
      <c r="C31" s="37"/>
      <c r="D31" s="37"/>
      <c r="E31" s="37"/>
      <c r="F31" s="12">
        <v>0</v>
      </c>
      <c r="G31" s="12">
        <v>0</v>
      </c>
      <c r="H31" s="37" t="s">
        <v>45</v>
      </c>
      <c r="I31" s="37" t="s">
        <v>45</v>
      </c>
      <c r="J31" s="37">
        <v>1</v>
      </c>
      <c r="K31" s="37" t="s">
        <v>46</v>
      </c>
      <c r="L31" s="47" t="s">
        <v>47</v>
      </c>
      <c r="M31" s="48">
        <v>1040108</v>
      </c>
      <c r="N31" s="37" t="s">
        <v>45</v>
      </c>
      <c r="O31" s="47" t="s">
        <v>48</v>
      </c>
      <c r="P31" s="37">
        <v>1622</v>
      </c>
      <c r="Q31" s="37">
        <v>528</v>
      </c>
      <c r="R31" s="37">
        <v>608</v>
      </c>
      <c r="S31" s="37">
        <v>48</v>
      </c>
      <c r="T31" s="37">
        <v>55</v>
      </c>
      <c r="U31" s="37">
        <v>4</v>
      </c>
      <c r="V31" s="37"/>
      <c r="W31" s="47" t="s">
        <v>47</v>
      </c>
      <c r="X31" s="47" t="s">
        <v>64</v>
      </c>
      <c r="Y31" s="47" t="s">
        <v>145</v>
      </c>
      <c r="Z31" s="37" t="s">
        <v>68</v>
      </c>
      <c r="AA31" s="37"/>
      <c r="AB31" s="37" t="s">
        <v>145</v>
      </c>
      <c r="AC31" s="37">
        <v>2352</v>
      </c>
      <c r="AD31" s="37" t="s">
        <v>51</v>
      </c>
      <c r="AE31" s="37" t="s">
        <v>51</v>
      </c>
      <c r="AF31" s="37" t="s">
        <v>51</v>
      </c>
      <c r="AG31" s="37"/>
      <c r="AH31" s="47" t="s">
        <v>52</v>
      </c>
      <c r="AI31" s="37" t="s">
        <v>47</v>
      </c>
      <c r="AJ31" s="12"/>
      <c r="AK31" s="12"/>
      <c r="AL31" s="12"/>
      <c r="AM31" s="12"/>
      <c r="AN31" s="47" t="s">
        <v>47</v>
      </c>
      <c r="AO31" s="37">
        <v>3098</v>
      </c>
      <c r="AP31" s="37" t="s">
        <v>53</v>
      </c>
      <c r="AQ31" s="2">
        <v>0</v>
      </c>
    </row>
    <row r="32" s="5" customFormat="1" spans="1:43">
      <c r="A32" s="13">
        <v>162203</v>
      </c>
      <c r="B32" s="39" t="s">
        <v>69</v>
      </c>
      <c r="C32" s="13"/>
      <c r="D32" s="13"/>
      <c r="E32" s="13"/>
      <c r="F32" s="11">
        <v>0</v>
      </c>
      <c r="G32" s="11">
        <v>0</v>
      </c>
      <c r="H32" s="13" t="s">
        <v>45</v>
      </c>
      <c r="I32" s="13" t="s">
        <v>45</v>
      </c>
      <c r="J32" s="13">
        <v>1</v>
      </c>
      <c r="K32" s="13" t="s">
        <v>46</v>
      </c>
      <c r="L32" s="47" t="s">
        <v>47</v>
      </c>
      <c r="M32" s="13">
        <v>1030009</v>
      </c>
      <c r="N32" s="13">
        <v>0</v>
      </c>
      <c r="O32" s="47" t="s">
        <v>48</v>
      </c>
      <c r="P32" s="13">
        <v>1622</v>
      </c>
      <c r="Q32" s="13">
        <v>341</v>
      </c>
      <c r="R32" s="13">
        <v>580</v>
      </c>
      <c r="S32" s="13">
        <v>52</v>
      </c>
      <c r="T32" s="13">
        <v>92</v>
      </c>
      <c r="U32" s="13">
        <v>3</v>
      </c>
      <c r="V32" s="13"/>
      <c r="W32" s="47" t="s">
        <v>47</v>
      </c>
      <c r="X32" s="47" t="s">
        <v>70</v>
      </c>
      <c r="Y32" s="47" t="s">
        <v>69</v>
      </c>
      <c r="Z32" s="13"/>
      <c r="AA32" s="13"/>
      <c r="AB32" s="13" t="s">
        <v>71</v>
      </c>
      <c r="AC32" s="13">
        <v>2470</v>
      </c>
      <c r="AD32" s="13">
        <v>2360</v>
      </c>
      <c r="AE32" s="13" t="s">
        <v>51</v>
      </c>
      <c r="AF32" s="13" t="s">
        <v>51</v>
      </c>
      <c r="AG32" s="13"/>
      <c r="AH32" s="47" t="s">
        <v>52</v>
      </c>
      <c r="AI32" s="13">
        <v>0</v>
      </c>
      <c r="AJ32" s="13" t="s">
        <v>72</v>
      </c>
      <c r="AK32" s="13"/>
      <c r="AL32" s="13"/>
      <c r="AM32" s="13"/>
      <c r="AN32" s="47" t="s">
        <v>47</v>
      </c>
      <c r="AO32" s="13"/>
      <c r="AP32" s="13" t="s">
        <v>53</v>
      </c>
      <c r="AQ32" s="2">
        <v>0</v>
      </c>
    </row>
    <row r="33" s="6" customFormat="1" ht="12" spans="1:43">
      <c r="A33" s="43">
        <v>162204</v>
      </c>
      <c r="B33" s="43" t="s">
        <v>146</v>
      </c>
      <c r="C33" s="43"/>
      <c r="D33" s="43"/>
      <c r="E33" s="43"/>
      <c r="F33" s="12">
        <v>0</v>
      </c>
      <c r="G33" s="12">
        <v>0</v>
      </c>
      <c r="H33" s="43" t="s">
        <v>45</v>
      </c>
      <c r="I33" s="43" t="s">
        <v>45</v>
      </c>
      <c r="J33" s="43">
        <v>0</v>
      </c>
      <c r="K33" s="43" t="s">
        <v>46</v>
      </c>
      <c r="L33" s="47" t="s">
        <v>47</v>
      </c>
      <c r="M33" s="44">
        <v>1000108</v>
      </c>
      <c r="N33" s="43">
        <v>0</v>
      </c>
      <c r="O33" s="47" t="s">
        <v>48</v>
      </c>
      <c r="P33" s="43">
        <v>1622</v>
      </c>
      <c r="Q33" s="43">
        <v>936</v>
      </c>
      <c r="R33" s="43">
        <v>616</v>
      </c>
      <c r="S33" s="43">
        <v>43</v>
      </c>
      <c r="T33" s="43">
        <v>40</v>
      </c>
      <c r="U33" s="43">
        <v>5</v>
      </c>
      <c r="V33" s="43"/>
      <c r="W33" s="47" t="s">
        <v>47</v>
      </c>
      <c r="X33" s="47" t="s">
        <v>70</v>
      </c>
      <c r="Y33" s="47" t="s">
        <v>146</v>
      </c>
      <c r="Z33" s="43"/>
      <c r="AA33" s="43"/>
      <c r="AB33" s="43" t="s">
        <v>146</v>
      </c>
      <c r="AC33" s="43">
        <v>2585</v>
      </c>
      <c r="AD33" s="43">
        <v>2586</v>
      </c>
      <c r="AE33" s="43">
        <v>2587</v>
      </c>
      <c r="AF33" s="43">
        <v>2588</v>
      </c>
      <c r="AG33" s="43"/>
      <c r="AH33" s="47" t="s">
        <v>52</v>
      </c>
      <c r="AI33" s="43">
        <v>1</v>
      </c>
      <c r="AJ33" s="43"/>
      <c r="AK33" s="43"/>
      <c r="AL33" s="43"/>
      <c r="AM33" s="43"/>
      <c r="AN33" s="47" t="s">
        <v>47</v>
      </c>
      <c r="AO33" s="43"/>
      <c r="AP33" s="43" t="s">
        <v>53</v>
      </c>
      <c r="AQ33" s="2">
        <v>0</v>
      </c>
    </row>
    <row r="34" s="2" customFormat="1" ht="12.75" spans="1:43">
      <c r="A34" s="11">
        <v>162205</v>
      </c>
      <c r="B34" s="11" t="s">
        <v>147</v>
      </c>
      <c r="C34" s="11"/>
      <c r="D34" s="11"/>
      <c r="E34" s="11"/>
      <c r="F34" s="11">
        <v>0</v>
      </c>
      <c r="G34" s="11">
        <v>0</v>
      </c>
      <c r="H34" s="11" t="s">
        <v>45</v>
      </c>
      <c r="I34" s="11" t="s">
        <v>45</v>
      </c>
      <c r="J34" s="11">
        <v>0</v>
      </c>
      <c r="K34" s="11" t="s">
        <v>46</v>
      </c>
      <c r="L34" s="47" t="s">
        <v>47</v>
      </c>
      <c r="M34" s="54" t="s">
        <v>148</v>
      </c>
      <c r="N34" s="11" t="s">
        <v>45</v>
      </c>
      <c r="O34" s="47" t="s">
        <v>48</v>
      </c>
      <c r="P34" s="11">
        <v>1622</v>
      </c>
      <c r="Q34" s="11">
        <v>606</v>
      </c>
      <c r="R34" s="11">
        <v>331</v>
      </c>
      <c r="S34" s="12">
        <v>34</v>
      </c>
      <c r="T34" s="12">
        <v>109</v>
      </c>
      <c r="U34" s="11">
        <v>5</v>
      </c>
      <c r="V34" s="11"/>
      <c r="W34" s="47" t="s">
        <v>47</v>
      </c>
      <c r="X34" s="47" t="s">
        <v>64</v>
      </c>
      <c r="Y34" s="47" t="s">
        <v>147</v>
      </c>
      <c r="Z34" s="11" t="s">
        <v>74</v>
      </c>
      <c r="AA34" s="11"/>
      <c r="AB34" s="11" t="s">
        <v>147</v>
      </c>
      <c r="AC34" s="11">
        <v>2056</v>
      </c>
      <c r="AD34" s="11">
        <v>2057</v>
      </c>
      <c r="AE34" s="11">
        <v>2058</v>
      </c>
      <c r="AF34" s="11">
        <v>2059</v>
      </c>
      <c r="AG34" s="11"/>
      <c r="AH34" s="47" t="s">
        <v>52</v>
      </c>
      <c r="AI34" s="11" t="s">
        <v>47</v>
      </c>
      <c r="AJ34" s="12" t="s">
        <v>149</v>
      </c>
      <c r="AK34" s="12" t="s">
        <v>150</v>
      </c>
      <c r="AL34" s="12" t="s">
        <v>151</v>
      </c>
      <c r="AM34" s="12" t="s">
        <v>152</v>
      </c>
      <c r="AN34" s="47" t="s">
        <v>47</v>
      </c>
      <c r="AO34" s="11"/>
      <c r="AP34" s="11" t="s">
        <v>53</v>
      </c>
      <c r="AQ34" s="2">
        <v>0</v>
      </c>
    </row>
    <row r="35" s="7" customFormat="1" ht="12" spans="1:42">
      <c r="A35" s="44">
        <v>13106</v>
      </c>
      <c r="B35" s="44" t="s">
        <v>153</v>
      </c>
      <c r="C35" s="44"/>
      <c r="D35" s="44"/>
      <c r="E35" s="44"/>
      <c r="F35" s="12">
        <v>0</v>
      </c>
      <c r="G35" s="12">
        <v>0</v>
      </c>
      <c r="H35" s="44" t="s">
        <v>45</v>
      </c>
      <c r="I35" s="44" t="s">
        <v>45</v>
      </c>
      <c r="J35" s="44">
        <v>1</v>
      </c>
      <c r="K35" s="44" t="s">
        <v>46</v>
      </c>
      <c r="L35" s="47" t="s">
        <v>47</v>
      </c>
      <c r="M35" s="44">
        <v>1000108</v>
      </c>
      <c r="N35" s="44">
        <v>0</v>
      </c>
      <c r="O35" s="47" t="s">
        <v>48</v>
      </c>
      <c r="P35" s="44">
        <v>1690</v>
      </c>
      <c r="Q35" s="44">
        <v>1008</v>
      </c>
      <c r="R35" s="44">
        <v>688</v>
      </c>
      <c r="S35" s="44">
        <v>62</v>
      </c>
      <c r="T35" s="44">
        <v>46</v>
      </c>
      <c r="U35" s="44">
        <v>5</v>
      </c>
      <c r="V35" s="44"/>
      <c r="W35" s="47" t="s">
        <v>47</v>
      </c>
      <c r="X35" s="47" t="s">
        <v>110</v>
      </c>
      <c r="Y35" s="47" t="s">
        <v>153</v>
      </c>
      <c r="Z35" s="44"/>
      <c r="AA35" s="44" t="s">
        <v>59</v>
      </c>
      <c r="AB35" s="44" t="s">
        <v>153</v>
      </c>
      <c r="AC35" s="44">
        <v>2467</v>
      </c>
      <c r="AD35" s="44" t="s">
        <v>51</v>
      </c>
      <c r="AE35" s="44" t="s">
        <v>51</v>
      </c>
      <c r="AF35" s="44" t="s">
        <v>51</v>
      </c>
      <c r="AG35" s="44"/>
      <c r="AH35" s="47" t="s">
        <v>52</v>
      </c>
      <c r="AI35" s="44" t="s">
        <v>47</v>
      </c>
      <c r="AJ35" s="44" t="s">
        <v>154</v>
      </c>
      <c r="AK35" s="44"/>
      <c r="AL35" s="44"/>
      <c r="AM35" s="44"/>
      <c r="AN35" s="47" t="s">
        <v>47</v>
      </c>
      <c r="AO35" s="44"/>
      <c r="AP35" s="44" t="s">
        <v>53</v>
      </c>
    </row>
    <row r="36" s="7" customFormat="1" spans="1:43">
      <c r="A36" s="44">
        <v>169001</v>
      </c>
      <c r="B36" s="44" t="s">
        <v>63</v>
      </c>
      <c r="C36" s="44"/>
      <c r="D36" s="44"/>
      <c r="E36" s="44"/>
      <c r="F36" s="11">
        <v>0</v>
      </c>
      <c r="G36" s="11">
        <v>0</v>
      </c>
      <c r="H36" s="44" t="s">
        <v>45</v>
      </c>
      <c r="I36" s="44" t="s">
        <v>45</v>
      </c>
      <c r="J36" s="44">
        <v>0</v>
      </c>
      <c r="K36" s="44" t="s">
        <v>46</v>
      </c>
      <c r="L36" s="47" t="s">
        <v>47</v>
      </c>
      <c r="M36" s="48">
        <v>1040116</v>
      </c>
      <c r="N36" s="44">
        <v>0</v>
      </c>
      <c r="O36" s="47" t="s">
        <v>48</v>
      </c>
      <c r="P36" s="44">
        <v>1690</v>
      </c>
      <c r="Q36" s="44">
        <v>850</v>
      </c>
      <c r="R36" s="44">
        <v>362</v>
      </c>
      <c r="S36" s="44">
        <v>56</v>
      </c>
      <c r="T36" s="44">
        <v>67</v>
      </c>
      <c r="U36" s="44">
        <v>5</v>
      </c>
      <c r="V36" s="44"/>
      <c r="W36" s="47" t="s">
        <v>47</v>
      </c>
      <c r="X36" s="47" t="s">
        <v>64</v>
      </c>
      <c r="Y36" s="47" t="s">
        <v>63</v>
      </c>
      <c r="Z36" s="44" t="s">
        <v>155</v>
      </c>
      <c r="AA36" s="44"/>
      <c r="AB36" s="36" t="s">
        <v>63</v>
      </c>
      <c r="AC36" s="12">
        <v>2637</v>
      </c>
      <c r="AD36" s="12">
        <v>2638</v>
      </c>
      <c r="AE36" s="12">
        <v>2694</v>
      </c>
      <c r="AF36" s="12"/>
      <c r="AG36" s="44"/>
      <c r="AH36" s="47" t="s">
        <v>52</v>
      </c>
      <c r="AI36" s="44" t="s">
        <v>47</v>
      </c>
      <c r="AJ36" s="44"/>
      <c r="AK36" s="44"/>
      <c r="AL36" s="44"/>
      <c r="AM36" s="44"/>
      <c r="AN36" s="47" t="s">
        <v>47</v>
      </c>
      <c r="AO36" s="44">
        <v>3111</v>
      </c>
      <c r="AP36" s="44" t="s">
        <v>53</v>
      </c>
      <c r="AQ36" s="7">
        <v>1</v>
      </c>
    </row>
    <row r="37" s="4" customFormat="1" ht="12.75" spans="1:43">
      <c r="A37" s="37">
        <v>169002</v>
      </c>
      <c r="B37" s="37" t="s">
        <v>156</v>
      </c>
      <c r="C37" s="37"/>
      <c r="D37" s="37"/>
      <c r="E37" s="37"/>
      <c r="F37" s="12">
        <v>0</v>
      </c>
      <c r="G37" s="12">
        <v>0</v>
      </c>
      <c r="H37" s="37" t="s">
        <v>45</v>
      </c>
      <c r="I37" s="37" t="s">
        <v>45</v>
      </c>
      <c r="J37" s="37">
        <v>1</v>
      </c>
      <c r="K37" s="37" t="s">
        <v>46</v>
      </c>
      <c r="L37" s="47" t="s">
        <v>47</v>
      </c>
      <c r="M37" s="48">
        <v>1040116</v>
      </c>
      <c r="N37" s="37">
        <v>0</v>
      </c>
      <c r="O37" s="47" t="s">
        <v>48</v>
      </c>
      <c r="P37" s="37">
        <v>1690</v>
      </c>
      <c r="Q37" s="12">
        <v>752</v>
      </c>
      <c r="R37" s="12">
        <v>992</v>
      </c>
      <c r="S37" s="37">
        <v>47</v>
      </c>
      <c r="T37" s="37">
        <v>62</v>
      </c>
      <c r="U37" s="37">
        <v>3</v>
      </c>
      <c r="V37" s="37"/>
      <c r="W37" s="47" t="s">
        <v>47</v>
      </c>
      <c r="X37" s="47" t="s">
        <v>64</v>
      </c>
      <c r="Y37" s="47" t="s">
        <v>156</v>
      </c>
      <c r="Z37" s="37" t="s">
        <v>68</v>
      </c>
      <c r="AA37" s="37"/>
      <c r="AB37" s="37" t="s">
        <v>156</v>
      </c>
      <c r="AC37" s="37">
        <v>2351</v>
      </c>
      <c r="AD37" s="37" t="s">
        <v>51</v>
      </c>
      <c r="AE37" s="37" t="s">
        <v>51</v>
      </c>
      <c r="AF37" s="37" t="s">
        <v>51</v>
      </c>
      <c r="AG37" s="37"/>
      <c r="AH37" s="47" t="s">
        <v>52</v>
      </c>
      <c r="AI37" s="37" t="s">
        <v>47</v>
      </c>
      <c r="AJ37" s="37"/>
      <c r="AK37" s="37"/>
      <c r="AL37" s="37"/>
      <c r="AM37" s="37"/>
      <c r="AN37" s="47" t="s">
        <v>47</v>
      </c>
      <c r="AO37" s="37">
        <v>3099</v>
      </c>
      <c r="AP37" s="37" t="s">
        <v>53</v>
      </c>
      <c r="AQ37" s="2">
        <v>0</v>
      </c>
    </row>
    <row r="38" s="5" customFormat="1" spans="1:43">
      <c r="A38" s="13">
        <v>169003</v>
      </c>
      <c r="B38" s="39" t="s">
        <v>69</v>
      </c>
      <c r="C38" s="13"/>
      <c r="D38" s="13"/>
      <c r="E38" s="13"/>
      <c r="F38" s="11">
        <v>0</v>
      </c>
      <c r="G38" s="11">
        <v>0</v>
      </c>
      <c r="H38" s="13" t="s">
        <v>45</v>
      </c>
      <c r="I38" s="13" t="s">
        <v>45</v>
      </c>
      <c r="J38" s="13">
        <v>1</v>
      </c>
      <c r="K38" s="13" t="s">
        <v>46</v>
      </c>
      <c r="L38" s="47" t="s">
        <v>47</v>
      </c>
      <c r="M38" s="13">
        <v>1030009</v>
      </c>
      <c r="N38" s="13">
        <v>0</v>
      </c>
      <c r="O38" s="47" t="s">
        <v>48</v>
      </c>
      <c r="P38" s="13">
        <v>1690</v>
      </c>
      <c r="Q38" s="13">
        <v>400</v>
      </c>
      <c r="R38" s="13">
        <v>609</v>
      </c>
      <c r="S38" s="13">
        <v>62</v>
      </c>
      <c r="T38" s="13">
        <v>62</v>
      </c>
      <c r="U38" s="13">
        <v>3</v>
      </c>
      <c r="V38" s="13"/>
      <c r="W38" s="47" t="s">
        <v>47</v>
      </c>
      <c r="X38" s="47" t="s">
        <v>70</v>
      </c>
      <c r="Y38" s="47" t="s">
        <v>69</v>
      </c>
      <c r="Z38" s="13"/>
      <c r="AA38" s="13"/>
      <c r="AB38" s="13" t="s">
        <v>71</v>
      </c>
      <c r="AC38" s="13">
        <v>2470</v>
      </c>
      <c r="AD38" s="13">
        <v>2360</v>
      </c>
      <c r="AE38" s="13" t="s">
        <v>51</v>
      </c>
      <c r="AF38" s="13" t="s">
        <v>51</v>
      </c>
      <c r="AG38" s="13"/>
      <c r="AH38" s="47" t="s">
        <v>52</v>
      </c>
      <c r="AI38" s="13">
        <v>0</v>
      </c>
      <c r="AJ38" s="13" t="s">
        <v>72</v>
      </c>
      <c r="AK38" s="13"/>
      <c r="AL38" s="13"/>
      <c r="AM38" s="13"/>
      <c r="AN38" s="47" t="s">
        <v>47</v>
      </c>
      <c r="AO38" s="13"/>
      <c r="AP38" s="13" t="s">
        <v>53</v>
      </c>
      <c r="AQ38" s="2">
        <v>0</v>
      </c>
    </row>
    <row r="39" s="7" customFormat="1" ht="12.75" spans="1:43">
      <c r="A39" s="44">
        <v>169005</v>
      </c>
      <c r="B39" s="44" t="s">
        <v>157</v>
      </c>
      <c r="C39" s="44"/>
      <c r="D39" s="44"/>
      <c r="E39" s="44"/>
      <c r="F39" s="12">
        <v>0</v>
      </c>
      <c r="G39" s="12">
        <v>0</v>
      </c>
      <c r="H39" s="44" t="s">
        <v>45</v>
      </c>
      <c r="I39" s="44" t="s">
        <v>45</v>
      </c>
      <c r="J39" s="44">
        <v>0</v>
      </c>
      <c r="K39" s="44" t="s">
        <v>46</v>
      </c>
      <c r="L39" s="47" t="s">
        <v>47</v>
      </c>
      <c r="M39" s="50">
        <v>1020114</v>
      </c>
      <c r="N39" s="44">
        <v>0</v>
      </c>
      <c r="O39" s="47" t="s">
        <v>48</v>
      </c>
      <c r="P39" s="44">
        <v>1690</v>
      </c>
      <c r="Q39" s="44">
        <v>862</v>
      </c>
      <c r="R39" s="44">
        <v>899</v>
      </c>
      <c r="S39" s="12">
        <v>47</v>
      </c>
      <c r="T39" s="12">
        <v>50</v>
      </c>
      <c r="U39" s="44">
        <v>5</v>
      </c>
      <c r="V39" s="44"/>
      <c r="W39" s="47" t="s">
        <v>47</v>
      </c>
      <c r="X39" s="47" t="s">
        <v>64</v>
      </c>
      <c r="Y39" s="47" t="s">
        <v>157</v>
      </c>
      <c r="Z39" s="44" t="s">
        <v>74</v>
      </c>
      <c r="AA39" s="44"/>
      <c r="AB39" s="44" t="s">
        <v>157</v>
      </c>
      <c r="AC39" s="44">
        <v>2457</v>
      </c>
      <c r="AD39" s="12"/>
      <c r="AE39" s="12"/>
      <c r="AF39" s="12"/>
      <c r="AG39" s="44"/>
      <c r="AH39" s="47" t="s">
        <v>52</v>
      </c>
      <c r="AI39" s="44" t="s">
        <v>47</v>
      </c>
      <c r="AJ39" s="44" t="s">
        <v>158</v>
      </c>
      <c r="AK39" s="44"/>
      <c r="AL39" s="44"/>
      <c r="AM39" s="44"/>
      <c r="AN39" s="47" t="s">
        <v>47</v>
      </c>
      <c r="AO39" s="44"/>
      <c r="AP39" s="44" t="s">
        <v>53</v>
      </c>
      <c r="AQ39" s="7">
        <v>0</v>
      </c>
    </row>
    <row r="40" s="2" customFormat="1" ht="12.75" spans="1:43">
      <c r="A40" s="11">
        <v>13107</v>
      </c>
      <c r="B40" s="11" t="s">
        <v>159</v>
      </c>
      <c r="C40" s="11"/>
      <c r="D40" s="11"/>
      <c r="E40" s="11"/>
      <c r="F40" s="11">
        <v>0</v>
      </c>
      <c r="G40" s="11">
        <v>0</v>
      </c>
      <c r="H40" s="11" t="s">
        <v>45</v>
      </c>
      <c r="I40" s="11" t="s">
        <v>45</v>
      </c>
      <c r="J40" s="11">
        <v>1</v>
      </c>
      <c r="K40" s="11" t="s">
        <v>46</v>
      </c>
      <c r="L40" s="47" t="s">
        <v>47</v>
      </c>
      <c r="M40" s="50">
        <v>1000107</v>
      </c>
      <c r="N40" s="11" t="s">
        <v>45</v>
      </c>
      <c r="O40" s="47" t="s">
        <v>48</v>
      </c>
      <c r="P40" s="11">
        <v>1691</v>
      </c>
      <c r="Q40" s="12">
        <v>246</v>
      </c>
      <c r="R40" s="12">
        <v>447</v>
      </c>
      <c r="S40" s="11">
        <v>105</v>
      </c>
      <c r="T40" s="11">
        <v>30</v>
      </c>
      <c r="U40" s="11">
        <v>3</v>
      </c>
      <c r="V40" s="11"/>
      <c r="W40" s="47" t="s">
        <v>47</v>
      </c>
      <c r="X40" s="47" t="s">
        <v>123</v>
      </c>
      <c r="Y40" s="47" t="s">
        <v>159</v>
      </c>
      <c r="Z40" s="11"/>
      <c r="AA40" s="11" t="s">
        <v>59</v>
      </c>
      <c r="AB40" s="11" t="s">
        <v>159</v>
      </c>
      <c r="AC40" s="11">
        <v>2466</v>
      </c>
      <c r="AD40" s="11">
        <v>2490</v>
      </c>
      <c r="AE40" s="12">
        <v>2491</v>
      </c>
      <c r="AF40" s="2" t="s">
        <v>51</v>
      </c>
      <c r="AG40" s="11"/>
      <c r="AH40" s="47" t="s">
        <v>52</v>
      </c>
      <c r="AI40" s="11" t="s">
        <v>47</v>
      </c>
      <c r="AJ40" s="11" t="s">
        <v>160</v>
      </c>
      <c r="AK40" s="11" t="s">
        <v>161</v>
      </c>
      <c r="AL40" s="11" t="s">
        <v>162</v>
      </c>
      <c r="AM40" s="11"/>
      <c r="AN40" s="47" t="s">
        <v>47</v>
      </c>
      <c r="AO40" s="11"/>
      <c r="AP40" s="11" t="s">
        <v>53</v>
      </c>
      <c r="AQ40" s="2">
        <v>0</v>
      </c>
    </row>
    <row r="41" s="3" customFormat="1" spans="1:43">
      <c r="A41" s="12">
        <v>169101</v>
      </c>
      <c r="B41" s="12" t="s">
        <v>63</v>
      </c>
      <c r="C41" s="12"/>
      <c r="D41" s="12"/>
      <c r="E41" s="12"/>
      <c r="F41" s="12">
        <v>0</v>
      </c>
      <c r="G41" s="12">
        <v>0</v>
      </c>
      <c r="H41" s="12" t="s">
        <v>45</v>
      </c>
      <c r="I41" s="12" t="s">
        <v>45</v>
      </c>
      <c r="J41" s="12">
        <v>0</v>
      </c>
      <c r="K41" s="12" t="s">
        <v>46</v>
      </c>
      <c r="L41" s="47" t="s">
        <v>47</v>
      </c>
      <c r="M41" s="55">
        <v>1040122</v>
      </c>
      <c r="N41" s="12" t="s">
        <v>45</v>
      </c>
      <c r="O41" s="47" t="s">
        <v>48</v>
      </c>
      <c r="P41" s="12">
        <v>1691</v>
      </c>
      <c r="Q41" s="12">
        <v>224</v>
      </c>
      <c r="R41" s="12">
        <v>656</v>
      </c>
      <c r="S41" s="12">
        <v>14</v>
      </c>
      <c r="T41" s="12">
        <v>41</v>
      </c>
      <c r="U41" s="12">
        <v>3</v>
      </c>
      <c r="V41" s="12"/>
      <c r="W41" s="47" t="s">
        <v>47</v>
      </c>
      <c r="X41" s="47" t="s">
        <v>64</v>
      </c>
      <c r="Y41" s="47" t="s">
        <v>63</v>
      </c>
      <c r="Z41" s="12" t="s">
        <v>163</v>
      </c>
      <c r="AA41" s="12"/>
      <c r="AB41" s="36" t="s">
        <v>63</v>
      </c>
      <c r="AC41" s="12">
        <v>2637</v>
      </c>
      <c r="AD41" s="12">
        <v>2638</v>
      </c>
      <c r="AE41" s="12">
        <v>2694</v>
      </c>
      <c r="AF41" s="12"/>
      <c r="AG41" s="12"/>
      <c r="AH41" s="47" t="s">
        <v>52</v>
      </c>
      <c r="AI41" s="12" t="s">
        <v>47</v>
      </c>
      <c r="AJ41" s="12"/>
      <c r="AK41" s="12"/>
      <c r="AL41" s="12"/>
      <c r="AM41" s="12"/>
      <c r="AN41" s="47" t="s">
        <v>47</v>
      </c>
      <c r="AO41" s="12">
        <v>3112</v>
      </c>
      <c r="AP41" s="12" t="s">
        <v>53</v>
      </c>
      <c r="AQ41" s="3">
        <v>1</v>
      </c>
    </row>
    <row r="42" s="4" customFormat="1" ht="12.75" spans="1:43">
      <c r="A42" s="37">
        <v>169102</v>
      </c>
      <c r="B42" s="37" t="s">
        <v>164</v>
      </c>
      <c r="C42" s="37"/>
      <c r="D42" s="37"/>
      <c r="E42" s="37"/>
      <c r="F42" s="11">
        <v>0</v>
      </c>
      <c r="G42" s="11">
        <v>0</v>
      </c>
      <c r="H42" s="37" t="s">
        <v>45</v>
      </c>
      <c r="I42" s="37" t="s">
        <v>45</v>
      </c>
      <c r="J42" s="37">
        <v>1</v>
      </c>
      <c r="K42" s="37" t="s">
        <v>46</v>
      </c>
      <c r="L42" s="47" t="s">
        <v>47</v>
      </c>
      <c r="M42" s="55">
        <v>1040122</v>
      </c>
      <c r="N42" s="37" t="s">
        <v>45</v>
      </c>
      <c r="O42" s="47" t="s">
        <v>48</v>
      </c>
      <c r="P42" s="37">
        <v>1691</v>
      </c>
      <c r="Q42" s="12">
        <v>368</v>
      </c>
      <c r="R42" s="12">
        <v>752</v>
      </c>
      <c r="S42" s="37">
        <v>23</v>
      </c>
      <c r="T42" s="37">
        <v>47</v>
      </c>
      <c r="U42" s="37">
        <v>4</v>
      </c>
      <c r="V42" s="37"/>
      <c r="W42" s="47" t="s">
        <v>47</v>
      </c>
      <c r="X42" s="47" t="s">
        <v>64</v>
      </c>
      <c r="Y42" s="47" t="s">
        <v>164</v>
      </c>
      <c r="Z42" s="37" t="s">
        <v>68</v>
      </c>
      <c r="AA42" s="37"/>
      <c r="AB42" s="37" t="s">
        <v>164</v>
      </c>
      <c r="AC42" s="37">
        <v>2350</v>
      </c>
      <c r="AD42" s="37" t="s">
        <v>51</v>
      </c>
      <c r="AE42" s="37" t="s">
        <v>51</v>
      </c>
      <c r="AF42" s="37" t="s">
        <v>51</v>
      </c>
      <c r="AG42" s="37"/>
      <c r="AH42" s="47" t="s">
        <v>52</v>
      </c>
      <c r="AI42" s="37" t="s">
        <v>47</v>
      </c>
      <c r="AJ42" s="12"/>
      <c r="AK42" s="12"/>
      <c r="AL42" s="12"/>
      <c r="AM42" s="12"/>
      <c r="AN42" s="47" t="s">
        <v>47</v>
      </c>
      <c r="AO42" s="37">
        <v>3100</v>
      </c>
      <c r="AP42" s="37" t="s">
        <v>53</v>
      </c>
      <c r="AQ42" s="2">
        <v>0</v>
      </c>
    </row>
    <row r="43" s="5" customFormat="1" spans="1:43">
      <c r="A43" s="13">
        <v>169103</v>
      </c>
      <c r="B43" s="39" t="s">
        <v>69</v>
      </c>
      <c r="C43" s="13"/>
      <c r="D43" s="13"/>
      <c r="E43" s="13"/>
      <c r="F43" s="12">
        <v>0</v>
      </c>
      <c r="G43" s="12">
        <v>0</v>
      </c>
      <c r="H43" s="13" t="s">
        <v>45</v>
      </c>
      <c r="I43" s="13" t="s">
        <v>45</v>
      </c>
      <c r="J43" s="13">
        <v>1</v>
      </c>
      <c r="K43" s="13" t="s">
        <v>46</v>
      </c>
      <c r="L43" s="47" t="s">
        <v>47</v>
      </c>
      <c r="M43" s="13">
        <v>1030009</v>
      </c>
      <c r="N43" s="13">
        <v>0</v>
      </c>
      <c r="O43" s="47" t="s">
        <v>48</v>
      </c>
      <c r="P43" s="13">
        <v>1691</v>
      </c>
      <c r="Q43" s="13">
        <v>781</v>
      </c>
      <c r="R43" s="13">
        <v>297</v>
      </c>
      <c r="S43" s="13">
        <v>100</v>
      </c>
      <c r="T43" s="13">
        <v>25</v>
      </c>
      <c r="U43" s="13">
        <v>3</v>
      </c>
      <c r="V43" s="13"/>
      <c r="W43" s="47" t="s">
        <v>47</v>
      </c>
      <c r="X43" s="47" t="s">
        <v>70</v>
      </c>
      <c r="Y43" s="47" t="s">
        <v>69</v>
      </c>
      <c r="Z43" s="13"/>
      <c r="AA43" s="13"/>
      <c r="AB43" s="13" t="s">
        <v>71</v>
      </c>
      <c r="AC43" s="13">
        <v>2470</v>
      </c>
      <c r="AD43" s="13">
        <v>2360</v>
      </c>
      <c r="AE43" s="13" t="s">
        <v>51</v>
      </c>
      <c r="AF43" s="13" t="s">
        <v>51</v>
      </c>
      <c r="AG43" s="13"/>
      <c r="AH43" s="47" t="s">
        <v>52</v>
      </c>
      <c r="AI43" s="13">
        <v>0</v>
      </c>
      <c r="AJ43" s="13" t="s">
        <v>72</v>
      </c>
      <c r="AK43" s="13"/>
      <c r="AL43" s="13"/>
      <c r="AM43" s="13"/>
      <c r="AN43" s="47" t="s">
        <v>47</v>
      </c>
      <c r="AO43" s="13"/>
      <c r="AP43" s="13" t="s">
        <v>53</v>
      </c>
      <c r="AQ43" s="2">
        <v>0</v>
      </c>
    </row>
    <row r="44" s="3" customFormat="1" ht="12" spans="1:43">
      <c r="A44" s="12">
        <v>169105</v>
      </c>
      <c r="B44" s="12" t="s">
        <v>165</v>
      </c>
      <c r="C44" s="12"/>
      <c r="D44" s="12"/>
      <c r="E44" s="12"/>
      <c r="F44" s="11">
        <v>0</v>
      </c>
      <c r="G44" s="11">
        <v>0</v>
      </c>
      <c r="H44" s="12" t="s">
        <v>45</v>
      </c>
      <c r="I44" s="12" t="s">
        <v>45</v>
      </c>
      <c r="J44" s="12">
        <v>0</v>
      </c>
      <c r="K44" s="12" t="s">
        <v>46</v>
      </c>
      <c r="L44" s="47" t="s">
        <v>47</v>
      </c>
      <c r="M44" s="11">
        <v>1020110</v>
      </c>
      <c r="N44" s="12" t="s">
        <v>45</v>
      </c>
      <c r="O44" s="47" t="s">
        <v>48</v>
      </c>
      <c r="P44" s="12">
        <v>1691</v>
      </c>
      <c r="Q44" s="12">
        <v>447</v>
      </c>
      <c r="R44" s="12">
        <v>403</v>
      </c>
      <c r="S44" s="12">
        <v>116</v>
      </c>
      <c r="T44" s="12">
        <v>36</v>
      </c>
      <c r="U44" s="12">
        <v>5</v>
      </c>
      <c r="V44" s="12"/>
      <c r="W44" s="47" t="s">
        <v>47</v>
      </c>
      <c r="X44" s="47" t="s">
        <v>64</v>
      </c>
      <c r="Y44" s="47" t="s">
        <v>165</v>
      </c>
      <c r="Z44" s="12" t="s">
        <v>74</v>
      </c>
      <c r="AA44" s="12"/>
      <c r="AB44" s="12" t="s">
        <v>165</v>
      </c>
      <c r="AC44" s="12">
        <v>2044</v>
      </c>
      <c r="AD44" s="12">
        <v>2045</v>
      </c>
      <c r="AE44" s="11">
        <v>2046</v>
      </c>
      <c r="AF44" s="11">
        <v>2456</v>
      </c>
      <c r="AG44" s="12"/>
      <c r="AH44" s="47" t="s">
        <v>52</v>
      </c>
      <c r="AI44" s="12" t="s">
        <v>47</v>
      </c>
      <c r="AJ44" s="12" t="s">
        <v>166</v>
      </c>
      <c r="AK44" s="12" t="s">
        <v>167</v>
      </c>
      <c r="AL44" s="12" t="s">
        <v>168</v>
      </c>
      <c r="AM44" s="12" t="s">
        <v>169</v>
      </c>
      <c r="AN44" s="47" t="s">
        <v>47</v>
      </c>
      <c r="AO44" s="12"/>
      <c r="AP44" s="12" t="s">
        <v>53</v>
      </c>
      <c r="AQ44" s="3">
        <v>0</v>
      </c>
    </row>
    <row r="45" s="3" customFormat="1" ht="12" spans="1:43">
      <c r="A45" s="12">
        <v>13108</v>
      </c>
      <c r="B45" s="12" t="s">
        <v>170</v>
      </c>
      <c r="C45" s="12"/>
      <c r="D45" s="12"/>
      <c r="E45" s="12"/>
      <c r="F45" s="12">
        <v>0</v>
      </c>
      <c r="G45" s="12">
        <v>0</v>
      </c>
      <c r="H45" s="12" t="s">
        <v>45</v>
      </c>
      <c r="I45" s="12" t="s">
        <v>45</v>
      </c>
      <c r="J45" s="12">
        <v>1</v>
      </c>
      <c r="K45" s="12" t="s">
        <v>46</v>
      </c>
      <c r="L45" s="47" t="s">
        <v>47</v>
      </c>
      <c r="M45" s="12">
        <v>1020140</v>
      </c>
      <c r="N45" s="12" t="s">
        <v>45</v>
      </c>
      <c r="O45" s="47" t="s">
        <v>48</v>
      </c>
      <c r="P45" s="12">
        <v>1692</v>
      </c>
      <c r="Q45" s="12">
        <v>1005</v>
      </c>
      <c r="R45" s="12">
        <v>463</v>
      </c>
      <c r="S45" s="12">
        <v>107</v>
      </c>
      <c r="T45" s="12">
        <v>73</v>
      </c>
      <c r="U45" s="12">
        <v>5</v>
      </c>
      <c r="V45" s="12"/>
      <c r="W45" s="47" t="s">
        <v>47</v>
      </c>
      <c r="X45" s="47" t="s">
        <v>138</v>
      </c>
      <c r="Y45" s="47" t="s">
        <v>170</v>
      </c>
      <c r="Z45" s="12"/>
      <c r="AA45" s="12" t="s">
        <v>59</v>
      </c>
      <c r="AB45" s="12" t="s">
        <v>170</v>
      </c>
      <c r="AC45" s="12">
        <v>2468</v>
      </c>
      <c r="AD45" s="12" t="s">
        <v>51</v>
      </c>
      <c r="AE45" s="12" t="s">
        <v>51</v>
      </c>
      <c r="AF45" s="12" t="s">
        <v>51</v>
      </c>
      <c r="AG45" s="12"/>
      <c r="AH45" s="47" t="s">
        <v>52</v>
      </c>
      <c r="AI45" s="12" t="s">
        <v>47</v>
      </c>
      <c r="AJ45" s="12" t="s">
        <v>171</v>
      </c>
      <c r="AK45" s="12"/>
      <c r="AL45" s="12"/>
      <c r="AM45" s="12"/>
      <c r="AN45" s="47" t="s">
        <v>47</v>
      </c>
      <c r="AO45" s="12"/>
      <c r="AP45" s="12" t="s">
        <v>53</v>
      </c>
      <c r="AQ45" s="2">
        <v>0</v>
      </c>
    </row>
    <row r="46" s="2" customFormat="1" spans="1:43">
      <c r="A46" s="11">
        <v>169201</v>
      </c>
      <c r="B46" s="11" t="s">
        <v>63</v>
      </c>
      <c r="C46" s="11"/>
      <c r="D46" s="11"/>
      <c r="E46" s="11"/>
      <c r="F46" s="11">
        <v>0</v>
      </c>
      <c r="G46" s="11">
        <v>0</v>
      </c>
      <c r="H46" s="11" t="s">
        <v>45</v>
      </c>
      <c r="I46" s="11" t="s">
        <v>45</v>
      </c>
      <c r="J46" s="11">
        <v>0</v>
      </c>
      <c r="K46" s="11" t="s">
        <v>46</v>
      </c>
      <c r="L46" s="47" t="s">
        <v>47</v>
      </c>
      <c r="M46" s="48">
        <v>1040102</v>
      </c>
      <c r="N46" s="11" t="s">
        <v>45</v>
      </c>
      <c r="O46" s="47" t="s">
        <v>48</v>
      </c>
      <c r="P46" s="11">
        <v>1692</v>
      </c>
      <c r="Q46" s="12">
        <v>784</v>
      </c>
      <c r="R46" s="12">
        <v>400</v>
      </c>
      <c r="S46" s="11">
        <v>29</v>
      </c>
      <c r="T46" s="11">
        <v>44</v>
      </c>
      <c r="U46" s="11">
        <v>3</v>
      </c>
      <c r="V46" s="11"/>
      <c r="W46" s="47" t="s">
        <v>47</v>
      </c>
      <c r="X46" s="47" t="s">
        <v>64</v>
      </c>
      <c r="Y46" s="47" t="s">
        <v>63</v>
      </c>
      <c r="Z46" s="11" t="s">
        <v>172</v>
      </c>
      <c r="AA46" s="11"/>
      <c r="AB46" s="36" t="s">
        <v>63</v>
      </c>
      <c r="AC46" s="12">
        <v>2637</v>
      </c>
      <c r="AD46" s="12">
        <v>2638</v>
      </c>
      <c r="AE46" s="12">
        <v>2694</v>
      </c>
      <c r="AF46" s="12"/>
      <c r="AG46" s="11"/>
      <c r="AH46" s="47" t="s">
        <v>52</v>
      </c>
      <c r="AI46" s="11" t="s">
        <v>47</v>
      </c>
      <c r="AJ46" s="12"/>
      <c r="AK46" s="12"/>
      <c r="AL46" s="12"/>
      <c r="AM46" s="11"/>
      <c r="AN46" s="47" t="s">
        <v>47</v>
      </c>
      <c r="AO46" s="11">
        <v>3113</v>
      </c>
      <c r="AP46" s="11" t="s">
        <v>53</v>
      </c>
      <c r="AQ46" s="2">
        <v>1</v>
      </c>
    </row>
    <row r="47" s="4" customFormat="1" ht="12.75" spans="1:43">
      <c r="A47" s="37">
        <v>169202</v>
      </c>
      <c r="B47" s="37" t="s">
        <v>173</v>
      </c>
      <c r="C47" s="37"/>
      <c r="D47" s="37"/>
      <c r="E47" s="37"/>
      <c r="F47" s="12">
        <v>0</v>
      </c>
      <c r="G47" s="12">
        <v>0</v>
      </c>
      <c r="H47" s="37" t="s">
        <v>45</v>
      </c>
      <c r="I47" s="37" t="s">
        <v>45</v>
      </c>
      <c r="J47" s="37">
        <v>1</v>
      </c>
      <c r="K47" s="37" t="s">
        <v>46</v>
      </c>
      <c r="L47" s="47" t="s">
        <v>47</v>
      </c>
      <c r="M47" s="48">
        <v>1040102</v>
      </c>
      <c r="N47" s="37" t="s">
        <v>45</v>
      </c>
      <c r="O47" s="47" t="s">
        <v>48</v>
      </c>
      <c r="P47" s="37">
        <v>1692</v>
      </c>
      <c r="Q47" s="12">
        <v>528</v>
      </c>
      <c r="R47" s="12">
        <v>432</v>
      </c>
      <c r="S47" s="37">
        <v>22</v>
      </c>
      <c r="T47" s="37">
        <v>57</v>
      </c>
      <c r="U47" s="37">
        <v>4</v>
      </c>
      <c r="V47" s="37"/>
      <c r="W47" s="47" t="s">
        <v>47</v>
      </c>
      <c r="X47" s="47" t="s">
        <v>64</v>
      </c>
      <c r="Y47" s="47" t="s">
        <v>173</v>
      </c>
      <c r="Z47" s="37" t="s">
        <v>68</v>
      </c>
      <c r="AA47" s="37"/>
      <c r="AB47" s="37" t="s">
        <v>173</v>
      </c>
      <c r="AC47" s="37">
        <v>2352</v>
      </c>
      <c r="AD47" s="37" t="s">
        <v>51</v>
      </c>
      <c r="AE47" s="37" t="s">
        <v>51</v>
      </c>
      <c r="AF47" s="37" t="s">
        <v>51</v>
      </c>
      <c r="AG47" s="37"/>
      <c r="AH47" s="47" t="s">
        <v>52</v>
      </c>
      <c r="AI47" s="37" t="s">
        <v>47</v>
      </c>
      <c r="AJ47" s="37"/>
      <c r="AK47" s="37"/>
      <c r="AL47" s="37"/>
      <c r="AM47" s="37"/>
      <c r="AN47" s="47" t="s">
        <v>47</v>
      </c>
      <c r="AO47" s="37">
        <v>3101</v>
      </c>
      <c r="AP47" s="37" t="s">
        <v>53</v>
      </c>
      <c r="AQ47" s="2">
        <v>0</v>
      </c>
    </row>
    <row r="48" s="5" customFormat="1" spans="1:43">
      <c r="A48" s="13">
        <v>169203</v>
      </c>
      <c r="B48" s="39" t="s">
        <v>69</v>
      </c>
      <c r="C48" s="13"/>
      <c r="D48" s="13"/>
      <c r="E48" s="13"/>
      <c r="F48" s="11">
        <v>0</v>
      </c>
      <c r="G48" s="11">
        <v>0</v>
      </c>
      <c r="H48" s="13" t="s">
        <v>45</v>
      </c>
      <c r="I48" s="13" t="s">
        <v>45</v>
      </c>
      <c r="J48" s="13">
        <v>1</v>
      </c>
      <c r="K48" s="13" t="s">
        <v>46</v>
      </c>
      <c r="L48" s="47" t="s">
        <v>47</v>
      </c>
      <c r="M48" s="13">
        <v>1030009</v>
      </c>
      <c r="N48" s="13">
        <v>0</v>
      </c>
      <c r="O48" s="47" t="s">
        <v>48</v>
      </c>
      <c r="P48" s="13">
        <v>1692</v>
      </c>
      <c r="Q48" s="13">
        <v>1092</v>
      </c>
      <c r="R48" s="13">
        <v>761</v>
      </c>
      <c r="S48" s="13">
        <v>49</v>
      </c>
      <c r="T48" s="13">
        <v>99</v>
      </c>
      <c r="U48" s="13">
        <v>3</v>
      </c>
      <c r="V48" s="13"/>
      <c r="W48" s="47" t="s">
        <v>47</v>
      </c>
      <c r="X48" s="47" t="s">
        <v>70</v>
      </c>
      <c r="Y48" s="47" t="s">
        <v>69</v>
      </c>
      <c r="Z48" s="13"/>
      <c r="AA48" s="13"/>
      <c r="AB48" s="13" t="s">
        <v>71</v>
      </c>
      <c r="AC48" s="13">
        <v>2470</v>
      </c>
      <c r="AD48" s="13">
        <v>2360</v>
      </c>
      <c r="AE48" s="13" t="s">
        <v>51</v>
      </c>
      <c r="AF48" s="13" t="s">
        <v>51</v>
      </c>
      <c r="AG48" s="13"/>
      <c r="AH48" s="47" t="s">
        <v>52</v>
      </c>
      <c r="AI48" s="13">
        <v>0</v>
      </c>
      <c r="AJ48" s="13" t="s">
        <v>72</v>
      </c>
      <c r="AK48" s="13"/>
      <c r="AL48" s="13"/>
      <c r="AM48" s="13"/>
      <c r="AN48" s="47" t="s">
        <v>47</v>
      </c>
      <c r="AO48" s="13"/>
      <c r="AP48" s="13" t="s">
        <v>53</v>
      </c>
      <c r="AQ48" s="2">
        <v>0</v>
      </c>
    </row>
    <row r="49" s="2" customFormat="1" spans="1:43">
      <c r="A49" s="11">
        <v>169204</v>
      </c>
      <c r="B49" s="45" t="s">
        <v>174</v>
      </c>
      <c r="C49" s="11"/>
      <c r="D49" s="11"/>
      <c r="E49" s="11"/>
      <c r="F49" s="11">
        <v>0</v>
      </c>
      <c r="G49" s="11" t="s">
        <v>47</v>
      </c>
      <c r="H49" s="11" t="s">
        <v>45</v>
      </c>
      <c r="I49" s="11" t="s">
        <v>45</v>
      </c>
      <c r="J49" s="11">
        <v>0</v>
      </c>
      <c r="K49" s="11" t="s">
        <v>46</v>
      </c>
      <c r="L49" s="47" t="s">
        <v>47</v>
      </c>
      <c r="M49" s="11">
        <v>1030024</v>
      </c>
      <c r="N49" s="11" t="s">
        <v>45</v>
      </c>
      <c r="O49" s="47" t="s">
        <v>48</v>
      </c>
      <c r="P49" s="11">
        <v>1692</v>
      </c>
      <c r="Q49" s="12">
        <v>526</v>
      </c>
      <c r="R49" s="12">
        <v>2147</v>
      </c>
      <c r="S49" s="11">
        <v>32</v>
      </c>
      <c r="T49" s="11">
        <v>134</v>
      </c>
      <c r="U49" s="11">
        <v>3</v>
      </c>
      <c r="V49" s="11"/>
      <c r="W49" s="47" t="s">
        <v>47</v>
      </c>
      <c r="X49" s="47" t="s">
        <v>175</v>
      </c>
      <c r="Y49" s="47" t="s">
        <v>174</v>
      </c>
      <c r="Z49" s="11" t="s">
        <v>176</v>
      </c>
      <c r="AA49" s="11"/>
      <c r="AB49" s="11" t="s">
        <v>176</v>
      </c>
      <c r="AC49" s="11">
        <v>2800</v>
      </c>
      <c r="AD49" s="11"/>
      <c r="AE49" s="11"/>
      <c r="AF49" s="11"/>
      <c r="AG49" s="11"/>
      <c r="AH49" s="47" t="s">
        <v>52</v>
      </c>
      <c r="AI49" s="11" t="s">
        <v>47</v>
      </c>
      <c r="AJ49" s="12" t="s">
        <v>177</v>
      </c>
      <c r="AK49" s="12" t="s">
        <v>178</v>
      </c>
      <c r="AL49" s="12" t="s">
        <v>179</v>
      </c>
      <c r="AM49" s="11" t="s">
        <v>180</v>
      </c>
      <c r="AN49" s="58">
        <v>0</v>
      </c>
      <c r="AO49" s="11"/>
      <c r="AP49" s="11" t="s">
        <v>53</v>
      </c>
      <c r="AQ49" s="2">
        <v>0</v>
      </c>
    </row>
    <row r="50" s="2" customFormat="1" ht="12.75" spans="1:43">
      <c r="A50" s="11">
        <v>169205</v>
      </c>
      <c r="B50" s="11" t="s">
        <v>181</v>
      </c>
      <c r="C50" s="11"/>
      <c r="D50" s="11"/>
      <c r="E50" s="11"/>
      <c r="F50" s="12">
        <v>0</v>
      </c>
      <c r="G50" s="12">
        <v>0</v>
      </c>
      <c r="H50" s="11" t="s">
        <v>45</v>
      </c>
      <c r="I50" s="11" t="s">
        <v>45</v>
      </c>
      <c r="J50" s="11">
        <v>0</v>
      </c>
      <c r="K50" s="11" t="s">
        <v>46</v>
      </c>
      <c r="L50" s="47" t="s">
        <v>47</v>
      </c>
      <c r="M50" s="50">
        <v>1020118</v>
      </c>
      <c r="N50" s="11" t="s">
        <v>45</v>
      </c>
      <c r="O50" s="47" t="s">
        <v>48</v>
      </c>
      <c r="P50" s="11">
        <v>1692</v>
      </c>
      <c r="Q50" s="12">
        <v>516</v>
      </c>
      <c r="R50" s="12">
        <v>524</v>
      </c>
      <c r="S50" s="12">
        <v>70</v>
      </c>
      <c r="T50" s="12">
        <v>115</v>
      </c>
      <c r="U50" s="11">
        <v>3</v>
      </c>
      <c r="V50" s="11"/>
      <c r="W50" s="47" t="s">
        <v>47</v>
      </c>
      <c r="X50" s="47" t="s">
        <v>64</v>
      </c>
      <c r="Y50" s="47" t="s">
        <v>181</v>
      </c>
      <c r="Z50" s="11" t="s">
        <v>74</v>
      </c>
      <c r="AA50" s="11"/>
      <c r="AB50" s="11" t="s">
        <v>181</v>
      </c>
      <c r="AC50" s="11">
        <v>2074</v>
      </c>
      <c r="AD50" s="11">
        <v>2072</v>
      </c>
      <c r="AE50" s="11">
        <v>2073</v>
      </c>
      <c r="AF50" s="11">
        <v>2458</v>
      </c>
      <c r="AG50" s="11"/>
      <c r="AH50" s="47" t="s">
        <v>52</v>
      </c>
      <c r="AI50" s="11" t="s">
        <v>47</v>
      </c>
      <c r="AJ50" s="12" t="s">
        <v>177</v>
      </c>
      <c r="AK50" s="12" t="s">
        <v>178</v>
      </c>
      <c r="AL50" s="12" t="s">
        <v>179</v>
      </c>
      <c r="AM50" s="11" t="s">
        <v>180</v>
      </c>
      <c r="AN50" s="47" t="s">
        <v>47</v>
      </c>
      <c r="AO50" s="11"/>
      <c r="AP50" s="11" t="s">
        <v>53</v>
      </c>
      <c r="AQ50" s="2">
        <v>0</v>
      </c>
    </row>
    <row r="51" s="3" customFormat="1" spans="1:43">
      <c r="A51" s="12">
        <v>13109</v>
      </c>
      <c r="B51" s="45" t="s">
        <v>182</v>
      </c>
      <c r="C51" s="12"/>
      <c r="D51" s="12"/>
      <c r="E51" s="12"/>
      <c r="F51" s="11">
        <v>0</v>
      </c>
      <c r="G51" s="11" t="s">
        <v>47</v>
      </c>
      <c r="H51" s="12" t="s">
        <v>45</v>
      </c>
      <c r="I51" s="12" t="s">
        <v>45</v>
      </c>
      <c r="J51" s="12">
        <v>1</v>
      </c>
      <c r="K51" s="12" t="s">
        <v>46</v>
      </c>
      <c r="L51" s="47" t="s">
        <v>47</v>
      </c>
      <c r="M51" s="12">
        <v>1020105</v>
      </c>
      <c r="N51" s="12" t="s">
        <v>45</v>
      </c>
      <c r="O51" s="47" t="s">
        <v>48</v>
      </c>
      <c r="P51" s="12">
        <v>1607</v>
      </c>
      <c r="Q51" s="12">
        <v>3074</v>
      </c>
      <c r="R51" s="12">
        <v>3196</v>
      </c>
      <c r="S51" s="11">
        <v>192</v>
      </c>
      <c r="T51" s="11">
        <v>199</v>
      </c>
      <c r="U51" s="12">
        <v>5</v>
      </c>
      <c r="V51" s="12"/>
      <c r="W51" s="47" t="s">
        <v>47</v>
      </c>
      <c r="X51" s="47" t="s">
        <v>138</v>
      </c>
      <c r="Y51" s="47" t="s">
        <v>182</v>
      </c>
      <c r="Z51" s="12" t="s">
        <v>183</v>
      </c>
      <c r="AA51" s="12" t="s">
        <v>59</v>
      </c>
      <c r="AB51" s="12" t="s">
        <v>184</v>
      </c>
      <c r="AC51" s="12">
        <v>2468</v>
      </c>
      <c r="AD51" s="12" t="s">
        <v>51</v>
      </c>
      <c r="AE51" s="12" t="s">
        <v>51</v>
      </c>
      <c r="AF51" s="12" t="s">
        <v>51</v>
      </c>
      <c r="AG51" s="12"/>
      <c r="AH51" s="47" t="s">
        <v>52</v>
      </c>
      <c r="AI51" s="12" t="s">
        <v>47</v>
      </c>
      <c r="AJ51" s="12" t="s">
        <v>171</v>
      </c>
      <c r="AK51" s="12"/>
      <c r="AL51" s="12"/>
      <c r="AM51" s="12"/>
      <c r="AN51" s="58">
        <v>0</v>
      </c>
      <c r="AO51" s="12"/>
      <c r="AP51" s="12" t="s">
        <v>53</v>
      </c>
      <c r="AQ51" s="2">
        <v>0</v>
      </c>
    </row>
    <row r="52" s="2" customFormat="1" spans="1:43">
      <c r="A52" s="11">
        <v>220501</v>
      </c>
      <c r="B52" s="45" t="s">
        <v>63</v>
      </c>
      <c r="C52" s="11"/>
      <c r="D52" s="11"/>
      <c r="E52" s="11"/>
      <c r="F52" s="11">
        <v>3</v>
      </c>
      <c r="G52" s="11">
        <v>3</v>
      </c>
      <c r="H52" s="11" t="s">
        <v>45</v>
      </c>
      <c r="I52" s="11" t="s">
        <v>45</v>
      </c>
      <c r="J52" s="11">
        <v>0</v>
      </c>
      <c r="K52" s="11" t="s">
        <v>46</v>
      </c>
      <c r="L52" s="47" t="s">
        <v>47</v>
      </c>
      <c r="M52" s="48">
        <v>1040105</v>
      </c>
      <c r="N52" s="11" t="s">
        <v>45</v>
      </c>
      <c r="O52" s="47" t="s">
        <v>48</v>
      </c>
      <c r="P52" s="12">
        <v>1607</v>
      </c>
      <c r="Q52" s="12">
        <v>3232</v>
      </c>
      <c r="R52" s="12">
        <v>3373</v>
      </c>
      <c r="S52" s="11">
        <v>202</v>
      </c>
      <c r="T52" s="11">
        <v>210</v>
      </c>
      <c r="U52" s="11">
        <v>3</v>
      </c>
      <c r="V52" s="11"/>
      <c r="W52" s="47" t="s">
        <v>47</v>
      </c>
      <c r="X52" s="47" t="s">
        <v>64</v>
      </c>
      <c r="Y52" s="47" t="s">
        <v>185</v>
      </c>
      <c r="Z52" s="11" t="s">
        <v>186</v>
      </c>
      <c r="AA52" s="11"/>
      <c r="AB52" s="11" t="s">
        <v>172</v>
      </c>
      <c r="AC52" s="12">
        <v>2637</v>
      </c>
      <c r="AD52" s="12">
        <v>2638</v>
      </c>
      <c r="AE52" s="12">
        <v>2694</v>
      </c>
      <c r="AF52" s="12"/>
      <c r="AG52" s="11"/>
      <c r="AH52" s="47" t="s">
        <v>52</v>
      </c>
      <c r="AI52" s="11" t="s">
        <v>47</v>
      </c>
      <c r="AJ52" s="12"/>
      <c r="AK52" s="12"/>
      <c r="AL52" s="12"/>
      <c r="AM52" s="11"/>
      <c r="AN52" s="58">
        <v>0</v>
      </c>
      <c r="AO52" s="11">
        <v>3113</v>
      </c>
      <c r="AP52" s="11" t="s">
        <v>53</v>
      </c>
      <c r="AQ52" s="2">
        <v>1</v>
      </c>
    </row>
    <row r="53" s="4" customFormat="1" spans="1:43">
      <c r="A53" s="37">
        <v>220502</v>
      </c>
      <c r="B53" s="45" t="s">
        <v>187</v>
      </c>
      <c r="C53" s="37"/>
      <c r="D53" s="37"/>
      <c r="E53" s="37"/>
      <c r="F53" s="11">
        <v>0</v>
      </c>
      <c r="G53" s="11" t="s">
        <v>47</v>
      </c>
      <c r="H53" s="37" t="s">
        <v>45</v>
      </c>
      <c r="I53" s="37" t="s">
        <v>45</v>
      </c>
      <c r="J53" s="37">
        <v>1</v>
      </c>
      <c r="K53" s="37" t="s">
        <v>46</v>
      </c>
      <c r="L53" s="47" t="s">
        <v>47</v>
      </c>
      <c r="M53" s="56">
        <v>1011107</v>
      </c>
      <c r="N53" s="37" t="s">
        <v>45</v>
      </c>
      <c r="O53" s="47" t="s">
        <v>48</v>
      </c>
      <c r="P53" s="12">
        <v>1607</v>
      </c>
      <c r="Q53" s="13">
        <v>3438</v>
      </c>
      <c r="R53" s="13">
        <v>3601</v>
      </c>
      <c r="S53" s="11">
        <v>214</v>
      </c>
      <c r="T53" s="11">
        <v>225</v>
      </c>
      <c r="U53" s="37">
        <v>4</v>
      </c>
      <c r="V53" s="37"/>
      <c r="W53" s="47" t="s">
        <v>47</v>
      </c>
      <c r="X53" s="47" t="s">
        <v>64</v>
      </c>
      <c r="Y53" s="47" t="s">
        <v>187</v>
      </c>
      <c r="Z53" s="37" t="s">
        <v>68</v>
      </c>
      <c r="AA53" s="37"/>
      <c r="AB53" s="37" t="s">
        <v>188</v>
      </c>
      <c r="AC53" s="37">
        <v>2352</v>
      </c>
      <c r="AD53" s="37" t="s">
        <v>51</v>
      </c>
      <c r="AE53" s="37" t="s">
        <v>51</v>
      </c>
      <c r="AF53" s="37" t="s">
        <v>51</v>
      </c>
      <c r="AG53" s="37"/>
      <c r="AH53" s="47" t="s">
        <v>52</v>
      </c>
      <c r="AI53" s="37" t="s">
        <v>47</v>
      </c>
      <c r="AJ53" s="37"/>
      <c r="AK53" s="37"/>
      <c r="AL53" s="37"/>
      <c r="AM53" s="37"/>
      <c r="AN53" s="58">
        <v>0</v>
      </c>
      <c r="AO53" s="37">
        <v>3101</v>
      </c>
      <c r="AP53" s="37" t="s">
        <v>53</v>
      </c>
      <c r="AQ53" s="2">
        <v>0</v>
      </c>
    </row>
    <row r="54" s="5" customFormat="1" spans="1:43">
      <c r="A54" s="13">
        <v>220503</v>
      </c>
      <c r="B54" s="45" t="s">
        <v>71</v>
      </c>
      <c r="C54" s="13"/>
      <c r="D54" s="13"/>
      <c r="E54" s="13"/>
      <c r="F54" s="11">
        <v>0</v>
      </c>
      <c r="G54" s="11" t="s">
        <v>47</v>
      </c>
      <c r="H54" s="13" t="s">
        <v>45</v>
      </c>
      <c r="I54" s="13" t="s">
        <v>45</v>
      </c>
      <c r="J54" s="13">
        <v>1</v>
      </c>
      <c r="K54" s="13" t="s">
        <v>46</v>
      </c>
      <c r="L54" s="47" t="s">
        <v>47</v>
      </c>
      <c r="M54" s="13">
        <v>1020133</v>
      </c>
      <c r="N54" s="13">
        <v>0</v>
      </c>
      <c r="O54" s="47" t="s">
        <v>48</v>
      </c>
      <c r="P54" s="12">
        <v>1607</v>
      </c>
      <c r="Q54" s="13">
        <v>3024</v>
      </c>
      <c r="R54" s="13">
        <v>3283</v>
      </c>
      <c r="S54" s="11">
        <v>189</v>
      </c>
      <c r="T54" s="11">
        <v>205</v>
      </c>
      <c r="U54" s="13">
        <v>3</v>
      </c>
      <c r="V54" s="13"/>
      <c r="W54" s="47" t="s">
        <v>47</v>
      </c>
      <c r="X54" s="47" t="s">
        <v>70</v>
      </c>
      <c r="Y54" s="47" t="s">
        <v>71</v>
      </c>
      <c r="Z54" s="13"/>
      <c r="AA54" s="13"/>
      <c r="AB54" s="13" t="s">
        <v>189</v>
      </c>
      <c r="AC54" s="13">
        <v>2470</v>
      </c>
      <c r="AD54" s="13">
        <v>2360</v>
      </c>
      <c r="AE54" s="13" t="s">
        <v>51</v>
      </c>
      <c r="AF54" s="13" t="s">
        <v>51</v>
      </c>
      <c r="AG54" s="13"/>
      <c r="AH54" s="47" t="s">
        <v>52</v>
      </c>
      <c r="AI54" s="13">
        <v>0</v>
      </c>
      <c r="AJ54" s="13" t="s">
        <v>72</v>
      </c>
      <c r="AK54" s="13"/>
      <c r="AL54" s="13"/>
      <c r="AM54" s="13"/>
      <c r="AN54" s="58">
        <v>0</v>
      </c>
      <c r="AO54" s="13"/>
      <c r="AP54" s="13" t="s">
        <v>53</v>
      </c>
      <c r="AQ54" s="2">
        <v>0</v>
      </c>
    </row>
    <row r="55" s="2" customFormat="1" spans="1:43">
      <c r="A55" s="11">
        <v>220505</v>
      </c>
      <c r="B55" s="45" t="s">
        <v>74</v>
      </c>
      <c r="C55" s="11"/>
      <c r="D55" s="11"/>
      <c r="E55" s="11"/>
      <c r="F55" s="11">
        <v>0</v>
      </c>
      <c r="G55" s="11" t="s">
        <v>47</v>
      </c>
      <c r="H55" s="11" t="s">
        <v>45</v>
      </c>
      <c r="I55" s="11" t="s">
        <v>45</v>
      </c>
      <c r="J55" s="11">
        <v>0</v>
      </c>
      <c r="K55" s="11" t="s">
        <v>46</v>
      </c>
      <c r="L55" s="47" t="s">
        <v>47</v>
      </c>
      <c r="M55" s="11">
        <v>1020122</v>
      </c>
      <c r="N55" s="11" t="s">
        <v>45</v>
      </c>
      <c r="O55" s="47" t="s">
        <v>48</v>
      </c>
      <c r="P55" s="12">
        <v>1607</v>
      </c>
      <c r="Q55" s="12">
        <v>3160</v>
      </c>
      <c r="R55" s="12">
        <v>3185</v>
      </c>
      <c r="S55" s="11">
        <v>197</v>
      </c>
      <c r="T55" s="11">
        <v>199</v>
      </c>
      <c r="U55" s="11">
        <v>3</v>
      </c>
      <c r="V55" s="11"/>
      <c r="W55" s="47" t="s">
        <v>47</v>
      </c>
      <c r="X55" s="47" t="s">
        <v>64</v>
      </c>
      <c r="Y55" s="47" t="s">
        <v>74</v>
      </c>
      <c r="Z55" s="11" t="s">
        <v>190</v>
      </c>
      <c r="AA55" s="11"/>
      <c r="AB55" s="11" t="s">
        <v>190</v>
      </c>
      <c r="AC55" s="11">
        <v>2074</v>
      </c>
      <c r="AD55" s="11">
        <v>2072</v>
      </c>
      <c r="AE55" s="11">
        <v>2073</v>
      </c>
      <c r="AF55" s="11">
        <v>2458</v>
      </c>
      <c r="AG55" s="11"/>
      <c r="AH55" s="47" t="s">
        <v>52</v>
      </c>
      <c r="AI55" s="11" t="s">
        <v>47</v>
      </c>
      <c r="AJ55" s="12" t="s">
        <v>177</v>
      </c>
      <c r="AK55" s="12" t="s">
        <v>178</v>
      </c>
      <c r="AL55" s="12" t="s">
        <v>179</v>
      </c>
      <c r="AM55" s="11" t="s">
        <v>180</v>
      </c>
      <c r="AN55" s="58">
        <v>0</v>
      </c>
      <c r="AO55" s="11"/>
      <c r="AP55" s="11" t="s">
        <v>53</v>
      </c>
      <c r="AQ55" s="2">
        <v>0</v>
      </c>
    </row>
    <row r="56" s="3" customFormat="1" spans="1:43">
      <c r="A56" s="12">
        <v>13110</v>
      </c>
      <c r="B56" s="45" t="s">
        <v>191</v>
      </c>
      <c r="C56" s="12"/>
      <c r="D56" s="12"/>
      <c r="E56" s="12"/>
      <c r="F56" s="11">
        <v>0</v>
      </c>
      <c r="G56" s="11" t="s">
        <v>47</v>
      </c>
      <c r="H56" s="12" t="s">
        <v>45</v>
      </c>
      <c r="I56" s="12" t="s">
        <v>45</v>
      </c>
      <c r="J56" s="12">
        <v>1</v>
      </c>
      <c r="K56" s="12" t="s">
        <v>46</v>
      </c>
      <c r="L56" s="47" t="s">
        <v>47</v>
      </c>
      <c r="M56" s="12">
        <v>1020122</v>
      </c>
      <c r="N56" s="12" t="s">
        <v>45</v>
      </c>
      <c r="O56" s="47" t="s">
        <v>48</v>
      </c>
      <c r="P56" s="12">
        <v>2205</v>
      </c>
      <c r="Q56" s="12">
        <v>1031</v>
      </c>
      <c r="R56" s="12">
        <v>985</v>
      </c>
      <c r="S56" s="11">
        <v>64</v>
      </c>
      <c r="T56" s="11">
        <v>61</v>
      </c>
      <c r="U56" s="12">
        <v>5</v>
      </c>
      <c r="V56" s="12"/>
      <c r="W56" s="47" t="s">
        <v>47</v>
      </c>
      <c r="X56" s="47" t="s">
        <v>138</v>
      </c>
      <c r="Y56" s="47" t="s">
        <v>191</v>
      </c>
      <c r="Z56" s="12" t="s">
        <v>192</v>
      </c>
      <c r="AA56" s="12" t="s">
        <v>59</v>
      </c>
      <c r="AB56" s="12" t="s">
        <v>184</v>
      </c>
      <c r="AC56" s="12">
        <v>2468</v>
      </c>
      <c r="AD56" s="12" t="s">
        <v>51</v>
      </c>
      <c r="AE56" s="12" t="s">
        <v>51</v>
      </c>
      <c r="AF56" s="12" t="s">
        <v>51</v>
      </c>
      <c r="AG56" s="12"/>
      <c r="AH56" s="47" t="s">
        <v>52</v>
      </c>
      <c r="AI56" s="12" t="s">
        <v>47</v>
      </c>
      <c r="AJ56" s="12" t="s">
        <v>171</v>
      </c>
      <c r="AK56" s="12"/>
      <c r="AL56" s="12"/>
      <c r="AM56" s="12"/>
      <c r="AN56" s="58">
        <v>0</v>
      </c>
      <c r="AO56" s="12"/>
      <c r="AP56" s="12" t="s">
        <v>53</v>
      </c>
      <c r="AQ56" s="2">
        <v>0</v>
      </c>
    </row>
    <row r="57" s="2" customFormat="1" spans="1:43">
      <c r="A57" s="11">
        <v>220601</v>
      </c>
      <c r="B57" s="45" t="s">
        <v>63</v>
      </c>
      <c r="C57" s="11"/>
      <c r="D57" s="11"/>
      <c r="E57" s="11"/>
      <c r="F57" s="11">
        <v>3</v>
      </c>
      <c r="G57" s="11">
        <v>3</v>
      </c>
      <c r="H57" s="11" t="s">
        <v>45</v>
      </c>
      <c r="I57" s="11" t="s">
        <v>45</v>
      </c>
      <c r="J57" s="11">
        <v>0</v>
      </c>
      <c r="K57" s="11" t="s">
        <v>46</v>
      </c>
      <c r="L57" s="47" t="s">
        <v>47</v>
      </c>
      <c r="M57" s="48">
        <v>1040105</v>
      </c>
      <c r="N57" s="11" t="s">
        <v>45</v>
      </c>
      <c r="O57" s="47" t="s">
        <v>48</v>
      </c>
      <c r="P57" s="12">
        <v>2205</v>
      </c>
      <c r="Q57" s="12">
        <v>776</v>
      </c>
      <c r="R57" s="12">
        <v>1207</v>
      </c>
      <c r="S57" s="11">
        <v>48</v>
      </c>
      <c r="T57" s="11">
        <v>75</v>
      </c>
      <c r="U57" s="11">
        <v>3</v>
      </c>
      <c r="V57" s="11"/>
      <c r="W57" s="47" t="s">
        <v>47</v>
      </c>
      <c r="X57" s="47" t="s">
        <v>64</v>
      </c>
      <c r="Y57" s="47" t="s">
        <v>193</v>
      </c>
      <c r="Z57" s="11" t="s">
        <v>194</v>
      </c>
      <c r="AA57" s="11"/>
      <c r="AB57" s="11" t="s">
        <v>172</v>
      </c>
      <c r="AC57" s="12">
        <v>2637</v>
      </c>
      <c r="AD57" s="12">
        <v>2638</v>
      </c>
      <c r="AE57" s="12">
        <v>2694</v>
      </c>
      <c r="AF57" s="12"/>
      <c r="AG57" s="11"/>
      <c r="AH57" s="47" t="s">
        <v>52</v>
      </c>
      <c r="AI57" s="11" t="s">
        <v>47</v>
      </c>
      <c r="AJ57" s="12"/>
      <c r="AK57" s="12"/>
      <c r="AL57" s="12"/>
      <c r="AM57" s="11"/>
      <c r="AN57" s="58">
        <v>0</v>
      </c>
      <c r="AO57" s="11">
        <v>3113</v>
      </c>
      <c r="AP57" s="11" t="s">
        <v>53</v>
      </c>
      <c r="AQ57" s="2">
        <v>1</v>
      </c>
    </row>
    <row r="58" s="4" customFormat="1" spans="1:43">
      <c r="A58" s="37">
        <v>220602</v>
      </c>
      <c r="B58" s="45" t="s">
        <v>195</v>
      </c>
      <c r="C58" s="37"/>
      <c r="D58" s="37"/>
      <c r="E58" s="37"/>
      <c r="F58" s="11">
        <v>0</v>
      </c>
      <c r="G58" s="11" t="s">
        <v>47</v>
      </c>
      <c r="H58" s="37" t="s">
        <v>45</v>
      </c>
      <c r="I58" s="37" t="s">
        <v>45</v>
      </c>
      <c r="J58" s="37">
        <v>1</v>
      </c>
      <c r="K58" s="37" t="s">
        <v>46</v>
      </c>
      <c r="L58" s="47" t="s">
        <v>47</v>
      </c>
      <c r="M58" s="56">
        <v>1011105</v>
      </c>
      <c r="N58" s="37" t="s">
        <v>45</v>
      </c>
      <c r="O58" s="47" t="s">
        <v>48</v>
      </c>
      <c r="P58" s="12">
        <v>2205</v>
      </c>
      <c r="Q58" s="12">
        <v>600</v>
      </c>
      <c r="R58" s="12">
        <v>1368</v>
      </c>
      <c r="S58" s="11">
        <v>37</v>
      </c>
      <c r="T58" s="11">
        <v>85</v>
      </c>
      <c r="U58" s="37">
        <v>4</v>
      </c>
      <c r="V58" s="37"/>
      <c r="W58" s="47" t="s">
        <v>47</v>
      </c>
      <c r="X58" s="47" t="s">
        <v>64</v>
      </c>
      <c r="Y58" s="47" t="s">
        <v>195</v>
      </c>
      <c r="Z58" s="37" t="s">
        <v>68</v>
      </c>
      <c r="AA58" s="37"/>
      <c r="AB58" s="37" t="s">
        <v>188</v>
      </c>
      <c r="AC58" s="37">
        <v>2352</v>
      </c>
      <c r="AD58" s="37" t="s">
        <v>51</v>
      </c>
      <c r="AE58" s="37" t="s">
        <v>51</v>
      </c>
      <c r="AF58" s="37" t="s">
        <v>51</v>
      </c>
      <c r="AG58" s="37"/>
      <c r="AH58" s="47" t="s">
        <v>52</v>
      </c>
      <c r="AI58" s="37" t="s">
        <v>47</v>
      </c>
      <c r="AJ58" s="37"/>
      <c r="AK58" s="37"/>
      <c r="AL58" s="37"/>
      <c r="AM58" s="37"/>
      <c r="AN58" s="58">
        <v>0</v>
      </c>
      <c r="AO58" s="37">
        <v>3101</v>
      </c>
      <c r="AP58" s="37" t="s">
        <v>53</v>
      </c>
      <c r="AQ58" s="2">
        <v>0</v>
      </c>
    </row>
    <row r="59" s="5" customFormat="1" spans="1:43">
      <c r="A59" s="13">
        <v>220603</v>
      </c>
      <c r="B59" s="45" t="s">
        <v>71</v>
      </c>
      <c r="C59" s="13"/>
      <c r="D59" s="13"/>
      <c r="E59" s="13"/>
      <c r="F59" s="11">
        <v>0</v>
      </c>
      <c r="G59" s="11" t="s">
        <v>47</v>
      </c>
      <c r="H59" s="13" t="s">
        <v>45</v>
      </c>
      <c r="I59" s="13" t="s">
        <v>45</v>
      </c>
      <c r="J59" s="13">
        <v>1</v>
      </c>
      <c r="K59" s="13" t="s">
        <v>46</v>
      </c>
      <c r="L59" s="47" t="s">
        <v>47</v>
      </c>
      <c r="M59" s="13">
        <v>1020133</v>
      </c>
      <c r="N59" s="13">
        <v>0</v>
      </c>
      <c r="O59" s="47" t="s">
        <v>48</v>
      </c>
      <c r="P59" s="12">
        <v>2205</v>
      </c>
      <c r="Q59" s="13">
        <v>682</v>
      </c>
      <c r="R59" s="13">
        <v>1017</v>
      </c>
      <c r="S59" s="11">
        <v>42</v>
      </c>
      <c r="T59" s="11">
        <v>63</v>
      </c>
      <c r="U59" s="13">
        <v>3</v>
      </c>
      <c r="V59" s="13"/>
      <c r="W59" s="47" t="s">
        <v>47</v>
      </c>
      <c r="X59" s="47" t="s">
        <v>70</v>
      </c>
      <c r="Y59" s="47" t="s">
        <v>71</v>
      </c>
      <c r="Z59" s="13"/>
      <c r="AA59" s="13"/>
      <c r="AB59" s="13" t="s">
        <v>189</v>
      </c>
      <c r="AC59" s="13">
        <v>2470</v>
      </c>
      <c r="AD59" s="13">
        <v>2360</v>
      </c>
      <c r="AE59" s="13" t="s">
        <v>51</v>
      </c>
      <c r="AF59" s="13" t="s">
        <v>51</v>
      </c>
      <c r="AG59" s="13"/>
      <c r="AH59" s="47" t="s">
        <v>52</v>
      </c>
      <c r="AI59" s="13">
        <v>0</v>
      </c>
      <c r="AJ59" s="13" t="s">
        <v>72</v>
      </c>
      <c r="AK59" s="13"/>
      <c r="AL59" s="13"/>
      <c r="AM59" s="13"/>
      <c r="AN59" s="58">
        <v>0</v>
      </c>
      <c r="AO59" s="13"/>
      <c r="AP59" s="13" t="s">
        <v>53</v>
      </c>
      <c r="AQ59" s="2">
        <v>0</v>
      </c>
    </row>
    <row r="60" s="2" customFormat="1" spans="1:43">
      <c r="A60" s="11">
        <v>220605</v>
      </c>
      <c r="B60" s="45" t="s">
        <v>74</v>
      </c>
      <c r="C60" s="11"/>
      <c r="D60" s="11"/>
      <c r="E60" s="11"/>
      <c r="F60" s="11">
        <v>0</v>
      </c>
      <c r="G60" s="11" t="s">
        <v>47</v>
      </c>
      <c r="H60" s="11" t="s">
        <v>45</v>
      </c>
      <c r="I60" s="11" t="s">
        <v>45</v>
      </c>
      <c r="J60" s="11">
        <v>0</v>
      </c>
      <c r="K60" s="11" t="s">
        <v>46</v>
      </c>
      <c r="L60" s="47" t="s">
        <v>47</v>
      </c>
      <c r="M60" s="11">
        <v>1020122</v>
      </c>
      <c r="N60" s="11" t="s">
        <v>45</v>
      </c>
      <c r="O60" s="47" t="s">
        <v>48</v>
      </c>
      <c r="P60" s="12">
        <v>2205</v>
      </c>
      <c r="Q60" s="12">
        <v>884</v>
      </c>
      <c r="R60" s="12">
        <v>982</v>
      </c>
      <c r="S60" s="11">
        <v>55</v>
      </c>
      <c r="T60" s="11">
        <v>61</v>
      </c>
      <c r="U60" s="11">
        <v>3</v>
      </c>
      <c r="V60" s="11"/>
      <c r="W60" s="47" t="s">
        <v>47</v>
      </c>
      <c r="X60" s="47" t="s">
        <v>64</v>
      </c>
      <c r="Y60" s="47" t="s">
        <v>74</v>
      </c>
      <c r="Z60" s="11" t="s">
        <v>190</v>
      </c>
      <c r="AA60" s="11"/>
      <c r="AB60" s="11" t="s">
        <v>190</v>
      </c>
      <c r="AC60" s="11">
        <v>2074</v>
      </c>
      <c r="AD60" s="11">
        <v>2072</v>
      </c>
      <c r="AE60" s="11">
        <v>2073</v>
      </c>
      <c r="AF60" s="11">
        <v>2458</v>
      </c>
      <c r="AG60" s="11"/>
      <c r="AH60" s="47" t="s">
        <v>52</v>
      </c>
      <c r="AI60" s="11" t="s">
        <v>47</v>
      </c>
      <c r="AJ60" s="12" t="s">
        <v>177</v>
      </c>
      <c r="AK60" s="12" t="s">
        <v>178</v>
      </c>
      <c r="AL60" s="12" t="s">
        <v>179</v>
      </c>
      <c r="AM60" s="11" t="s">
        <v>180</v>
      </c>
      <c r="AN60" s="58">
        <v>0</v>
      </c>
      <c r="AO60" s="11"/>
      <c r="AP60" s="11" t="s">
        <v>53</v>
      </c>
      <c r="AQ60" s="2">
        <v>0</v>
      </c>
    </row>
    <row r="61" s="3" customFormat="1" spans="1:43">
      <c r="A61" s="12">
        <v>13111</v>
      </c>
      <c r="B61" s="45" t="s">
        <v>196</v>
      </c>
      <c r="C61" s="12"/>
      <c r="D61" s="12"/>
      <c r="E61" s="12"/>
      <c r="F61" s="11">
        <v>0</v>
      </c>
      <c r="G61" s="11" t="s">
        <v>47</v>
      </c>
      <c r="H61" s="12" t="s">
        <v>45</v>
      </c>
      <c r="I61" s="12" t="s">
        <v>45</v>
      </c>
      <c r="J61" s="12">
        <v>1</v>
      </c>
      <c r="K61" s="12" t="s">
        <v>46</v>
      </c>
      <c r="L61" s="47" t="s">
        <v>47</v>
      </c>
      <c r="M61" s="12">
        <v>1000110</v>
      </c>
      <c r="N61" s="12" t="s">
        <v>45</v>
      </c>
      <c r="O61" s="47" t="s">
        <v>48</v>
      </c>
      <c r="P61" s="12">
        <v>1611</v>
      </c>
      <c r="Q61" s="12">
        <v>3432</v>
      </c>
      <c r="R61" s="12">
        <v>426</v>
      </c>
      <c r="S61" s="11">
        <v>214</v>
      </c>
      <c r="T61" s="11">
        <v>26</v>
      </c>
      <c r="U61" s="12">
        <v>5</v>
      </c>
      <c r="V61" s="12"/>
      <c r="W61" s="47" t="s">
        <v>47</v>
      </c>
      <c r="X61" s="47" t="s">
        <v>138</v>
      </c>
      <c r="Y61" s="47" t="s">
        <v>196</v>
      </c>
      <c r="Z61" s="12" t="s">
        <v>197</v>
      </c>
      <c r="AA61" s="12" t="s">
        <v>59</v>
      </c>
      <c r="AB61" s="12" t="s">
        <v>184</v>
      </c>
      <c r="AC61" s="12">
        <v>2468</v>
      </c>
      <c r="AD61" s="12" t="s">
        <v>51</v>
      </c>
      <c r="AE61" s="12" t="s">
        <v>51</v>
      </c>
      <c r="AF61" s="12" t="s">
        <v>51</v>
      </c>
      <c r="AG61" s="12"/>
      <c r="AH61" s="47" t="s">
        <v>52</v>
      </c>
      <c r="AI61" s="12" t="s">
        <v>47</v>
      </c>
      <c r="AJ61" s="12" t="s">
        <v>171</v>
      </c>
      <c r="AK61" s="12"/>
      <c r="AL61" s="12"/>
      <c r="AM61" s="12"/>
      <c r="AN61" s="58">
        <v>0</v>
      </c>
      <c r="AO61" s="12"/>
      <c r="AP61" s="12" t="s">
        <v>53</v>
      </c>
      <c r="AQ61" s="2">
        <v>0</v>
      </c>
    </row>
    <row r="62" s="2" customFormat="1" spans="1:43">
      <c r="A62" s="11">
        <v>220701</v>
      </c>
      <c r="B62" s="45" t="s">
        <v>63</v>
      </c>
      <c r="C62" s="11"/>
      <c r="D62" s="11"/>
      <c r="E62" s="11"/>
      <c r="F62" s="11">
        <v>3</v>
      </c>
      <c r="G62" s="11">
        <v>3</v>
      </c>
      <c r="H62" s="11" t="s">
        <v>45</v>
      </c>
      <c r="I62" s="11" t="s">
        <v>45</v>
      </c>
      <c r="J62" s="11">
        <v>0</v>
      </c>
      <c r="K62" s="11" t="s">
        <v>46</v>
      </c>
      <c r="L62" s="47" t="s">
        <v>47</v>
      </c>
      <c r="M62" s="48">
        <v>1040113</v>
      </c>
      <c r="N62" s="11" t="s">
        <v>45</v>
      </c>
      <c r="O62" s="47" t="s">
        <v>48</v>
      </c>
      <c r="P62" s="12">
        <v>1611</v>
      </c>
      <c r="Q62" s="12">
        <v>3170</v>
      </c>
      <c r="R62" s="12">
        <v>712</v>
      </c>
      <c r="S62" s="11">
        <v>198</v>
      </c>
      <c r="T62" s="11">
        <v>44</v>
      </c>
      <c r="U62" s="11">
        <v>3</v>
      </c>
      <c r="V62" s="11"/>
      <c r="W62" s="47" t="s">
        <v>47</v>
      </c>
      <c r="X62" s="47" t="s">
        <v>64</v>
      </c>
      <c r="Y62" s="47" t="s">
        <v>198</v>
      </c>
      <c r="Z62" s="11" t="s">
        <v>199</v>
      </c>
      <c r="AA62" s="11"/>
      <c r="AB62" s="11" t="s">
        <v>172</v>
      </c>
      <c r="AC62" s="12">
        <v>2637</v>
      </c>
      <c r="AD62" s="12">
        <v>2638</v>
      </c>
      <c r="AE62" s="12">
        <v>2694</v>
      </c>
      <c r="AF62" s="12"/>
      <c r="AG62" s="11"/>
      <c r="AH62" s="47" t="s">
        <v>52</v>
      </c>
      <c r="AI62" s="11" t="s">
        <v>47</v>
      </c>
      <c r="AJ62" s="12"/>
      <c r="AK62" s="12"/>
      <c r="AL62" s="12"/>
      <c r="AM62" s="11"/>
      <c r="AN62" s="58">
        <v>0</v>
      </c>
      <c r="AO62" s="11">
        <v>3113</v>
      </c>
      <c r="AP62" s="11" t="s">
        <v>53</v>
      </c>
      <c r="AQ62" s="2">
        <v>1</v>
      </c>
    </row>
    <row r="63" s="4" customFormat="1" spans="1:43">
      <c r="A63" s="37">
        <v>220702</v>
      </c>
      <c r="B63" s="45" t="s">
        <v>200</v>
      </c>
      <c r="C63" s="37"/>
      <c r="D63" s="37"/>
      <c r="E63" s="37"/>
      <c r="F63" s="11">
        <v>0</v>
      </c>
      <c r="G63" s="11" t="s">
        <v>47</v>
      </c>
      <c r="H63" s="37" t="s">
        <v>45</v>
      </c>
      <c r="I63" s="37" t="s">
        <v>45</v>
      </c>
      <c r="J63" s="37">
        <v>1</v>
      </c>
      <c r="K63" s="37" t="s">
        <v>46</v>
      </c>
      <c r="L63" s="47" t="s">
        <v>47</v>
      </c>
      <c r="M63" s="56">
        <v>1011104</v>
      </c>
      <c r="N63" s="37" t="s">
        <v>45</v>
      </c>
      <c r="O63" s="47" t="s">
        <v>48</v>
      </c>
      <c r="P63" s="12">
        <v>1611</v>
      </c>
      <c r="Q63" s="12">
        <v>3104</v>
      </c>
      <c r="R63" s="12">
        <v>1061</v>
      </c>
      <c r="S63" s="11">
        <v>194</v>
      </c>
      <c r="T63" s="11">
        <v>66</v>
      </c>
      <c r="U63" s="37">
        <v>4</v>
      </c>
      <c r="V63" s="37"/>
      <c r="W63" s="47" t="s">
        <v>47</v>
      </c>
      <c r="X63" s="47" t="s">
        <v>64</v>
      </c>
      <c r="Y63" s="47" t="s">
        <v>200</v>
      </c>
      <c r="Z63" s="37" t="s">
        <v>68</v>
      </c>
      <c r="AA63" s="37"/>
      <c r="AB63" s="37" t="s">
        <v>188</v>
      </c>
      <c r="AC63" s="37">
        <v>2352</v>
      </c>
      <c r="AD63" s="37" t="s">
        <v>51</v>
      </c>
      <c r="AE63" s="37" t="s">
        <v>51</v>
      </c>
      <c r="AF63" s="37" t="s">
        <v>51</v>
      </c>
      <c r="AG63" s="37"/>
      <c r="AH63" s="47" t="s">
        <v>52</v>
      </c>
      <c r="AI63" s="37" t="s">
        <v>47</v>
      </c>
      <c r="AJ63" s="37"/>
      <c r="AK63" s="37"/>
      <c r="AL63" s="37"/>
      <c r="AM63" s="37"/>
      <c r="AN63" s="58">
        <v>0</v>
      </c>
      <c r="AO63" s="37">
        <v>3101</v>
      </c>
      <c r="AP63" s="37" t="s">
        <v>53</v>
      </c>
      <c r="AQ63" s="2">
        <v>0</v>
      </c>
    </row>
    <row r="64" s="5" customFormat="1" spans="1:43">
      <c r="A64" s="13">
        <v>220703</v>
      </c>
      <c r="B64" s="45" t="s">
        <v>71</v>
      </c>
      <c r="C64" s="13"/>
      <c r="D64" s="13"/>
      <c r="E64" s="13"/>
      <c r="F64" s="11">
        <v>0</v>
      </c>
      <c r="G64" s="11" t="s">
        <v>47</v>
      </c>
      <c r="H64" s="13" t="s">
        <v>45</v>
      </c>
      <c r="I64" s="13" t="s">
        <v>45</v>
      </c>
      <c r="J64" s="13">
        <v>1</v>
      </c>
      <c r="K64" s="13" t="s">
        <v>46</v>
      </c>
      <c r="L64" s="47" t="s">
        <v>47</v>
      </c>
      <c r="M64" s="13">
        <v>1020133</v>
      </c>
      <c r="N64" s="13">
        <v>0</v>
      </c>
      <c r="O64" s="47" t="s">
        <v>48</v>
      </c>
      <c r="P64" s="12">
        <v>1611</v>
      </c>
      <c r="Q64" s="13">
        <v>3202</v>
      </c>
      <c r="R64" s="13">
        <v>489</v>
      </c>
      <c r="S64" s="11">
        <v>200</v>
      </c>
      <c r="T64" s="11">
        <v>30</v>
      </c>
      <c r="U64" s="13">
        <v>3</v>
      </c>
      <c r="V64" s="13"/>
      <c r="W64" s="47" t="s">
        <v>47</v>
      </c>
      <c r="X64" s="47" t="s">
        <v>70</v>
      </c>
      <c r="Y64" s="47" t="s">
        <v>71</v>
      </c>
      <c r="Z64" s="13"/>
      <c r="AA64" s="13"/>
      <c r="AB64" s="13" t="s">
        <v>189</v>
      </c>
      <c r="AC64" s="13">
        <v>2470</v>
      </c>
      <c r="AD64" s="13">
        <v>2360</v>
      </c>
      <c r="AE64" s="13" t="s">
        <v>51</v>
      </c>
      <c r="AF64" s="13" t="s">
        <v>51</v>
      </c>
      <c r="AG64" s="13"/>
      <c r="AH64" s="47" t="s">
        <v>52</v>
      </c>
      <c r="AI64" s="13">
        <v>0</v>
      </c>
      <c r="AJ64" s="13" t="s">
        <v>72</v>
      </c>
      <c r="AK64" s="13"/>
      <c r="AL64" s="13"/>
      <c r="AM64" s="13"/>
      <c r="AN64" s="58">
        <v>0</v>
      </c>
      <c r="AO64" s="13"/>
      <c r="AP64" s="13" t="s">
        <v>53</v>
      </c>
      <c r="AQ64" s="2">
        <v>0</v>
      </c>
    </row>
    <row r="65" s="2" customFormat="1" spans="1:43">
      <c r="A65" s="11">
        <v>220705</v>
      </c>
      <c r="B65" s="45" t="s">
        <v>74</v>
      </c>
      <c r="C65" s="11"/>
      <c r="D65" s="11"/>
      <c r="E65" s="11"/>
      <c r="F65" s="11">
        <v>0</v>
      </c>
      <c r="G65" s="11" t="s">
        <v>47</v>
      </c>
      <c r="H65" s="11" t="s">
        <v>45</v>
      </c>
      <c r="I65" s="11" t="s">
        <v>45</v>
      </c>
      <c r="J65" s="11">
        <v>0</v>
      </c>
      <c r="K65" s="11" t="s">
        <v>46</v>
      </c>
      <c r="L65" s="47" t="s">
        <v>47</v>
      </c>
      <c r="M65" s="11">
        <v>1020122</v>
      </c>
      <c r="N65" s="11" t="s">
        <v>45</v>
      </c>
      <c r="O65" s="47" t="s">
        <v>48</v>
      </c>
      <c r="P65" s="12">
        <v>1611</v>
      </c>
      <c r="Q65" s="12">
        <v>3321</v>
      </c>
      <c r="R65" s="12">
        <v>480</v>
      </c>
      <c r="S65" s="11">
        <v>207</v>
      </c>
      <c r="T65" s="11">
        <v>30</v>
      </c>
      <c r="U65" s="11">
        <v>3</v>
      </c>
      <c r="V65" s="11"/>
      <c r="W65" s="47" t="s">
        <v>47</v>
      </c>
      <c r="X65" s="47" t="s">
        <v>64</v>
      </c>
      <c r="Y65" s="47" t="s">
        <v>74</v>
      </c>
      <c r="Z65" s="11" t="s">
        <v>190</v>
      </c>
      <c r="AA65" s="11"/>
      <c r="AB65" s="11" t="s">
        <v>190</v>
      </c>
      <c r="AC65" s="11">
        <v>2074</v>
      </c>
      <c r="AD65" s="11">
        <v>2072</v>
      </c>
      <c r="AE65" s="11">
        <v>2073</v>
      </c>
      <c r="AF65" s="11">
        <v>2458</v>
      </c>
      <c r="AG65" s="11"/>
      <c r="AH65" s="47" t="s">
        <v>52</v>
      </c>
      <c r="AI65" s="11" t="s">
        <v>47</v>
      </c>
      <c r="AJ65" s="12" t="s">
        <v>177</v>
      </c>
      <c r="AK65" s="12" t="s">
        <v>178</v>
      </c>
      <c r="AL65" s="12" t="s">
        <v>179</v>
      </c>
      <c r="AM65" s="11" t="s">
        <v>180</v>
      </c>
      <c r="AN65" s="58">
        <v>0</v>
      </c>
      <c r="AO65" s="11"/>
      <c r="AP65" s="11" t="s">
        <v>53</v>
      </c>
      <c r="AQ65" s="2">
        <v>0</v>
      </c>
    </row>
    <row r="66" s="2" customFormat="1" ht="12.75" spans="1:43">
      <c r="A66" s="53">
        <v>160501</v>
      </c>
      <c r="B66" s="11" t="s">
        <v>201</v>
      </c>
      <c r="C66" s="11"/>
      <c r="D66" s="11"/>
      <c r="E66" s="11"/>
      <c r="F66" s="11">
        <v>0</v>
      </c>
      <c r="G66" s="11" t="s">
        <v>47</v>
      </c>
      <c r="H66" s="11" t="s">
        <v>45</v>
      </c>
      <c r="I66" s="11" t="s">
        <v>45</v>
      </c>
      <c r="J66" s="11">
        <v>1</v>
      </c>
      <c r="K66" s="11" t="s">
        <v>46</v>
      </c>
      <c r="L66" s="47" t="s">
        <v>47</v>
      </c>
      <c r="M66" s="50">
        <v>1020133</v>
      </c>
      <c r="N66" s="11">
        <v>0</v>
      </c>
      <c r="O66" s="47" t="s">
        <v>48</v>
      </c>
      <c r="P66" s="11">
        <v>1605</v>
      </c>
      <c r="Q66" s="11">
        <v>608</v>
      </c>
      <c r="R66" s="11">
        <v>448</v>
      </c>
      <c r="S66" s="11">
        <v>45</v>
      </c>
      <c r="T66" s="11">
        <v>220</v>
      </c>
      <c r="U66" s="11">
        <v>3</v>
      </c>
      <c r="V66" s="11"/>
      <c r="W66" s="47" t="s">
        <v>47</v>
      </c>
      <c r="X66" s="47" t="s">
        <v>202</v>
      </c>
      <c r="Y66" s="47" t="str">
        <f t="shared" ref="Y66" si="0">B66</f>
        <v>偷偷怪</v>
      </c>
      <c r="Z66" s="11"/>
      <c r="AA66" s="11"/>
      <c r="AB66" s="11" t="s">
        <v>201</v>
      </c>
      <c r="AC66" s="11">
        <v>2171</v>
      </c>
      <c r="AD66" s="11">
        <v>2171</v>
      </c>
      <c r="AE66" s="11">
        <v>2171</v>
      </c>
      <c r="AF66" s="11">
        <v>2171</v>
      </c>
      <c r="AG66" s="11"/>
      <c r="AH66" s="47" t="s">
        <v>52</v>
      </c>
      <c r="AI66" s="11" t="s">
        <v>47</v>
      </c>
      <c r="AJ66" s="11" t="s">
        <v>203</v>
      </c>
      <c r="AK66" s="11" t="s">
        <v>204</v>
      </c>
      <c r="AL66" s="11" t="s">
        <v>205</v>
      </c>
      <c r="AM66" s="11" t="s">
        <v>206</v>
      </c>
      <c r="AN66" s="47" t="s">
        <v>47</v>
      </c>
      <c r="AO66" s="11"/>
      <c r="AP66" s="11" t="s">
        <v>53</v>
      </c>
      <c r="AQ66" s="2">
        <v>0</v>
      </c>
    </row>
    <row r="67" s="3" customFormat="1" ht="12" spans="1:43">
      <c r="A67" s="53">
        <v>160502</v>
      </c>
      <c r="B67" s="12" t="s">
        <v>207</v>
      </c>
      <c r="C67" s="12"/>
      <c r="D67" s="12"/>
      <c r="E67" s="12"/>
      <c r="F67" s="12">
        <v>0</v>
      </c>
      <c r="G67" s="12" t="s">
        <v>47</v>
      </c>
      <c r="H67" s="12">
        <v>1</v>
      </c>
      <c r="I67" s="12" t="s">
        <v>45</v>
      </c>
      <c r="J67" s="12">
        <v>0</v>
      </c>
      <c r="K67" s="12" t="s">
        <v>46</v>
      </c>
      <c r="L67" s="47" t="s">
        <v>47</v>
      </c>
      <c r="M67" s="12">
        <v>1030004</v>
      </c>
      <c r="N67" s="12">
        <v>0</v>
      </c>
      <c r="O67" s="47" t="s">
        <v>48</v>
      </c>
      <c r="P67" s="12">
        <v>1605</v>
      </c>
      <c r="Q67" s="11">
        <f>S67*16</f>
        <v>304</v>
      </c>
      <c r="R67" s="11">
        <f>T67*16</f>
        <v>656</v>
      </c>
      <c r="S67" s="12">
        <v>19</v>
      </c>
      <c r="T67" s="12">
        <v>41</v>
      </c>
      <c r="U67" s="12">
        <v>3</v>
      </c>
      <c r="V67" s="12"/>
      <c r="W67" s="47" t="s">
        <v>47</v>
      </c>
      <c r="X67" s="47" t="s">
        <v>208</v>
      </c>
      <c r="Y67" s="47" t="str">
        <f t="shared" ref="Y67" si="1">B67</f>
        <v>勇者之剑</v>
      </c>
      <c r="Z67" s="12"/>
      <c r="AA67" s="12"/>
      <c r="AB67" s="12" t="s">
        <v>207</v>
      </c>
      <c r="AC67" s="12">
        <v>2170</v>
      </c>
      <c r="AD67" s="12">
        <v>2170</v>
      </c>
      <c r="AE67" s="12">
        <v>2170</v>
      </c>
      <c r="AF67" s="12">
        <v>2170</v>
      </c>
      <c r="AG67" s="12"/>
      <c r="AH67" s="47" t="s">
        <v>52</v>
      </c>
      <c r="AI67" s="12">
        <v>1</v>
      </c>
      <c r="AJ67" s="12"/>
      <c r="AK67" s="12"/>
      <c r="AL67" s="12"/>
      <c r="AM67" s="12"/>
      <c r="AN67" s="47" t="s">
        <v>47</v>
      </c>
      <c r="AO67" s="12"/>
      <c r="AP67" s="12" t="s">
        <v>53</v>
      </c>
      <c r="AQ67" s="2">
        <v>0</v>
      </c>
    </row>
    <row r="68" s="2" customFormat="1" ht="12" spans="1:43">
      <c r="A68" s="53">
        <v>160503</v>
      </c>
      <c r="B68" s="11" t="s">
        <v>209</v>
      </c>
      <c r="C68" s="11"/>
      <c r="D68" s="11"/>
      <c r="E68" s="11"/>
      <c r="F68" s="11">
        <v>0</v>
      </c>
      <c r="G68" s="11" t="s">
        <v>47</v>
      </c>
      <c r="H68" s="11" t="s">
        <v>45</v>
      </c>
      <c r="I68" s="11" t="s">
        <v>45</v>
      </c>
      <c r="J68" s="11">
        <v>0</v>
      </c>
      <c r="K68" s="11" t="s">
        <v>46</v>
      </c>
      <c r="L68" s="47" t="s">
        <v>47</v>
      </c>
      <c r="M68" s="44">
        <v>1020131</v>
      </c>
      <c r="N68" s="11">
        <v>0</v>
      </c>
      <c r="O68" s="47" t="s">
        <v>48</v>
      </c>
      <c r="P68" s="11">
        <v>1605</v>
      </c>
      <c r="Q68" s="11"/>
      <c r="R68" s="11"/>
      <c r="S68" s="11">
        <v>263</v>
      </c>
      <c r="T68" s="11">
        <v>178</v>
      </c>
      <c r="U68" s="11">
        <v>3</v>
      </c>
      <c r="V68" s="11"/>
      <c r="W68" s="47" t="s">
        <v>47</v>
      </c>
      <c r="X68" s="47" t="s">
        <v>210</v>
      </c>
      <c r="Y68" s="47" t="str">
        <f t="shared" ref="Y68" si="2">B68</f>
        <v>袁守城</v>
      </c>
      <c r="Z68" s="11"/>
      <c r="AA68" s="11"/>
      <c r="AB68" s="11" t="s">
        <v>209</v>
      </c>
      <c r="AC68" s="11">
        <v>2166</v>
      </c>
      <c r="AD68" s="11">
        <v>2167</v>
      </c>
      <c r="AE68" s="11">
        <v>2168</v>
      </c>
      <c r="AF68" s="11">
        <v>2169</v>
      </c>
      <c r="AG68" s="11"/>
      <c r="AH68" s="47" t="s">
        <v>52</v>
      </c>
      <c r="AI68" s="11">
        <v>1</v>
      </c>
      <c r="AJ68" s="11" t="s">
        <v>211</v>
      </c>
      <c r="AK68" s="11" t="s">
        <v>212</v>
      </c>
      <c r="AL68" s="11" t="s">
        <v>213</v>
      </c>
      <c r="AM68" s="11" t="s">
        <v>214</v>
      </c>
      <c r="AN68" s="47" t="s">
        <v>47</v>
      </c>
      <c r="AO68" s="11"/>
      <c r="AP68" s="11" t="s">
        <v>53</v>
      </c>
      <c r="AQ68" s="2">
        <v>0</v>
      </c>
    </row>
    <row r="69" s="8" customFormat="1" ht="12" spans="1:43">
      <c r="A69" s="53">
        <v>160504</v>
      </c>
      <c r="B69" s="60" t="s">
        <v>215</v>
      </c>
      <c r="C69" s="60"/>
      <c r="D69" s="60"/>
      <c r="E69" s="60"/>
      <c r="F69" s="60">
        <v>0</v>
      </c>
      <c r="G69" s="60" t="s">
        <v>47</v>
      </c>
      <c r="H69" s="60" t="s">
        <v>45</v>
      </c>
      <c r="I69" s="60" t="s">
        <v>45</v>
      </c>
      <c r="J69" s="60">
        <v>0</v>
      </c>
      <c r="K69" s="60" t="s">
        <v>46</v>
      </c>
      <c r="L69" s="47" t="s">
        <v>47</v>
      </c>
      <c r="M69" s="60">
        <v>1030007</v>
      </c>
      <c r="N69" s="60">
        <v>0</v>
      </c>
      <c r="O69" s="47" t="s">
        <v>48</v>
      </c>
      <c r="P69" s="60">
        <v>1605</v>
      </c>
      <c r="Q69" s="60">
        <v>774</v>
      </c>
      <c r="R69" s="60">
        <v>1274</v>
      </c>
      <c r="S69" s="60">
        <v>59</v>
      </c>
      <c r="T69" s="60">
        <v>59</v>
      </c>
      <c r="U69" s="60">
        <v>3</v>
      </c>
      <c r="V69" s="60"/>
      <c r="W69" s="47" t="s">
        <v>47</v>
      </c>
      <c r="X69" s="16"/>
      <c r="Y69" s="47" t="str">
        <f t="shared" ref="Y69" si="3">B69</f>
        <v>哨兵</v>
      </c>
      <c r="Z69" s="60"/>
      <c r="AA69" s="60"/>
      <c r="AB69" s="60" t="s">
        <v>215</v>
      </c>
      <c r="AC69" s="43">
        <v>2625</v>
      </c>
      <c r="AD69" s="43"/>
      <c r="AE69" s="43"/>
      <c r="AF69" s="43"/>
      <c r="AG69" s="60"/>
      <c r="AH69" s="47" t="s">
        <v>52</v>
      </c>
      <c r="AI69" s="60">
        <v>1</v>
      </c>
      <c r="AJ69" s="60"/>
      <c r="AK69" s="60"/>
      <c r="AL69" s="60"/>
      <c r="AM69" s="60"/>
      <c r="AN69" s="47" t="s">
        <v>47</v>
      </c>
      <c r="AO69" s="60"/>
      <c r="AP69" s="60" t="s">
        <v>53</v>
      </c>
      <c r="AQ69" s="2">
        <v>0</v>
      </c>
    </row>
    <row r="70" s="8" customFormat="1" ht="12" spans="1:43">
      <c r="A70" s="53">
        <v>160505</v>
      </c>
      <c r="B70" s="60" t="s">
        <v>216</v>
      </c>
      <c r="C70" s="60"/>
      <c r="D70" s="60"/>
      <c r="E70" s="60"/>
      <c r="F70" s="60">
        <v>0</v>
      </c>
      <c r="G70" s="60" t="s">
        <v>47</v>
      </c>
      <c r="H70" s="60" t="s">
        <v>45</v>
      </c>
      <c r="I70" s="60" t="s">
        <v>45</v>
      </c>
      <c r="J70" s="60">
        <v>0</v>
      </c>
      <c r="K70" s="60" t="s">
        <v>46</v>
      </c>
      <c r="L70" s="47" t="s">
        <v>47</v>
      </c>
      <c r="M70" s="60">
        <v>1010140</v>
      </c>
      <c r="N70" s="60">
        <v>0</v>
      </c>
      <c r="O70" s="47" t="s">
        <v>48</v>
      </c>
      <c r="P70" s="60">
        <v>1605</v>
      </c>
      <c r="Q70" s="60">
        <v>874</v>
      </c>
      <c r="R70" s="60">
        <v>1260</v>
      </c>
      <c r="S70" s="60">
        <v>29</v>
      </c>
      <c r="T70" s="60">
        <v>38</v>
      </c>
      <c r="U70" s="60">
        <v>5</v>
      </c>
      <c r="V70" s="60"/>
      <c r="W70" s="47" t="s">
        <v>47</v>
      </c>
      <c r="X70" s="16"/>
      <c r="Y70" s="47" t="str">
        <f t="shared" ref="Y70" si="4">B70</f>
        <v>魔物</v>
      </c>
      <c r="Z70" s="60" t="s">
        <v>217</v>
      </c>
      <c r="AA70" s="60"/>
      <c r="AB70" s="60" t="s">
        <v>216</v>
      </c>
      <c r="AC70" s="43">
        <v>2621</v>
      </c>
      <c r="AD70" s="43">
        <v>2622</v>
      </c>
      <c r="AE70" s="43">
        <v>2623</v>
      </c>
      <c r="AF70" s="43">
        <v>2624</v>
      </c>
      <c r="AG70" s="60"/>
      <c r="AH70" s="47" t="s">
        <v>52</v>
      </c>
      <c r="AI70" s="60">
        <v>1</v>
      </c>
      <c r="AJ70" s="60"/>
      <c r="AK70" s="60"/>
      <c r="AL70" s="60"/>
      <c r="AM70" s="60"/>
      <c r="AN70" s="47" t="s">
        <v>47</v>
      </c>
      <c r="AO70" s="60"/>
      <c r="AP70" s="60" t="s">
        <v>53</v>
      </c>
      <c r="AQ70" s="2">
        <v>0</v>
      </c>
    </row>
    <row r="71" s="8" customFormat="1" ht="12" spans="1:43">
      <c r="A71" s="53">
        <v>160506</v>
      </c>
      <c r="B71" s="60" t="s">
        <v>218</v>
      </c>
      <c r="C71" s="60"/>
      <c r="D71" s="60"/>
      <c r="E71" s="60"/>
      <c r="F71" s="60">
        <v>0</v>
      </c>
      <c r="G71" s="60" t="s">
        <v>47</v>
      </c>
      <c r="H71" s="60" t="s">
        <v>45</v>
      </c>
      <c r="I71" s="60" t="s">
        <v>45</v>
      </c>
      <c r="J71" s="60">
        <v>0</v>
      </c>
      <c r="K71" s="60" t="s">
        <v>46</v>
      </c>
      <c r="L71" s="47" t="s">
        <v>47</v>
      </c>
      <c r="M71" s="60">
        <v>1020113</v>
      </c>
      <c r="N71" s="60">
        <v>0</v>
      </c>
      <c r="O71" s="47" t="s">
        <v>48</v>
      </c>
      <c r="P71" s="60">
        <v>1605</v>
      </c>
      <c r="Q71" s="60">
        <v>1578</v>
      </c>
      <c r="R71" s="60">
        <v>1624</v>
      </c>
      <c r="S71" s="60">
        <v>36</v>
      </c>
      <c r="T71" s="60">
        <v>21</v>
      </c>
      <c r="U71" s="60">
        <v>5</v>
      </c>
      <c r="V71" s="60"/>
      <c r="W71" s="47" t="s">
        <v>47</v>
      </c>
      <c r="X71" s="47"/>
      <c r="Y71" s="47" t="str">
        <f t="shared" ref="Y71" si="5">B71</f>
        <v>弟子</v>
      </c>
      <c r="Z71" s="60" t="s">
        <v>219</v>
      </c>
      <c r="AA71" s="60"/>
      <c r="AB71" s="60" t="s">
        <v>218</v>
      </c>
      <c r="AC71" s="60">
        <v>2625</v>
      </c>
      <c r="AD71" s="60">
        <v>2626</v>
      </c>
      <c r="AE71" s="60">
        <v>2627</v>
      </c>
      <c r="AF71" s="60">
        <v>2628</v>
      </c>
      <c r="AG71" s="60"/>
      <c r="AH71" s="47" t="s">
        <v>52</v>
      </c>
      <c r="AI71" s="60">
        <v>1</v>
      </c>
      <c r="AJ71" s="60"/>
      <c r="AK71" s="60"/>
      <c r="AL71" s="60"/>
      <c r="AM71" s="60"/>
      <c r="AN71" s="47" t="s">
        <v>47</v>
      </c>
      <c r="AO71" s="60"/>
      <c r="AP71" s="60" t="s">
        <v>53</v>
      </c>
      <c r="AQ71" s="2">
        <v>0</v>
      </c>
    </row>
    <row r="72" s="8" customFormat="1" ht="12" spans="1:43">
      <c r="A72" s="53">
        <v>160507</v>
      </c>
      <c r="B72" s="60" t="s">
        <v>216</v>
      </c>
      <c r="C72" s="60"/>
      <c r="D72" s="60"/>
      <c r="E72" s="60"/>
      <c r="F72" s="60">
        <v>0</v>
      </c>
      <c r="G72" s="60" t="s">
        <v>47</v>
      </c>
      <c r="H72" s="60" t="s">
        <v>45</v>
      </c>
      <c r="I72" s="60" t="s">
        <v>45</v>
      </c>
      <c r="J72" s="60">
        <v>0</v>
      </c>
      <c r="K72" s="60" t="s">
        <v>46</v>
      </c>
      <c r="L72" s="47" t="s">
        <v>47</v>
      </c>
      <c r="M72" s="60">
        <v>1010140</v>
      </c>
      <c r="N72" s="60">
        <v>0</v>
      </c>
      <c r="O72" s="47" t="s">
        <v>48</v>
      </c>
      <c r="P72" s="60">
        <v>1605</v>
      </c>
      <c r="Q72" s="60">
        <v>1498</v>
      </c>
      <c r="R72" s="60">
        <v>1562</v>
      </c>
      <c r="S72" s="60">
        <v>37</v>
      </c>
      <c r="T72" s="60">
        <v>37</v>
      </c>
      <c r="U72" s="60">
        <v>5</v>
      </c>
      <c r="V72" s="60"/>
      <c r="W72" s="47" t="s">
        <v>47</v>
      </c>
      <c r="X72" s="16"/>
      <c r="Y72" s="47" t="str">
        <f t="shared" ref="Y72" si="6">B72</f>
        <v>魔物</v>
      </c>
      <c r="Z72" s="60" t="s">
        <v>217</v>
      </c>
      <c r="AA72" s="60"/>
      <c r="AB72" s="60" t="s">
        <v>216</v>
      </c>
      <c r="AC72" s="43">
        <v>2621</v>
      </c>
      <c r="AD72" s="43">
        <v>2622</v>
      </c>
      <c r="AE72" s="43">
        <v>2623</v>
      </c>
      <c r="AF72" s="43">
        <v>2624</v>
      </c>
      <c r="AG72" s="60"/>
      <c r="AH72" s="47" t="s">
        <v>52</v>
      </c>
      <c r="AI72" s="60">
        <v>1</v>
      </c>
      <c r="AJ72" s="60"/>
      <c r="AK72" s="60"/>
      <c r="AL72" s="60"/>
      <c r="AM72" s="60"/>
      <c r="AN72" s="47" t="s">
        <v>47</v>
      </c>
      <c r="AO72" s="60"/>
      <c r="AP72" s="60" t="s">
        <v>53</v>
      </c>
      <c r="AQ72" s="2">
        <v>0</v>
      </c>
    </row>
    <row r="73" s="8" customFormat="1" ht="12" spans="1:43">
      <c r="A73" s="53">
        <v>160508</v>
      </c>
      <c r="B73" s="60" t="s">
        <v>220</v>
      </c>
      <c r="C73" s="60"/>
      <c r="D73" s="60"/>
      <c r="E73" s="60"/>
      <c r="F73" s="60">
        <v>0</v>
      </c>
      <c r="G73" s="60" t="s">
        <v>47</v>
      </c>
      <c r="H73" s="60" t="s">
        <v>45</v>
      </c>
      <c r="I73" s="60" t="s">
        <v>45</v>
      </c>
      <c r="J73" s="60">
        <v>0</v>
      </c>
      <c r="K73" s="60" t="s">
        <v>46</v>
      </c>
      <c r="L73" s="47" t="s">
        <v>47</v>
      </c>
      <c r="M73" s="60">
        <v>1010162</v>
      </c>
      <c r="N73" s="60">
        <v>0</v>
      </c>
      <c r="O73" s="47" t="s">
        <v>48</v>
      </c>
      <c r="P73" s="60">
        <v>1605</v>
      </c>
      <c r="Q73" s="60">
        <v>1416</v>
      </c>
      <c r="R73" s="60">
        <v>1554</v>
      </c>
      <c r="S73" s="60">
        <v>58</v>
      </c>
      <c r="T73" s="60">
        <v>81</v>
      </c>
      <c r="U73" s="60">
        <v>3</v>
      </c>
      <c r="V73" s="60"/>
      <c r="W73" s="47" t="s">
        <v>47</v>
      </c>
      <c r="X73" s="47"/>
      <c r="Y73" s="47" t="str">
        <f t="shared" ref="Y73" si="7">B73</f>
        <v>村民</v>
      </c>
      <c r="Z73" s="60"/>
      <c r="AA73" s="60"/>
      <c r="AB73" s="60" t="s">
        <v>220</v>
      </c>
      <c r="AC73" s="60">
        <v>2575</v>
      </c>
      <c r="AD73" s="60"/>
      <c r="AE73" s="60"/>
      <c r="AF73" s="60" t="s">
        <v>51</v>
      </c>
      <c r="AG73" s="60"/>
      <c r="AH73" s="47" t="s">
        <v>52</v>
      </c>
      <c r="AI73" s="60">
        <v>1</v>
      </c>
      <c r="AJ73" s="60"/>
      <c r="AK73" s="60"/>
      <c r="AL73" s="60"/>
      <c r="AM73" s="60"/>
      <c r="AN73" s="47" t="s">
        <v>47</v>
      </c>
      <c r="AO73" s="60"/>
      <c r="AP73" s="60" t="s">
        <v>53</v>
      </c>
      <c r="AQ73" s="2">
        <v>0</v>
      </c>
    </row>
    <row r="74" s="2" customFormat="1" ht="12.75" spans="1:43">
      <c r="A74" s="53">
        <v>160509</v>
      </c>
      <c r="B74" s="11" t="s">
        <v>221</v>
      </c>
      <c r="C74" s="11"/>
      <c r="D74" s="11"/>
      <c r="E74" s="11"/>
      <c r="F74" s="11">
        <v>0</v>
      </c>
      <c r="G74" s="11" t="s">
        <v>47</v>
      </c>
      <c r="H74" s="11" t="s">
        <v>45</v>
      </c>
      <c r="I74" s="11" t="s">
        <v>45</v>
      </c>
      <c r="J74" s="11">
        <v>1</v>
      </c>
      <c r="K74" s="11" t="s">
        <v>46</v>
      </c>
      <c r="L74" s="47" t="s">
        <v>47</v>
      </c>
      <c r="M74" s="64">
        <v>1030011</v>
      </c>
      <c r="N74" s="11">
        <v>0</v>
      </c>
      <c r="O74" s="47" t="s">
        <v>48</v>
      </c>
      <c r="P74" s="11">
        <v>1605</v>
      </c>
      <c r="Q74" s="11">
        <f t="shared" ref="Q74" si="8">S74*16</f>
        <v>2320</v>
      </c>
      <c r="R74" s="11">
        <f t="shared" ref="R74" si="9">T74*16</f>
        <v>752</v>
      </c>
      <c r="S74" s="11">
        <v>145</v>
      </c>
      <c r="T74" s="11">
        <v>47</v>
      </c>
      <c r="U74" s="11">
        <v>3</v>
      </c>
      <c r="V74" s="11"/>
      <c r="W74" s="47" t="s">
        <v>47</v>
      </c>
      <c r="X74" s="47" t="s">
        <v>202</v>
      </c>
      <c r="Y74" s="47" t="str">
        <f t="shared" ref="Y74" si="10">B74</f>
        <v>陆萧然</v>
      </c>
      <c r="Z74" s="11"/>
      <c r="AA74" s="11" t="s">
        <v>222</v>
      </c>
      <c r="AB74" s="11" t="s">
        <v>221</v>
      </c>
      <c r="AC74" s="11">
        <v>2770</v>
      </c>
      <c r="AD74" s="11">
        <v>2771</v>
      </c>
      <c r="AE74" s="11">
        <v>2772</v>
      </c>
      <c r="AF74" s="11">
        <v>2773</v>
      </c>
      <c r="AG74" s="11"/>
      <c r="AH74" s="47" t="s">
        <v>52</v>
      </c>
      <c r="AI74" s="11" t="s">
        <v>47</v>
      </c>
      <c r="AJ74" s="11" t="s">
        <v>223</v>
      </c>
      <c r="AK74" s="11" t="s">
        <v>223</v>
      </c>
      <c r="AL74" s="11" t="s">
        <v>223</v>
      </c>
      <c r="AM74" s="11" t="s">
        <v>223</v>
      </c>
      <c r="AN74" s="47" t="s">
        <v>47</v>
      </c>
      <c r="AO74" s="11"/>
      <c r="AP74" s="11" t="s">
        <v>53</v>
      </c>
      <c r="AQ74" s="2">
        <v>0</v>
      </c>
    </row>
    <row r="75" s="3" customFormat="1" ht="12" spans="1:43">
      <c r="A75" s="61">
        <v>160601</v>
      </c>
      <c r="B75" s="12" t="s">
        <v>224</v>
      </c>
      <c r="C75" s="12"/>
      <c r="D75" s="12"/>
      <c r="E75" s="12"/>
      <c r="F75" s="12">
        <v>0</v>
      </c>
      <c r="G75" s="12" t="s">
        <v>47</v>
      </c>
      <c r="H75" s="12" t="s">
        <v>45</v>
      </c>
      <c r="I75" s="12" t="s">
        <v>45</v>
      </c>
      <c r="J75" s="12">
        <v>0</v>
      </c>
      <c r="K75" s="12" t="s">
        <v>46</v>
      </c>
      <c r="L75" s="47" t="s">
        <v>47</v>
      </c>
      <c r="M75" s="12">
        <v>1020115</v>
      </c>
      <c r="N75" s="12">
        <v>0</v>
      </c>
      <c r="O75" s="47" t="s">
        <v>48</v>
      </c>
      <c r="P75" s="12">
        <v>1606</v>
      </c>
      <c r="Q75" s="12">
        <v>436</v>
      </c>
      <c r="R75" s="12">
        <v>654</v>
      </c>
      <c r="S75" s="44">
        <f>FLOOR(Q75/16,1)</f>
        <v>27</v>
      </c>
      <c r="T75" s="44">
        <v>49</v>
      </c>
      <c r="U75" s="12">
        <v>3</v>
      </c>
      <c r="V75" s="12"/>
      <c r="W75" s="47" t="s">
        <v>47</v>
      </c>
      <c r="X75" s="47" t="s">
        <v>225</v>
      </c>
      <c r="Y75" s="47" t="str">
        <f t="shared" ref="Y75" si="11">B75</f>
        <v>小德子</v>
      </c>
      <c r="Z75" s="12"/>
      <c r="AA75" s="12"/>
      <c r="AB75" s="12" t="s">
        <v>224</v>
      </c>
      <c r="AC75" s="12">
        <v>2056</v>
      </c>
      <c r="AD75" s="12">
        <v>2057</v>
      </c>
      <c r="AE75" s="12">
        <v>2058</v>
      </c>
      <c r="AF75" s="12">
        <v>2059</v>
      </c>
      <c r="AG75" s="12"/>
      <c r="AH75" s="47" t="s">
        <v>52</v>
      </c>
      <c r="AI75" s="12">
        <v>1</v>
      </c>
      <c r="AJ75" s="12" t="s">
        <v>149</v>
      </c>
      <c r="AK75" s="12" t="s">
        <v>150</v>
      </c>
      <c r="AL75" s="12" t="s">
        <v>151</v>
      </c>
      <c r="AM75" s="12" t="s">
        <v>152</v>
      </c>
      <c r="AN75" s="47" t="s">
        <v>47</v>
      </c>
      <c r="AO75" s="12"/>
      <c r="AP75" s="12" t="s">
        <v>53</v>
      </c>
      <c r="AQ75" s="2">
        <v>0</v>
      </c>
    </row>
    <row r="76" s="2" customFormat="1" ht="12.75" spans="1:43">
      <c r="A76" s="61">
        <v>160602</v>
      </c>
      <c r="B76" s="11" t="s">
        <v>226</v>
      </c>
      <c r="C76" s="11"/>
      <c r="D76" s="11"/>
      <c r="E76" s="11"/>
      <c r="F76" s="11">
        <v>0</v>
      </c>
      <c r="G76" s="11" t="s">
        <v>47</v>
      </c>
      <c r="H76" s="11" t="s">
        <v>45</v>
      </c>
      <c r="I76" s="11" t="s">
        <v>45</v>
      </c>
      <c r="J76" s="11">
        <v>0</v>
      </c>
      <c r="K76" s="11" t="s">
        <v>46</v>
      </c>
      <c r="L76" s="47" t="s">
        <v>47</v>
      </c>
      <c r="M76" s="50">
        <v>1020113</v>
      </c>
      <c r="N76" s="11">
        <v>0</v>
      </c>
      <c r="O76" s="47" t="s">
        <v>48</v>
      </c>
      <c r="P76" s="11">
        <v>1606</v>
      </c>
      <c r="Q76" s="11">
        <v>622</v>
      </c>
      <c r="R76" s="11">
        <v>553</v>
      </c>
      <c r="S76" s="44">
        <v>30</v>
      </c>
      <c r="T76" s="44">
        <v>59</v>
      </c>
      <c r="U76" s="11">
        <v>5</v>
      </c>
      <c r="V76" s="11"/>
      <c r="W76" s="47" t="s">
        <v>47</v>
      </c>
      <c r="X76" s="47" t="s">
        <v>227</v>
      </c>
      <c r="Y76" s="47" t="str">
        <f t="shared" ref="Y76" si="12">B76</f>
        <v>小白龙</v>
      </c>
      <c r="Z76" s="11"/>
      <c r="AA76" s="11"/>
      <c r="AB76" s="11" t="s">
        <v>226</v>
      </c>
      <c r="AC76" s="11">
        <v>2040</v>
      </c>
      <c r="AD76" s="11">
        <v>2041</v>
      </c>
      <c r="AE76" s="11">
        <v>2042</v>
      </c>
      <c r="AF76" s="11">
        <v>2043</v>
      </c>
      <c r="AG76" s="11"/>
      <c r="AH76" s="47" t="s">
        <v>52</v>
      </c>
      <c r="AI76" s="11">
        <v>1</v>
      </c>
      <c r="AJ76" s="11" t="s">
        <v>90</v>
      </c>
      <c r="AK76" s="11" t="s">
        <v>228</v>
      </c>
      <c r="AL76" s="11" t="s">
        <v>91</v>
      </c>
      <c r="AM76" s="11" t="s">
        <v>93</v>
      </c>
      <c r="AN76" s="47" t="s">
        <v>47</v>
      </c>
      <c r="AO76" s="11"/>
      <c r="AP76" s="11" t="s">
        <v>53</v>
      </c>
      <c r="AQ76" s="2">
        <v>0</v>
      </c>
    </row>
    <row r="77" s="3" customFormat="1" ht="12" spans="1:43">
      <c r="A77" s="61">
        <v>160603</v>
      </c>
      <c r="B77" s="12" t="s">
        <v>229</v>
      </c>
      <c r="C77" s="12"/>
      <c r="D77" s="12"/>
      <c r="E77" s="12"/>
      <c r="F77" s="12">
        <v>0</v>
      </c>
      <c r="G77" s="12" t="s">
        <v>47</v>
      </c>
      <c r="H77" s="12" t="s">
        <v>45</v>
      </c>
      <c r="I77" s="12" t="s">
        <v>45</v>
      </c>
      <c r="J77" s="12">
        <v>0</v>
      </c>
      <c r="K77" s="12" t="s">
        <v>46</v>
      </c>
      <c r="L77" s="47" t="s">
        <v>47</v>
      </c>
      <c r="M77" s="12">
        <v>1020111</v>
      </c>
      <c r="N77" s="12">
        <v>0</v>
      </c>
      <c r="O77" s="47" t="s">
        <v>48</v>
      </c>
      <c r="P77" s="12">
        <v>1606</v>
      </c>
      <c r="Q77" s="11">
        <v>570</v>
      </c>
      <c r="R77" s="11">
        <v>490</v>
      </c>
      <c r="S77" s="44">
        <v>21</v>
      </c>
      <c r="T77" s="44">
        <v>55</v>
      </c>
      <c r="U77" s="12">
        <v>3</v>
      </c>
      <c r="V77" s="12"/>
      <c r="W77" s="47" t="s">
        <v>47</v>
      </c>
      <c r="X77" s="47" t="s">
        <v>230</v>
      </c>
      <c r="Y77" s="47" t="str">
        <f t="shared" ref="Y77" si="13">B77</f>
        <v>三太子</v>
      </c>
      <c r="Z77" s="12"/>
      <c r="AA77" s="12"/>
      <c r="AB77" s="12" t="s">
        <v>229</v>
      </c>
      <c r="AC77" s="12">
        <v>2068</v>
      </c>
      <c r="AD77" s="12">
        <v>2069</v>
      </c>
      <c r="AE77" s="12">
        <v>2070</v>
      </c>
      <c r="AF77" s="12">
        <v>2071</v>
      </c>
      <c r="AG77" s="12"/>
      <c r="AH77" s="47" t="s">
        <v>52</v>
      </c>
      <c r="AI77" s="12">
        <v>1</v>
      </c>
      <c r="AJ77" s="12" t="s">
        <v>231</v>
      </c>
      <c r="AK77" s="12" t="s">
        <v>232</v>
      </c>
      <c r="AL77" s="12" t="s">
        <v>233</v>
      </c>
      <c r="AM77" s="12" t="s">
        <v>234</v>
      </c>
      <c r="AN77" s="47" t="s">
        <v>47</v>
      </c>
      <c r="AO77" s="12"/>
      <c r="AP77" s="12" t="s">
        <v>53</v>
      </c>
      <c r="AQ77" s="2">
        <v>0</v>
      </c>
    </row>
    <row r="78" s="2" customFormat="1" ht="12.75" spans="1:43">
      <c r="A78" s="61">
        <v>160604</v>
      </c>
      <c r="B78" s="11" t="s">
        <v>235</v>
      </c>
      <c r="C78" s="11"/>
      <c r="D78" s="11"/>
      <c r="E78" s="11"/>
      <c r="F78" s="11">
        <v>0</v>
      </c>
      <c r="G78" s="11" t="s">
        <v>47</v>
      </c>
      <c r="H78" s="11" t="s">
        <v>45</v>
      </c>
      <c r="I78" s="11" t="s">
        <v>45</v>
      </c>
      <c r="J78" s="11">
        <v>0</v>
      </c>
      <c r="K78" s="11" t="s">
        <v>46</v>
      </c>
      <c r="L78" s="47" t="s">
        <v>47</v>
      </c>
      <c r="M78" s="50">
        <v>1020106</v>
      </c>
      <c r="N78" s="11">
        <v>0</v>
      </c>
      <c r="O78" s="47" t="s">
        <v>48</v>
      </c>
      <c r="P78" s="11">
        <v>1606</v>
      </c>
      <c r="Q78" s="11">
        <v>542</v>
      </c>
      <c r="R78" s="11">
        <v>1325</v>
      </c>
      <c r="S78" s="44">
        <v>32</v>
      </c>
      <c r="T78" s="44">
        <v>22</v>
      </c>
      <c r="U78" s="11">
        <v>3</v>
      </c>
      <c r="V78" s="11"/>
      <c r="W78" s="47" t="s">
        <v>47</v>
      </c>
      <c r="X78" s="47" t="s">
        <v>236</v>
      </c>
      <c r="Y78" s="47" t="str">
        <f t="shared" ref="Y78" si="14">B78</f>
        <v>猴王</v>
      </c>
      <c r="Z78" s="11"/>
      <c r="AA78" s="11"/>
      <c r="AB78" s="11" t="s">
        <v>235</v>
      </c>
      <c r="AC78" s="11">
        <v>2209</v>
      </c>
      <c r="AD78" s="11">
        <v>2210</v>
      </c>
      <c r="AE78" s="11">
        <v>2211</v>
      </c>
      <c r="AF78" s="11">
        <v>2212</v>
      </c>
      <c r="AG78" s="11"/>
      <c r="AH78" s="47" t="s">
        <v>52</v>
      </c>
      <c r="AI78" s="11">
        <v>1</v>
      </c>
      <c r="AJ78" s="11" t="s">
        <v>223</v>
      </c>
      <c r="AK78" s="11" t="s">
        <v>237</v>
      </c>
      <c r="AL78" s="11" t="s">
        <v>238</v>
      </c>
      <c r="AN78" s="47" t="s">
        <v>47</v>
      </c>
      <c r="AO78" s="11"/>
      <c r="AP78" s="11" t="s">
        <v>53</v>
      </c>
      <c r="AQ78" s="2">
        <v>0</v>
      </c>
    </row>
    <row r="79" s="3" customFormat="1" ht="12.75" spans="1:43">
      <c r="A79" s="61">
        <v>160605</v>
      </c>
      <c r="B79" s="12" t="s">
        <v>239</v>
      </c>
      <c r="C79" s="12"/>
      <c r="D79" s="12"/>
      <c r="E79" s="12"/>
      <c r="F79" s="12">
        <v>0</v>
      </c>
      <c r="G79" s="12" t="s">
        <v>47</v>
      </c>
      <c r="H79" s="12">
        <v>0.8</v>
      </c>
      <c r="I79" s="12" t="s">
        <v>45</v>
      </c>
      <c r="J79" s="12">
        <v>0</v>
      </c>
      <c r="K79" s="12" t="s">
        <v>46</v>
      </c>
      <c r="L79" s="47" t="s">
        <v>47</v>
      </c>
      <c r="M79" s="64">
        <v>1030010</v>
      </c>
      <c r="N79" s="12">
        <v>0</v>
      </c>
      <c r="O79" s="47" t="s">
        <v>48</v>
      </c>
      <c r="P79" s="12">
        <v>1606</v>
      </c>
      <c r="Q79" s="12">
        <v>1414</v>
      </c>
      <c r="R79" s="12">
        <v>1574</v>
      </c>
      <c r="S79" s="44">
        <v>51</v>
      </c>
      <c r="T79" s="44">
        <v>15</v>
      </c>
      <c r="U79" s="12">
        <v>3</v>
      </c>
      <c r="V79" s="12"/>
      <c r="W79" s="47" t="s">
        <v>47</v>
      </c>
      <c r="X79" s="47" t="s">
        <v>240</v>
      </c>
      <c r="Y79" s="47" t="str">
        <f t="shared" ref="Y79" si="15">B79</f>
        <v>守卫</v>
      </c>
      <c r="Z79" s="12"/>
      <c r="AA79" s="12"/>
      <c r="AB79" s="12" t="s">
        <v>239</v>
      </c>
      <c r="AC79" s="12">
        <v>2209</v>
      </c>
      <c r="AD79" s="12">
        <v>2210</v>
      </c>
      <c r="AE79" s="12">
        <v>2211</v>
      </c>
      <c r="AF79" s="12">
        <v>2212</v>
      </c>
      <c r="AG79" s="12"/>
      <c r="AH79" s="47" t="s">
        <v>52</v>
      </c>
      <c r="AI79" s="12">
        <v>1</v>
      </c>
      <c r="AJ79" s="12" t="s">
        <v>223</v>
      </c>
      <c r="AK79" s="12"/>
      <c r="AL79" s="12" t="s">
        <v>237</v>
      </c>
      <c r="AM79" s="12" t="s">
        <v>238</v>
      </c>
      <c r="AN79" s="47" t="s">
        <v>47</v>
      </c>
      <c r="AO79" s="12"/>
      <c r="AP79" s="12" t="s">
        <v>53</v>
      </c>
      <c r="AQ79" s="2">
        <v>0</v>
      </c>
    </row>
    <row r="80" s="2" customFormat="1" ht="12.75" spans="1:43">
      <c r="A80" s="61">
        <v>160606</v>
      </c>
      <c r="B80" s="11" t="s">
        <v>235</v>
      </c>
      <c r="C80" s="11"/>
      <c r="D80" s="11"/>
      <c r="E80" s="11"/>
      <c r="F80" s="11">
        <v>0</v>
      </c>
      <c r="G80" s="11" t="s">
        <v>47</v>
      </c>
      <c r="H80" s="11" t="s">
        <v>45</v>
      </c>
      <c r="I80" s="11" t="s">
        <v>45</v>
      </c>
      <c r="J80" s="11">
        <v>0</v>
      </c>
      <c r="K80" s="11" t="s">
        <v>46</v>
      </c>
      <c r="L80" s="47" t="s">
        <v>47</v>
      </c>
      <c r="M80" s="50">
        <v>1020106</v>
      </c>
      <c r="N80" s="11">
        <v>0</v>
      </c>
      <c r="O80" s="47" t="s">
        <v>48</v>
      </c>
      <c r="P80" s="11">
        <v>1606</v>
      </c>
      <c r="Q80" s="11">
        <v>2001</v>
      </c>
      <c r="R80" s="11">
        <v>1319</v>
      </c>
      <c r="S80" s="44">
        <v>37</v>
      </c>
      <c r="T80" s="44">
        <v>35</v>
      </c>
      <c r="U80" s="11">
        <v>5</v>
      </c>
      <c r="V80" s="11"/>
      <c r="W80" s="47" t="s">
        <v>47</v>
      </c>
      <c r="X80" s="47" t="s">
        <v>241</v>
      </c>
      <c r="Y80" s="47" t="str">
        <f t="shared" ref="Y80" si="16">B80</f>
        <v>猴王</v>
      </c>
      <c r="Z80" s="11"/>
      <c r="AA80" s="11"/>
      <c r="AB80" s="11" t="s">
        <v>235</v>
      </c>
      <c r="AC80" s="11">
        <v>2213</v>
      </c>
      <c r="AD80" s="11">
        <v>2214</v>
      </c>
      <c r="AE80" s="11">
        <v>2215</v>
      </c>
      <c r="AF80" s="11">
        <v>2216</v>
      </c>
      <c r="AG80" s="11"/>
      <c r="AH80" s="47" t="s">
        <v>52</v>
      </c>
      <c r="AI80" s="11">
        <v>1</v>
      </c>
      <c r="AJ80" s="11" t="s">
        <v>223</v>
      </c>
      <c r="AK80" s="11"/>
      <c r="AL80" s="11" t="s">
        <v>237</v>
      </c>
      <c r="AM80" s="11" t="s">
        <v>238</v>
      </c>
      <c r="AN80" s="47" t="s">
        <v>47</v>
      </c>
      <c r="AO80" s="11"/>
      <c r="AP80" s="11" t="s">
        <v>53</v>
      </c>
      <c r="AQ80" s="2">
        <v>0</v>
      </c>
    </row>
    <row r="81" s="3" customFormat="1" ht="12.75" spans="1:43">
      <c r="A81" s="61">
        <v>160607</v>
      </c>
      <c r="B81" s="12" t="s">
        <v>242</v>
      </c>
      <c r="C81" s="12"/>
      <c r="D81" s="12"/>
      <c r="E81" s="12"/>
      <c r="F81" s="12">
        <v>0</v>
      </c>
      <c r="G81" s="12" t="s">
        <v>47</v>
      </c>
      <c r="H81" s="12" t="s">
        <v>45</v>
      </c>
      <c r="I81" s="12" t="s">
        <v>45</v>
      </c>
      <c r="J81" s="12">
        <v>0</v>
      </c>
      <c r="K81" s="12" t="s">
        <v>46</v>
      </c>
      <c r="L81" s="47" t="s">
        <v>47</v>
      </c>
      <c r="M81" s="64">
        <v>1030001</v>
      </c>
      <c r="N81" s="12">
        <v>0</v>
      </c>
      <c r="O81" s="47" t="s">
        <v>48</v>
      </c>
      <c r="P81" s="12">
        <v>1606</v>
      </c>
      <c r="Q81" s="12">
        <v>1156</v>
      </c>
      <c r="R81" s="12">
        <v>1142</v>
      </c>
      <c r="S81" s="44">
        <v>42</v>
      </c>
      <c r="T81" s="44">
        <v>135</v>
      </c>
      <c r="U81" s="12">
        <v>3</v>
      </c>
      <c r="V81" s="12"/>
      <c r="W81" s="47" t="s">
        <v>47</v>
      </c>
      <c r="X81" s="47" t="s">
        <v>243</v>
      </c>
      <c r="Y81" s="47" t="str">
        <f t="shared" ref="Y81:Y86" si="17">B81</f>
        <v>陈员外</v>
      </c>
      <c r="Z81" s="12"/>
      <c r="AA81" s="12"/>
      <c r="AB81" s="12" t="s">
        <v>242</v>
      </c>
      <c r="AC81" s="12">
        <v>2048</v>
      </c>
      <c r="AD81" s="12">
        <v>2049</v>
      </c>
      <c r="AE81" s="12">
        <v>2050</v>
      </c>
      <c r="AF81" s="12">
        <v>2051</v>
      </c>
      <c r="AG81" s="12"/>
      <c r="AH81" s="47" t="s">
        <v>52</v>
      </c>
      <c r="AI81" s="12">
        <v>1</v>
      </c>
      <c r="AJ81" s="12" t="s">
        <v>117</v>
      </c>
      <c r="AK81" s="12" t="s">
        <v>118</v>
      </c>
      <c r="AL81" s="12" t="s">
        <v>119</v>
      </c>
      <c r="AM81" s="12" t="s">
        <v>120</v>
      </c>
      <c r="AN81" s="47" t="s">
        <v>47</v>
      </c>
      <c r="AO81" s="12"/>
      <c r="AP81" s="12" t="s">
        <v>53</v>
      </c>
      <c r="AQ81" s="2">
        <v>0</v>
      </c>
    </row>
    <row r="82" s="2" customFormat="1" ht="12" spans="1:43">
      <c r="A82" s="61">
        <v>160608</v>
      </c>
      <c r="B82" s="11" t="s">
        <v>244</v>
      </c>
      <c r="C82" s="11"/>
      <c r="D82" s="11"/>
      <c r="E82" s="11"/>
      <c r="F82" s="11">
        <v>0</v>
      </c>
      <c r="G82" s="11" t="s">
        <v>47</v>
      </c>
      <c r="H82" s="11" t="s">
        <v>45</v>
      </c>
      <c r="I82" s="11" t="s">
        <v>45</v>
      </c>
      <c r="J82" s="11">
        <v>0</v>
      </c>
      <c r="K82" s="11" t="s">
        <v>46</v>
      </c>
      <c r="L82" s="47" t="s">
        <v>47</v>
      </c>
      <c r="M82" s="11">
        <v>1020112</v>
      </c>
      <c r="N82" s="11">
        <v>0</v>
      </c>
      <c r="O82" s="47" t="s">
        <v>48</v>
      </c>
      <c r="P82" s="11">
        <v>1606</v>
      </c>
      <c r="Q82" s="11">
        <v>1117</v>
      </c>
      <c r="R82" s="11">
        <v>1015</v>
      </c>
      <c r="S82" s="44">
        <v>22</v>
      </c>
      <c r="T82" s="44">
        <v>39</v>
      </c>
      <c r="U82" s="11">
        <v>3</v>
      </c>
      <c r="V82" s="11"/>
      <c r="W82" s="47" t="s">
        <v>47</v>
      </c>
      <c r="X82" s="47" t="s">
        <v>245</v>
      </c>
      <c r="Y82" s="47" t="str">
        <f t="shared" si="17"/>
        <v>珠宝商人</v>
      </c>
      <c r="Z82" s="11"/>
      <c r="AA82" s="11"/>
      <c r="AB82" s="11" t="s">
        <v>244</v>
      </c>
      <c r="AC82" s="11">
        <v>2076</v>
      </c>
      <c r="AD82" s="11">
        <v>2077</v>
      </c>
      <c r="AE82" s="11">
        <v>2078</v>
      </c>
      <c r="AF82" s="11">
        <v>2079</v>
      </c>
      <c r="AG82" s="11"/>
      <c r="AH82" s="47" t="s">
        <v>52</v>
      </c>
      <c r="AI82" s="11">
        <v>1</v>
      </c>
      <c r="AJ82" s="11" t="s">
        <v>246</v>
      </c>
      <c r="AK82" s="11" t="s">
        <v>247</v>
      </c>
      <c r="AL82" s="11" t="s">
        <v>248</v>
      </c>
      <c r="AM82" s="11" t="s">
        <v>249</v>
      </c>
      <c r="AN82" s="47" t="s">
        <v>47</v>
      </c>
      <c r="AO82" s="11"/>
      <c r="AP82" s="11" t="s">
        <v>53</v>
      </c>
      <c r="AQ82" s="2">
        <v>0</v>
      </c>
    </row>
    <row r="83" s="3" customFormat="1" ht="12" spans="1:43">
      <c r="A83" s="61">
        <v>160609</v>
      </c>
      <c r="B83" s="12" t="s">
        <v>250</v>
      </c>
      <c r="C83" s="12"/>
      <c r="D83" s="12"/>
      <c r="E83" s="12"/>
      <c r="F83" s="12">
        <v>0</v>
      </c>
      <c r="G83" s="12" t="s">
        <v>47</v>
      </c>
      <c r="H83" s="12" t="s">
        <v>45</v>
      </c>
      <c r="I83" s="12" t="s">
        <v>45</v>
      </c>
      <c r="J83" s="12">
        <v>0</v>
      </c>
      <c r="K83" s="12" t="s">
        <v>46</v>
      </c>
      <c r="L83" s="47" t="s">
        <v>47</v>
      </c>
      <c r="M83" s="12">
        <v>1020141</v>
      </c>
      <c r="N83" s="12">
        <v>0</v>
      </c>
      <c r="O83" s="47" t="s">
        <v>48</v>
      </c>
      <c r="P83" s="12">
        <v>1606</v>
      </c>
      <c r="Q83" s="12">
        <v>1020</v>
      </c>
      <c r="R83" s="12">
        <v>1151</v>
      </c>
      <c r="S83" s="44">
        <v>11</v>
      </c>
      <c r="T83" s="44">
        <v>68</v>
      </c>
      <c r="U83" s="12">
        <v>3</v>
      </c>
      <c r="V83" s="12"/>
      <c r="W83" s="47" t="s">
        <v>47</v>
      </c>
      <c r="X83" s="47" t="s">
        <v>245</v>
      </c>
      <c r="Y83" s="47" t="str">
        <f t="shared" si="17"/>
        <v>五火球教徒</v>
      </c>
      <c r="Z83" s="12"/>
      <c r="AA83" s="12"/>
      <c r="AB83" s="12" t="s">
        <v>250</v>
      </c>
      <c r="AC83" s="12">
        <v>2076</v>
      </c>
      <c r="AD83" s="12">
        <v>2077</v>
      </c>
      <c r="AE83" s="12">
        <v>2078</v>
      </c>
      <c r="AF83" s="12">
        <v>2079</v>
      </c>
      <c r="AG83" s="12"/>
      <c r="AH83" s="47" t="s">
        <v>52</v>
      </c>
      <c r="AI83" s="12">
        <v>1</v>
      </c>
      <c r="AJ83" s="12" t="s">
        <v>246</v>
      </c>
      <c r="AK83" s="12" t="s">
        <v>247</v>
      </c>
      <c r="AL83" s="12" t="s">
        <v>248</v>
      </c>
      <c r="AM83" s="12" t="s">
        <v>249</v>
      </c>
      <c r="AN83" s="47" t="s">
        <v>47</v>
      </c>
      <c r="AO83" s="12"/>
      <c r="AP83" s="12" t="s">
        <v>53</v>
      </c>
      <c r="AQ83" s="2">
        <v>0</v>
      </c>
    </row>
    <row r="84" s="2" customFormat="1" ht="12" spans="1:43">
      <c r="A84" s="61">
        <v>160610</v>
      </c>
      <c r="B84" s="11" t="s">
        <v>250</v>
      </c>
      <c r="C84" s="11"/>
      <c r="D84" s="11"/>
      <c r="E84" s="11"/>
      <c r="F84" s="12">
        <v>0</v>
      </c>
      <c r="G84" s="11" t="s">
        <v>47</v>
      </c>
      <c r="H84" s="11" t="s">
        <v>45</v>
      </c>
      <c r="I84" s="11" t="s">
        <v>45</v>
      </c>
      <c r="J84" s="11">
        <v>0</v>
      </c>
      <c r="K84" s="11" t="s">
        <v>46</v>
      </c>
      <c r="L84" s="47" t="s">
        <v>47</v>
      </c>
      <c r="M84" s="11">
        <v>1020142</v>
      </c>
      <c r="N84" s="11" t="s">
        <v>47</v>
      </c>
      <c r="O84" s="47" t="s">
        <v>48</v>
      </c>
      <c r="P84" s="11">
        <v>1606</v>
      </c>
      <c r="Q84" s="11">
        <v>1257</v>
      </c>
      <c r="R84" s="11">
        <v>1070</v>
      </c>
      <c r="S84" s="44">
        <v>14</v>
      </c>
      <c r="T84" s="44">
        <v>73</v>
      </c>
      <c r="U84" s="11">
        <v>5</v>
      </c>
      <c r="V84" s="11"/>
      <c r="W84" s="47" t="s">
        <v>47</v>
      </c>
      <c r="X84" s="47" t="s">
        <v>245</v>
      </c>
      <c r="Y84" s="47" t="str">
        <f t="shared" si="17"/>
        <v>五火球教徒</v>
      </c>
      <c r="Z84" s="11"/>
      <c r="AA84" s="11"/>
      <c r="AB84" s="11" t="s">
        <v>250</v>
      </c>
      <c r="AC84" s="11">
        <v>2076</v>
      </c>
      <c r="AD84" s="11">
        <v>2077</v>
      </c>
      <c r="AE84" s="11">
        <v>2078</v>
      </c>
      <c r="AF84" s="11">
        <v>2079</v>
      </c>
      <c r="AG84" s="11"/>
      <c r="AH84" s="47" t="s">
        <v>52</v>
      </c>
      <c r="AI84" s="11">
        <v>1</v>
      </c>
      <c r="AJ84" s="11" t="s">
        <v>246</v>
      </c>
      <c r="AK84" s="11" t="s">
        <v>247</v>
      </c>
      <c r="AL84" s="11" t="s">
        <v>248</v>
      </c>
      <c r="AM84" s="11" t="s">
        <v>249</v>
      </c>
      <c r="AN84" s="47" t="s">
        <v>47</v>
      </c>
      <c r="AO84" s="11"/>
      <c r="AP84" s="11" t="s">
        <v>53</v>
      </c>
      <c r="AQ84" s="2">
        <v>0</v>
      </c>
    </row>
    <row r="85" s="3" customFormat="1" ht="12" spans="1:43">
      <c r="A85" s="61">
        <v>160611</v>
      </c>
      <c r="B85" s="12" t="s">
        <v>250</v>
      </c>
      <c r="C85" s="12"/>
      <c r="D85" s="12"/>
      <c r="E85" s="12"/>
      <c r="F85" s="12">
        <v>0</v>
      </c>
      <c r="G85" s="12" t="s">
        <v>47</v>
      </c>
      <c r="H85" s="12" t="s">
        <v>45</v>
      </c>
      <c r="I85" s="12" t="s">
        <v>45</v>
      </c>
      <c r="J85" s="12">
        <v>0</v>
      </c>
      <c r="K85" s="12" t="s">
        <v>46</v>
      </c>
      <c r="L85" s="47" t="s">
        <v>47</v>
      </c>
      <c r="M85" s="12">
        <v>1020143</v>
      </c>
      <c r="N85" s="12">
        <v>0</v>
      </c>
      <c r="O85" s="47" t="s">
        <v>48</v>
      </c>
      <c r="P85" s="12">
        <v>1606</v>
      </c>
      <c r="Q85" s="12">
        <v>1124</v>
      </c>
      <c r="R85" s="12">
        <v>1276</v>
      </c>
      <c r="S85" s="44">
        <v>11</v>
      </c>
      <c r="T85" s="44">
        <v>70</v>
      </c>
      <c r="U85" s="12">
        <v>1</v>
      </c>
      <c r="V85" s="12"/>
      <c r="W85" s="47" t="s">
        <v>47</v>
      </c>
      <c r="X85" s="47" t="s">
        <v>245</v>
      </c>
      <c r="Y85" s="47" t="str">
        <f t="shared" si="17"/>
        <v>五火球教徒</v>
      </c>
      <c r="Z85" s="12"/>
      <c r="AA85" s="12"/>
      <c r="AB85" s="12" t="s">
        <v>250</v>
      </c>
      <c r="AC85" s="12">
        <v>2076</v>
      </c>
      <c r="AD85" s="12">
        <v>2077</v>
      </c>
      <c r="AE85" s="12">
        <v>2078</v>
      </c>
      <c r="AF85" s="12">
        <v>2079</v>
      </c>
      <c r="AG85" s="12"/>
      <c r="AH85" s="47" t="s">
        <v>52</v>
      </c>
      <c r="AI85" s="12">
        <v>1</v>
      </c>
      <c r="AJ85" s="12" t="s">
        <v>246</v>
      </c>
      <c r="AK85" s="12" t="s">
        <v>247</v>
      </c>
      <c r="AL85" s="12" t="s">
        <v>248</v>
      </c>
      <c r="AM85" s="12" t="s">
        <v>249</v>
      </c>
      <c r="AN85" s="47" t="s">
        <v>47</v>
      </c>
      <c r="AO85" s="12"/>
      <c r="AP85" s="12" t="s">
        <v>53</v>
      </c>
      <c r="AQ85" s="2">
        <v>0</v>
      </c>
    </row>
    <row r="86" s="2" customFormat="1" ht="12" spans="1:43">
      <c r="A86" s="61">
        <v>160612</v>
      </c>
      <c r="B86" s="11" t="s">
        <v>250</v>
      </c>
      <c r="C86" s="11"/>
      <c r="D86" s="11"/>
      <c r="E86" s="11"/>
      <c r="F86" s="12">
        <v>0</v>
      </c>
      <c r="G86" s="11" t="s">
        <v>47</v>
      </c>
      <c r="H86" s="11" t="s">
        <v>45</v>
      </c>
      <c r="I86" s="11" t="s">
        <v>45</v>
      </c>
      <c r="J86" s="11">
        <v>0</v>
      </c>
      <c r="K86" s="11" t="s">
        <v>46</v>
      </c>
      <c r="L86" s="47" t="s">
        <v>47</v>
      </c>
      <c r="M86" s="11">
        <v>1020144</v>
      </c>
      <c r="N86" s="11" t="s">
        <v>47</v>
      </c>
      <c r="O86" s="47" t="s">
        <v>48</v>
      </c>
      <c r="P86" s="11">
        <v>1606</v>
      </c>
      <c r="Q86" s="11">
        <v>1251</v>
      </c>
      <c r="R86" s="11">
        <v>1129</v>
      </c>
      <c r="S86" s="44">
        <v>11</v>
      </c>
      <c r="T86" s="44">
        <v>70</v>
      </c>
      <c r="U86" s="11">
        <v>7</v>
      </c>
      <c r="V86" s="11"/>
      <c r="W86" s="47" t="s">
        <v>47</v>
      </c>
      <c r="X86" s="47" t="s">
        <v>245</v>
      </c>
      <c r="Y86" s="47" t="str">
        <f t="shared" si="17"/>
        <v>五火球教徒</v>
      </c>
      <c r="Z86" s="11"/>
      <c r="AA86" s="11"/>
      <c r="AB86" s="11" t="s">
        <v>250</v>
      </c>
      <c r="AC86" s="11">
        <v>2076</v>
      </c>
      <c r="AD86" s="11">
        <v>2077</v>
      </c>
      <c r="AE86" s="11">
        <v>2078</v>
      </c>
      <c r="AF86" s="11">
        <v>2079</v>
      </c>
      <c r="AG86" s="11"/>
      <c r="AH86" s="47" t="s">
        <v>52</v>
      </c>
      <c r="AI86" s="11">
        <v>1</v>
      </c>
      <c r="AJ86" s="11" t="s">
        <v>246</v>
      </c>
      <c r="AK86" s="11" t="s">
        <v>247</v>
      </c>
      <c r="AL86" s="11" t="s">
        <v>248</v>
      </c>
      <c r="AM86" s="11" t="s">
        <v>249</v>
      </c>
      <c r="AN86" s="47" t="s">
        <v>47</v>
      </c>
      <c r="AO86" s="11"/>
      <c r="AP86" s="11" t="s">
        <v>53</v>
      </c>
      <c r="AQ86" s="2">
        <v>0</v>
      </c>
    </row>
    <row r="87" s="9" customFormat="1" ht="12" spans="1:43">
      <c r="A87" s="62">
        <v>160613</v>
      </c>
      <c r="B87" s="62" t="s">
        <v>251</v>
      </c>
      <c r="C87" s="62"/>
      <c r="D87" s="62"/>
      <c r="E87" s="62"/>
      <c r="F87" s="62">
        <v>0</v>
      </c>
      <c r="G87" s="62" t="s">
        <v>47</v>
      </c>
      <c r="H87" s="62" t="s">
        <v>45</v>
      </c>
      <c r="I87" s="62" t="s">
        <v>45</v>
      </c>
      <c r="J87" s="62">
        <v>1</v>
      </c>
      <c r="K87" s="62" t="s">
        <v>46</v>
      </c>
      <c r="L87" s="62" t="s">
        <v>47</v>
      </c>
      <c r="M87" s="62">
        <v>1030008</v>
      </c>
      <c r="N87" s="62">
        <v>0</v>
      </c>
      <c r="O87" s="62" t="s">
        <v>48</v>
      </c>
      <c r="P87" s="62">
        <v>1606</v>
      </c>
      <c r="Q87" s="62">
        <v>437</v>
      </c>
      <c r="R87" s="62">
        <v>503</v>
      </c>
      <c r="S87" s="62">
        <v>5</v>
      </c>
      <c r="T87" s="62">
        <v>17</v>
      </c>
      <c r="U87" s="62">
        <v>3</v>
      </c>
      <c r="V87" s="62"/>
      <c r="W87" s="62" t="s">
        <v>47</v>
      </c>
      <c r="X87" s="62" t="s">
        <v>252</v>
      </c>
      <c r="Y87" s="62" t="s">
        <v>251</v>
      </c>
      <c r="Z87" s="62"/>
      <c r="AA87" s="62"/>
      <c r="AB87" s="62" t="s">
        <v>251</v>
      </c>
      <c r="AC87" s="62">
        <v>2467</v>
      </c>
      <c r="AD87" s="62" t="s">
        <v>51</v>
      </c>
      <c r="AE87" s="62" t="s">
        <v>51</v>
      </c>
      <c r="AF87" s="62" t="s">
        <v>51</v>
      </c>
      <c r="AG87" s="62"/>
      <c r="AH87" s="62" t="s">
        <v>52</v>
      </c>
      <c r="AI87" s="67">
        <v>0</v>
      </c>
      <c r="AJ87" s="62" t="s">
        <v>154</v>
      </c>
      <c r="AK87" s="62"/>
      <c r="AL87" s="62"/>
      <c r="AM87" s="62"/>
      <c r="AN87" s="62" t="s">
        <v>47</v>
      </c>
      <c r="AO87" s="62"/>
      <c r="AP87" s="62" t="s">
        <v>53</v>
      </c>
      <c r="AQ87" s="9">
        <v>0</v>
      </c>
    </row>
    <row r="88" s="2" customFormat="1" ht="12.75" spans="1:43">
      <c r="A88" s="61">
        <v>160614</v>
      </c>
      <c r="B88" s="11" t="s">
        <v>253</v>
      </c>
      <c r="C88" s="11"/>
      <c r="D88" s="11"/>
      <c r="E88" s="11"/>
      <c r="F88" s="11">
        <v>0</v>
      </c>
      <c r="G88" s="11">
        <v>0</v>
      </c>
      <c r="H88" s="11" t="s">
        <v>45</v>
      </c>
      <c r="I88" s="11">
        <v>7</v>
      </c>
      <c r="J88" s="11">
        <v>1</v>
      </c>
      <c r="K88" s="11" t="s">
        <v>46</v>
      </c>
      <c r="L88" s="47" t="s">
        <v>47</v>
      </c>
      <c r="M88" s="64">
        <v>1030002</v>
      </c>
      <c r="N88" s="11">
        <v>0</v>
      </c>
      <c r="O88" s="47" t="s">
        <v>48</v>
      </c>
      <c r="P88" s="11">
        <v>1606</v>
      </c>
      <c r="Q88" s="12">
        <v>1326</v>
      </c>
      <c r="R88" s="12">
        <v>335</v>
      </c>
      <c r="S88" s="44">
        <v>36</v>
      </c>
      <c r="T88" s="44">
        <v>100</v>
      </c>
      <c r="U88" s="11">
        <v>3</v>
      </c>
      <c r="V88" s="11"/>
      <c r="W88" s="47" t="s">
        <v>47</v>
      </c>
      <c r="X88" s="47" t="s">
        <v>254</v>
      </c>
      <c r="Y88" s="47" t="s">
        <v>255</v>
      </c>
      <c r="Z88" s="11"/>
      <c r="AA88" s="11"/>
      <c r="AB88" s="11" t="s">
        <v>253</v>
      </c>
      <c r="AC88" s="60">
        <v>2705</v>
      </c>
      <c r="AD88" s="11" t="s">
        <v>51</v>
      </c>
      <c r="AE88" s="11" t="s">
        <v>51</v>
      </c>
      <c r="AF88" s="11" t="s">
        <v>51</v>
      </c>
      <c r="AG88" s="11"/>
      <c r="AH88" s="47" t="s">
        <v>52</v>
      </c>
      <c r="AI88" s="11">
        <v>0</v>
      </c>
      <c r="AJ88" s="44" t="s">
        <v>203</v>
      </c>
      <c r="AK88" s="44" t="s">
        <v>204</v>
      </c>
      <c r="AL88" s="44" t="s">
        <v>205</v>
      </c>
      <c r="AM88" s="44" t="s">
        <v>206</v>
      </c>
      <c r="AN88" s="47" t="s">
        <v>47</v>
      </c>
      <c r="AO88" s="11"/>
      <c r="AP88" s="11" t="s">
        <v>53</v>
      </c>
      <c r="AQ88" s="2">
        <v>0</v>
      </c>
    </row>
    <row r="89" s="6" customFormat="1" ht="12.75" spans="1:43">
      <c r="A89" s="61">
        <v>160615</v>
      </c>
      <c r="B89" s="12" t="s">
        <v>256</v>
      </c>
      <c r="C89" s="43"/>
      <c r="D89" s="43"/>
      <c r="E89" s="43"/>
      <c r="F89" s="43">
        <v>0</v>
      </c>
      <c r="G89" s="43" t="s">
        <v>47</v>
      </c>
      <c r="H89" s="43" t="s">
        <v>45</v>
      </c>
      <c r="I89" s="43" t="s">
        <v>45</v>
      </c>
      <c r="J89" s="12">
        <v>1</v>
      </c>
      <c r="K89" s="43" t="s">
        <v>46</v>
      </c>
      <c r="L89" s="47" t="s">
        <v>47</v>
      </c>
      <c r="M89" s="65">
        <v>1050102</v>
      </c>
      <c r="N89" s="43">
        <v>0</v>
      </c>
      <c r="O89" s="47" t="s">
        <v>48</v>
      </c>
      <c r="P89" s="43">
        <v>1606</v>
      </c>
      <c r="Q89" s="43">
        <v>1230</v>
      </c>
      <c r="R89" s="43">
        <v>731</v>
      </c>
      <c r="S89" s="43">
        <v>38</v>
      </c>
      <c r="T89" s="43">
        <v>22</v>
      </c>
      <c r="U89" s="43">
        <v>3</v>
      </c>
      <c r="V89" s="43"/>
      <c r="W89" s="47" t="s">
        <v>47</v>
      </c>
      <c r="X89" s="47"/>
      <c r="Y89" s="47" t="str">
        <f t="shared" ref="Y89:Y90" si="18">B89</f>
        <v>罗道人</v>
      </c>
      <c r="Z89" s="43"/>
      <c r="AA89" s="43"/>
      <c r="AB89" s="12" t="s">
        <v>256</v>
      </c>
      <c r="AC89" s="43">
        <v>2710</v>
      </c>
      <c r="AD89" s="43"/>
      <c r="AE89" s="43"/>
      <c r="AF89" s="43"/>
      <c r="AG89" s="43"/>
      <c r="AH89" s="47" t="s">
        <v>52</v>
      </c>
      <c r="AI89" s="43">
        <v>0</v>
      </c>
      <c r="AJ89" s="44" t="s">
        <v>203</v>
      </c>
      <c r="AK89" s="44" t="s">
        <v>204</v>
      </c>
      <c r="AL89" s="44" t="s">
        <v>205</v>
      </c>
      <c r="AM89" s="44" t="s">
        <v>206</v>
      </c>
      <c r="AN89" s="47" t="s">
        <v>47</v>
      </c>
      <c r="AO89" s="43"/>
      <c r="AP89" s="43" t="s">
        <v>53</v>
      </c>
      <c r="AQ89" s="2">
        <v>0</v>
      </c>
    </row>
    <row r="90" s="7" customFormat="1" ht="12" spans="1:43">
      <c r="A90" s="61">
        <v>160616</v>
      </c>
      <c r="B90" s="11" t="s">
        <v>257</v>
      </c>
      <c r="C90" s="44"/>
      <c r="D90" s="44"/>
      <c r="E90" s="44"/>
      <c r="F90" s="44">
        <v>0</v>
      </c>
      <c r="G90" s="44">
        <v>0</v>
      </c>
      <c r="H90" s="44">
        <v>1</v>
      </c>
      <c r="I90" s="44">
        <v>1</v>
      </c>
      <c r="J90" s="12">
        <v>1</v>
      </c>
      <c r="K90" s="44" t="s">
        <v>46</v>
      </c>
      <c r="L90" s="47">
        <v>0</v>
      </c>
      <c r="M90" s="44">
        <v>1020132</v>
      </c>
      <c r="N90" s="44">
        <v>0</v>
      </c>
      <c r="O90" s="47">
        <v>-1</v>
      </c>
      <c r="P90" s="44">
        <v>1606</v>
      </c>
      <c r="Q90" s="44">
        <v>1459</v>
      </c>
      <c r="R90" s="44">
        <v>311</v>
      </c>
      <c r="S90" s="44">
        <v>13</v>
      </c>
      <c r="T90" s="44">
        <v>36</v>
      </c>
      <c r="U90" s="44">
        <v>5</v>
      </c>
      <c r="V90" s="44"/>
      <c r="W90" s="47">
        <v>0</v>
      </c>
      <c r="X90" s="47"/>
      <c r="Y90" s="47" t="str">
        <f t="shared" si="18"/>
        <v>宝象国卫士</v>
      </c>
      <c r="Z90" s="44"/>
      <c r="AA90" s="44"/>
      <c r="AB90" s="11" t="s">
        <v>257</v>
      </c>
      <c r="AC90" s="44">
        <v>2715</v>
      </c>
      <c r="AD90" s="44"/>
      <c r="AE90" s="44"/>
      <c r="AF90" s="44"/>
      <c r="AG90" s="44"/>
      <c r="AH90" s="47" t="s">
        <v>52</v>
      </c>
      <c r="AI90" s="44">
        <v>0</v>
      </c>
      <c r="AJ90" s="44" t="s">
        <v>223</v>
      </c>
      <c r="AK90" s="44" t="s">
        <v>237</v>
      </c>
      <c r="AL90" s="44" t="s">
        <v>238</v>
      </c>
      <c r="AM90" s="44" t="s">
        <v>238</v>
      </c>
      <c r="AN90" s="47">
        <v>0</v>
      </c>
      <c r="AO90" s="44"/>
      <c r="AP90" s="44" t="s">
        <v>53</v>
      </c>
      <c r="AQ90" s="2">
        <v>0</v>
      </c>
    </row>
    <row r="91" s="3" customFormat="1" ht="12.75" spans="1:43">
      <c r="A91" s="53">
        <v>160701</v>
      </c>
      <c r="B91" s="12" t="s">
        <v>258</v>
      </c>
      <c r="C91" s="12"/>
      <c r="D91" s="12"/>
      <c r="E91" s="12"/>
      <c r="F91" s="12">
        <v>0</v>
      </c>
      <c r="G91" s="12" t="s">
        <v>47</v>
      </c>
      <c r="H91" s="12" t="s">
        <v>45</v>
      </c>
      <c r="I91" s="12" t="s">
        <v>45</v>
      </c>
      <c r="J91" s="12">
        <v>0</v>
      </c>
      <c r="K91" s="12" t="s">
        <v>46</v>
      </c>
      <c r="L91" s="47" t="s">
        <v>47</v>
      </c>
      <c r="M91" s="50">
        <v>1020134</v>
      </c>
      <c r="N91" s="12">
        <v>0</v>
      </c>
      <c r="O91" s="47" t="s">
        <v>48</v>
      </c>
      <c r="P91" s="12">
        <v>1607</v>
      </c>
      <c r="Q91" s="12"/>
      <c r="R91" s="12"/>
      <c r="S91" s="44">
        <v>51</v>
      </c>
      <c r="T91" s="44">
        <v>28</v>
      </c>
      <c r="U91" s="12">
        <v>1</v>
      </c>
      <c r="V91" s="12"/>
      <c r="W91" s="47" t="s">
        <v>47</v>
      </c>
      <c r="X91" s="47" t="s">
        <v>259</v>
      </c>
      <c r="Y91" s="47" t="str">
        <f t="shared" ref="Y91:Y93" si="19">B91</f>
        <v>王母娘娘</v>
      </c>
      <c r="Z91" s="12"/>
      <c r="AA91" s="12"/>
      <c r="AB91" s="12" t="s">
        <v>258</v>
      </c>
      <c r="AC91" s="12">
        <v>2084</v>
      </c>
      <c r="AD91" s="12">
        <v>2085</v>
      </c>
      <c r="AE91" s="12">
        <v>2086</v>
      </c>
      <c r="AF91" s="12">
        <v>2087</v>
      </c>
      <c r="AG91" s="12"/>
      <c r="AH91" s="47" t="s">
        <v>52</v>
      </c>
      <c r="AI91" s="12">
        <v>1</v>
      </c>
      <c r="AJ91" s="12" t="s">
        <v>132</v>
      </c>
      <c r="AK91" s="12" t="s">
        <v>133</v>
      </c>
      <c r="AL91" s="12" t="s">
        <v>134</v>
      </c>
      <c r="AM91" s="12" t="s">
        <v>135</v>
      </c>
      <c r="AN91" s="47" t="s">
        <v>47</v>
      </c>
      <c r="AO91" s="12"/>
      <c r="AP91" s="12" t="s">
        <v>53</v>
      </c>
      <c r="AQ91" s="2">
        <v>0</v>
      </c>
    </row>
    <row r="92" s="2" customFormat="1" ht="12" spans="1:43">
      <c r="A92" s="53">
        <v>160702</v>
      </c>
      <c r="B92" s="11" t="s">
        <v>260</v>
      </c>
      <c r="C92" s="11"/>
      <c r="D92" s="11"/>
      <c r="E92" s="11"/>
      <c r="F92" s="11">
        <v>0</v>
      </c>
      <c r="G92" s="11" t="s">
        <v>47</v>
      </c>
      <c r="H92" s="11" t="s">
        <v>45</v>
      </c>
      <c r="I92" s="11" t="s">
        <v>45</v>
      </c>
      <c r="J92" s="11">
        <v>0</v>
      </c>
      <c r="K92" s="11" t="s">
        <v>46</v>
      </c>
      <c r="L92" s="47" t="s">
        <v>47</v>
      </c>
      <c r="M92" s="11">
        <v>1020118</v>
      </c>
      <c r="N92" s="11">
        <v>0</v>
      </c>
      <c r="O92" s="47" t="s">
        <v>48</v>
      </c>
      <c r="P92" s="11">
        <v>1607</v>
      </c>
      <c r="Q92" s="11"/>
      <c r="R92" s="11"/>
      <c r="S92" s="11">
        <v>51</v>
      </c>
      <c r="T92" s="11">
        <v>46</v>
      </c>
      <c r="U92" s="11">
        <v>3</v>
      </c>
      <c r="V92" s="11"/>
      <c r="W92" s="47" t="s">
        <v>47</v>
      </c>
      <c r="X92" s="47" t="s">
        <v>261</v>
      </c>
      <c r="Y92" s="47" t="str">
        <f t="shared" si="19"/>
        <v>太白金星</v>
      </c>
      <c r="Z92" s="11"/>
      <c r="AA92" s="11"/>
      <c r="AB92" s="11" t="s">
        <v>260</v>
      </c>
      <c r="AC92" s="11">
        <v>2080</v>
      </c>
      <c r="AD92" s="11">
        <v>2081</v>
      </c>
      <c r="AE92" s="11">
        <v>2082</v>
      </c>
      <c r="AF92" s="11">
        <v>2083</v>
      </c>
      <c r="AG92" s="11"/>
      <c r="AH92" s="47" t="s">
        <v>52</v>
      </c>
      <c r="AI92" s="11">
        <v>1</v>
      </c>
      <c r="AJ92" s="11" t="s">
        <v>262</v>
      </c>
      <c r="AK92" s="11" t="s">
        <v>263</v>
      </c>
      <c r="AL92" s="11" t="s">
        <v>264</v>
      </c>
      <c r="AM92" s="11" t="s">
        <v>265</v>
      </c>
      <c r="AN92" s="47" t="s">
        <v>47</v>
      </c>
      <c r="AO92" s="11"/>
      <c r="AP92" s="11" t="s">
        <v>53</v>
      </c>
      <c r="AQ92" s="2">
        <v>0</v>
      </c>
    </row>
    <row r="93" s="3" customFormat="1" ht="12" spans="1:43">
      <c r="A93" s="53">
        <v>160703</v>
      </c>
      <c r="B93" s="12" t="s">
        <v>266</v>
      </c>
      <c r="C93" s="12"/>
      <c r="D93" s="12"/>
      <c r="E93" s="12"/>
      <c r="F93" s="12">
        <v>0</v>
      </c>
      <c r="G93" s="12" t="s">
        <v>47</v>
      </c>
      <c r="H93" s="12" t="s">
        <v>45</v>
      </c>
      <c r="I93" s="12" t="s">
        <v>45</v>
      </c>
      <c r="J93" s="12">
        <v>0</v>
      </c>
      <c r="K93" s="12" t="s">
        <v>46</v>
      </c>
      <c r="L93" s="47" t="s">
        <v>47</v>
      </c>
      <c r="M93" s="12">
        <v>1020117</v>
      </c>
      <c r="N93" s="12">
        <v>0</v>
      </c>
      <c r="O93" s="47" t="s">
        <v>48</v>
      </c>
      <c r="P93" s="12">
        <v>1607</v>
      </c>
      <c r="Q93" s="12"/>
      <c r="R93" s="12"/>
      <c r="S93" s="12">
        <v>59</v>
      </c>
      <c r="T93" s="12">
        <v>32</v>
      </c>
      <c r="U93" s="12">
        <v>3</v>
      </c>
      <c r="V93" s="12"/>
      <c r="W93" s="47" t="s">
        <v>47</v>
      </c>
      <c r="X93" s="47" t="s">
        <v>267</v>
      </c>
      <c r="Y93" s="47" t="str">
        <f t="shared" si="19"/>
        <v>玉皇大帝</v>
      </c>
      <c r="Z93" s="12"/>
      <c r="AA93" s="12"/>
      <c r="AB93" s="12" t="s">
        <v>266</v>
      </c>
      <c r="AC93" s="12">
        <v>2089</v>
      </c>
      <c r="AD93" s="12">
        <v>2090</v>
      </c>
      <c r="AE93" s="12">
        <v>2091</v>
      </c>
      <c r="AF93" s="12" t="s">
        <v>51</v>
      </c>
      <c r="AG93" s="12"/>
      <c r="AH93" s="47" t="s">
        <v>52</v>
      </c>
      <c r="AI93" s="12">
        <v>1</v>
      </c>
      <c r="AJ93" s="12" t="s">
        <v>268</v>
      </c>
      <c r="AK93" s="12" t="s">
        <v>269</v>
      </c>
      <c r="AL93" s="12" t="s">
        <v>270</v>
      </c>
      <c r="AM93" s="12"/>
      <c r="AN93" s="47" t="s">
        <v>47</v>
      </c>
      <c r="AO93" s="12"/>
      <c r="AP93" s="12" t="s">
        <v>53</v>
      </c>
      <c r="AQ93" s="2">
        <v>0</v>
      </c>
    </row>
    <row r="94" s="8" customFormat="1" ht="12.75" spans="1:43">
      <c r="A94" s="53">
        <v>160704</v>
      </c>
      <c r="B94" s="60" t="s">
        <v>271</v>
      </c>
      <c r="C94" s="60"/>
      <c r="D94" s="60"/>
      <c r="E94" s="60"/>
      <c r="F94" s="60">
        <v>6</v>
      </c>
      <c r="G94" s="60" t="s">
        <v>47</v>
      </c>
      <c r="H94" s="60" t="s">
        <v>45</v>
      </c>
      <c r="I94" s="60" t="s">
        <v>45</v>
      </c>
      <c r="J94" s="60">
        <v>0</v>
      </c>
      <c r="K94" s="60" t="s">
        <v>46</v>
      </c>
      <c r="L94" s="60" t="s">
        <v>47</v>
      </c>
      <c r="M94" s="66">
        <v>530100</v>
      </c>
      <c r="N94" s="60">
        <v>0</v>
      </c>
      <c r="O94" s="60" t="s">
        <v>48</v>
      </c>
      <c r="P94" s="60">
        <v>1607</v>
      </c>
      <c r="Q94" s="60">
        <f>S94*16</f>
        <v>3200</v>
      </c>
      <c r="R94" s="60">
        <f>T94*16</f>
        <v>2848</v>
      </c>
      <c r="S94" s="60">
        <v>200</v>
      </c>
      <c r="T94" s="60">
        <v>178</v>
      </c>
      <c r="U94" s="60">
        <v>3</v>
      </c>
      <c r="V94" s="60"/>
      <c r="W94" s="60" t="s">
        <v>47</v>
      </c>
      <c r="X94" s="60" t="s">
        <v>272</v>
      </c>
      <c r="Y94" s="60" t="str">
        <f t="shared" ref="Y94:Y97" si="20">B94</f>
        <v>黑龙公主</v>
      </c>
      <c r="Z94" s="60"/>
      <c r="AA94" s="60"/>
      <c r="AB94" s="60" t="s">
        <v>271</v>
      </c>
      <c r="AC94" s="62">
        <v>2467</v>
      </c>
      <c r="AD94" s="60"/>
      <c r="AE94" s="60"/>
      <c r="AF94" s="60" t="s">
        <v>51</v>
      </c>
      <c r="AG94" s="60"/>
      <c r="AH94" s="60" t="s">
        <v>52</v>
      </c>
      <c r="AI94" s="60">
        <v>1</v>
      </c>
      <c r="AJ94" s="60"/>
      <c r="AK94" s="60"/>
      <c r="AL94" s="60"/>
      <c r="AM94" s="60"/>
      <c r="AN94" s="60" t="s">
        <v>47</v>
      </c>
      <c r="AO94" s="60"/>
      <c r="AP94" s="60" t="s">
        <v>53</v>
      </c>
      <c r="AQ94" s="2">
        <v>0</v>
      </c>
    </row>
    <row r="95" s="2" customFormat="1" ht="12" spans="1:43">
      <c r="A95" s="61">
        <v>160801</v>
      </c>
      <c r="B95" s="11" t="s">
        <v>273</v>
      </c>
      <c r="C95" s="11"/>
      <c r="D95" s="11"/>
      <c r="E95" s="11"/>
      <c r="F95" s="11">
        <v>0</v>
      </c>
      <c r="G95" s="11" t="s">
        <v>47</v>
      </c>
      <c r="H95" s="11" t="s">
        <v>45</v>
      </c>
      <c r="I95" s="11" t="s">
        <v>45</v>
      </c>
      <c r="J95" s="11">
        <v>1</v>
      </c>
      <c r="K95" s="12" t="s">
        <v>46</v>
      </c>
      <c r="L95" s="47" t="s">
        <v>47</v>
      </c>
      <c r="M95" s="11">
        <v>1020134</v>
      </c>
      <c r="N95" s="11">
        <v>0</v>
      </c>
      <c r="O95" s="47" t="s">
        <v>48</v>
      </c>
      <c r="P95" s="11">
        <v>1608</v>
      </c>
      <c r="Q95" s="11">
        <v>1911</v>
      </c>
      <c r="R95" s="11">
        <v>1050</v>
      </c>
      <c r="S95" s="44">
        <v>86</v>
      </c>
      <c r="T95" s="44">
        <v>62</v>
      </c>
      <c r="U95" s="11">
        <v>5</v>
      </c>
      <c r="V95" s="11"/>
      <c r="W95" s="47" t="s">
        <v>47</v>
      </c>
      <c r="X95" s="47" t="s">
        <v>274</v>
      </c>
      <c r="Y95" s="47" t="str">
        <f t="shared" si="20"/>
        <v>沉鱼</v>
      </c>
      <c r="Z95" s="11"/>
      <c r="AA95" s="11"/>
      <c r="AB95" s="11" t="s">
        <v>273</v>
      </c>
      <c r="AC95" s="11">
        <v>2720</v>
      </c>
      <c r="AD95" s="11"/>
      <c r="AE95" s="11"/>
      <c r="AF95" s="11"/>
      <c r="AG95" s="11"/>
      <c r="AH95" s="47" t="s">
        <v>52</v>
      </c>
      <c r="AI95" s="11" t="s">
        <v>47</v>
      </c>
      <c r="AJ95" s="44" t="s">
        <v>223</v>
      </c>
      <c r="AK95" s="44" t="s">
        <v>237</v>
      </c>
      <c r="AL95" s="44" t="s">
        <v>238</v>
      </c>
      <c r="AM95" s="44" t="s">
        <v>238</v>
      </c>
      <c r="AN95" s="47" t="s">
        <v>47</v>
      </c>
      <c r="AO95" s="11"/>
      <c r="AP95" s="12" t="s">
        <v>53</v>
      </c>
      <c r="AQ95" s="2">
        <v>0</v>
      </c>
    </row>
    <row r="96" s="3" customFormat="1" ht="12" spans="1:43">
      <c r="A96" s="61">
        <v>160802</v>
      </c>
      <c r="B96" s="12" t="s">
        <v>275</v>
      </c>
      <c r="C96" s="12"/>
      <c r="D96" s="12"/>
      <c r="E96" s="12"/>
      <c r="F96" s="12">
        <v>0</v>
      </c>
      <c r="G96" s="12" t="s">
        <v>47</v>
      </c>
      <c r="H96" s="12" t="s">
        <v>45</v>
      </c>
      <c r="I96" s="12" t="s">
        <v>45</v>
      </c>
      <c r="J96" s="12">
        <v>1</v>
      </c>
      <c r="K96" s="12" t="s">
        <v>46</v>
      </c>
      <c r="L96" s="47" t="s">
        <v>47</v>
      </c>
      <c r="M96" s="12">
        <v>1020116</v>
      </c>
      <c r="N96" s="12">
        <v>0</v>
      </c>
      <c r="O96" s="47" t="s">
        <v>48</v>
      </c>
      <c r="P96" s="12">
        <v>1608</v>
      </c>
      <c r="Q96" s="12">
        <v>552</v>
      </c>
      <c r="R96" s="12">
        <v>410</v>
      </c>
      <c r="S96" s="44">
        <v>60</v>
      </c>
      <c r="T96" s="44">
        <v>63</v>
      </c>
      <c r="U96" s="12">
        <v>5</v>
      </c>
      <c r="V96" s="12"/>
      <c r="W96" s="47" t="s">
        <v>47</v>
      </c>
      <c r="X96" s="47" t="s">
        <v>276</v>
      </c>
      <c r="Y96" s="47" t="str">
        <f t="shared" si="20"/>
        <v>云乐游</v>
      </c>
      <c r="Z96" s="12"/>
      <c r="AA96" s="12"/>
      <c r="AB96" s="12" t="s">
        <v>275</v>
      </c>
      <c r="AC96" s="12">
        <v>2044</v>
      </c>
      <c r="AD96" s="12">
        <v>2045</v>
      </c>
      <c r="AE96" s="12">
        <v>2046</v>
      </c>
      <c r="AF96" s="11">
        <v>2456</v>
      </c>
      <c r="AG96" s="12"/>
      <c r="AH96" s="47" t="s">
        <v>52</v>
      </c>
      <c r="AI96" s="12" t="s">
        <v>47</v>
      </c>
      <c r="AJ96" s="12" t="s">
        <v>166</v>
      </c>
      <c r="AK96" s="12" t="s">
        <v>166</v>
      </c>
      <c r="AL96" s="12" t="s">
        <v>168</v>
      </c>
      <c r="AM96" s="12" t="s">
        <v>169</v>
      </c>
      <c r="AN96" s="47" t="s">
        <v>47</v>
      </c>
      <c r="AO96" s="12"/>
      <c r="AP96" s="12" t="s">
        <v>53</v>
      </c>
      <c r="AQ96" s="2">
        <v>0</v>
      </c>
    </row>
    <row r="97" s="2" customFormat="1" ht="12.75" spans="1:43">
      <c r="A97" s="61">
        <v>160803</v>
      </c>
      <c r="B97" s="11" t="s">
        <v>277</v>
      </c>
      <c r="C97" s="11"/>
      <c r="D97" s="11"/>
      <c r="E97" s="11"/>
      <c r="F97" s="11">
        <v>0</v>
      </c>
      <c r="G97" s="11" t="s">
        <v>47</v>
      </c>
      <c r="H97" s="11" t="s">
        <v>45</v>
      </c>
      <c r="I97" s="11" t="s">
        <v>45</v>
      </c>
      <c r="J97" s="11">
        <v>1</v>
      </c>
      <c r="K97" s="11" t="s">
        <v>46</v>
      </c>
      <c r="L97" s="47" t="s">
        <v>47</v>
      </c>
      <c r="M97" s="64">
        <v>1030009</v>
      </c>
      <c r="N97" s="11">
        <v>0</v>
      </c>
      <c r="O97" s="47" t="s">
        <v>48</v>
      </c>
      <c r="P97" s="11">
        <v>1608</v>
      </c>
      <c r="Q97" s="11">
        <v>260</v>
      </c>
      <c r="R97" s="11">
        <v>438</v>
      </c>
      <c r="S97" s="44">
        <v>92</v>
      </c>
      <c r="T97" s="44">
        <v>151</v>
      </c>
      <c r="U97" s="11">
        <v>3</v>
      </c>
      <c r="V97" s="11"/>
      <c r="W97" s="47" t="s">
        <v>47</v>
      </c>
      <c r="X97" s="47" t="s">
        <v>227</v>
      </c>
      <c r="Y97" s="47" t="str">
        <f t="shared" si="20"/>
        <v>林老汉</v>
      </c>
      <c r="Z97" s="11"/>
      <c r="AA97" s="11"/>
      <c r="AB97" s="11" t="s">
        <v>277</v>
      </c>
      <c r="AC97" s="11">
        <v>2040</v>
      </c>
      <c r="AD97" s="11">
        <v>2041</v>
      </c>
      <c r="AE97" s="11">
        <v>2042</v>
      </c>
      <c r="AF97" s="11">
        <v>2043</v>
      </c>
      <c r="AG97" s="11"/>
      <c r="AH97" s="47" t="s">
        <v>52</v>
      </c>
      <c r="AI97" s="11" t="s">
        <v>47</v>
      </c>
      <c r="AJ97" s="11" t="s">
        <v>90</v>
      </c>
      <c r="AK97" s="11" t="s">
        <v>228</v>
      </c>
      <c r="AL97" s="11" t="s">
        <v>91</v>
      </c>
      <c r="AM97" s="11" t="s">
        <v>93</v>
      </c>
      <c r="AN97" s="47" t="s">
        <v>47</v>
      </c>
      <c r="AO97" s="11"/>
      <c r="AP97" s="11" t="s">
        <v>53</v>
      </c>
      <c r="AQ97" s="2">
        <v>0</v>
      </c>
    </row>
    <row r="98" s="3" customFormat="1" ht="12" spans="1:43">
      <c r="A98" s="61">
        <v>160804</v>
      </c>
      <c r="B98" s="12" t="s">
        <v>278</v>
      </c>
      <c r="C98" s="12"/>
      <c r="D98" s="12"/>
      <c r="E98" s="12"/>
      <c r="F98" s="12">
        <v>0</v>
      </c>
      <c r="G98" s="12" t="s">
        <v>47</v>
      </c>
      <c r="H98" s="12" t="s">
        <v>45</v>
      </c>
      <c r="I98" s="12" t="s">
        <v>45</v>
      </c>
      <c r="J98" s="12">
        <v>0</v>
      </c>
      <c r="K98" s="12" t="s">
        <v>46</v>
      </c>
      <c r="L98" s="47" t="s">
        <v>47</v>
      </c>
      <c r="M98" s="12">
        <v>1020117</v>
      </c>
      <c r="N98" s="12">
        <v>0</v>
      </c>
      <c r="O98" s="47" t="s">
        <v>48</v>
      </c>
      <c r="P98" s="12">
        <v>1608</v>
      </c>
      <c r="Q98" s="12">
        <v>1150</v>
      </c>
      <c r="R98" s="12">
        <v>865</v>
      </c>
      <c r="S98" s="44">
        <v>29</v>
      </c>
      <c r="T98" s="44">
        <v>15</v>
      </c>
      <c r="U98" s="12">
        <v>5</v>
      </c>
      <c r="V98" s="12"/>
      <c r="W98" s="47" t="s">
        <v>47</v>
      </c>
      <c r="X98" s="47" t="s">
        <v>267</v>
      </c>
      <c r="Y98" s="47" t="str">
        <f t="shared" ref="Y98" si="21">B98</f>
        <v>联盟猎人</v>
      </c>
      <c r="Z98" s="12"/>
      <c r="AA98" s="12"/>
      <c r="AB98" s="12" t="s">
        <v>278</v>
      </c>
      <c r="AC98" s="12">
        <v>2089</v>
      </c>
      <c r="AD98" s="12">
        <v>2090</v>
      </c>
      <c r="AE98" s="12">
        <v>2091</v>
      </c>
      <c r="AF98" s="12" t="s">
        <v>51</v>
      </c>
      <c r="AG98" s="12"/>
      <c r="AH98" s="47" t="s">
        <v>52</v>
      </c>
      <c r="AI98" s="12">
        <v>1</v>
      </c>
      <c r="AJ98" s="12" t="s">
        <v>268</v>
      </c>
      <c r="AK98" s="12" t="s">
        <v>269</v>
      </c>
      <c r="AL98" s="12" t="s">
        <v>270</v>
      </c>
      <c r="AM98" s="12"/>
      <c r="AN98" s="47" t="s">
        <v>47</v>
      </c>
      <c r="AO98" s="12"/>
      <c r="AP98" s="12" t="s">
        <v>53</v>
      </c>
      <c r="AQ98" s="2">
        <v>0</v>
      </c>
    </row>
    <row r="99" s="2" customFormat="1" ht="12.75" spans="1:43">
      <c r="A99" s="61">
        <v>160805</v>
      </c>
      <c r="B99" s="11" t="s">
        <v>279</v>
      </c>
      <c r="C99" s="11"/>
      <c r="D99" s="11"/>
      <c r="E99" s="11"/>
      <c r="F99" s="11">
        <v>0</v>
      </c>
      <c r="G99" s="11" t="s">
        <v>47</v>
      </c>
      <c r="H99" s="11" t="s">
        <v>45</v>
      </c>
      <c r="I99" s="11" t="s">
        <v>45</v>
      </c>
      <c r="J99" s="11">
        <v>1</v>
      </c>
      <c r="K99" s="11" t="s">
        <v>46</v>
      </c>
      <c r="L99" s="47" t="s">
        <v>47</v>
      </c>
      <c r="M99" s="54" t="s">
        <v>280</v>
      </c>
      <c r="N99" s="11">
        <v>0</v>
      </c>
      <c r="O99" s="47" t="s">
        <v>48</v>
      </c>
      <c r="P99" s="11">
        <v>1608</v>
      </c>
      <c r="Q99" s="11">
        <v>1424</v>
      </c>
      <c r="R99" s="11">
        <v>1494</v>
      </c>
      <c r="S99" s="44">
        <v>123</v>
      </c>
      <c r="T99" s="44">
        <v>49</v>
      </c>
      <c r="U99" s="11">
        <v>3</v>
      </c>
      <c r="V99" s="11"/>
      <c r="W99" s="47" t="s">
        <v>47</v>
      </c>
      <c r="X99" s="47" t="s">
        <v>281</v>
      </c>
      <c r="Y99" s="47" t="str">
        <f t="shared" ref="Y99" si="22">B99</f>
        <v>虾兵</v>
      </c>
      <c r="Z99" s="11"/>
      <c r="AA99" s="11"/>
      <c r="AB99" s="11" t="s">
        <v>279</v>
      </c>
      <c r="AC99" s="12">
        <v>2060</v>
      </c>
      <c r="AD99" s="12">
        <v>2061</v>
      </c>
      <c r="AE99" s="12">
        <v>2454</v>
      </c>
      <c r="AF99" s="12">
        <v>2063</v>
      </c>
      <c r="AG99" s="12"/>
      <c r="AH99" s="47" t="s">
        <v>52</v>
      </c>
      <c r="AI99" s="12" t="s">
        <v>47</v>
      </c>
      <c r="AJ99" s="12" t="s">
        <v>75</v>
      </c>
      <c r="AK99" s="12" t="s">
        <v>76</v>
      </c>
      <c r="AL99" s="12" t="s">
        <v>77</v>
      </c>
      <c r="AM99" s="12" t="s">
        <v>78</v>
      </c>
      <c r="AN99" s="47" t="s">
        <v>47</v>
      </c>
      <c r="AO99" s="11"/>
      <c r="AP99" s="11" t="s">
        <v>53</v>
      </c>
      <c r="AQ99" s="2">
        <v>0</v>
      </c>
    </row>
    <row r="100" s="3" customFormat="1" ht="12" spans="1:43">
      <c r="A100" s="61">
        <v>160806</v>
      </c>
      <c r="B100" s="12" t="s">
        <v>282</v>
      </c>
      <c r="C100" s="12"/>
      <c r="D100" s="12"/>
      <c r="E100" s="12"/>
      <c r="F100" s="12">
        <v>0</v>
      </c>
      <c r="G100" s="12" t="s">
        <v>47</v>
      </c>
      <c r="H100" s="12" t="s">
        <v>45</v>
      </c>
      <c r="I100" s="12" t="s">
        <v>45</v>
      </c>
      <c r="J100" s="12">
        <v>1</v>
      </c>
      <c r="K100" s="12" t="s">
        <v>46</v>
      </c>
      <c r="L100" s="47" t="s">
        <v>47</v>
      </c>
      <c r="M100" s="12">
        <v>1020103</v>
      </c>
      <c r="N100" s="12">
        <v>0</v>
      </c>
      <c r="O100" s="47" t="s">
        <v>48</v>
      </c>
      <c r="P100" s="12">
        <v>1608</v>
      </c>
      <c r="Q100" s="12">
        <v>1124</v>
      </c>
      <c r="R100" s="12">
        <v>464</v>
      </c>
      <c r="S100" s="44">
        <v>104</v>
      </c>
      <c r="T100" s="44">
        <v>85</v>
      </c>
      <c r="U100" s="12">
        <v>3</v>
      </c>
      <c r="V100" s="12"/>
      <c r="W100" s="47" t="s">
        <v>47</v>
      </c>
      <c r="X100" s="47" t="s">
        <v>283</v>
      </c>
      <c r="Y100" s="47" t="str">
        <f t="shared" ref="Y100" si="23">B100</f>
        <v>潜行者</v>
      </c>
      <c r="Z100" s="12"/>
      <c r="AA100" s="12"/>
      <c r="AB100" s="12" t="s">
        <v>282</v>
      </c>
      <c r="AC100" s="12">
        <v>2052</v>
      </c>
      <c r="AD100" s="12">
        <v>2053</v>
      </c>
      <c r="AE100" s="12">
        <v>2054</v>
      </c>
      <c r="AF100" s="12">
        <v>2055</v>
      </c>
      <c r="AG100" s="12"/>
      <c r="AH100" s="47" t="s">
        <v>52</v>
      </c>
      <c r="AI100" s="12" t="s">
        <v>47</v>
      </c>
      <c r="AJ100" s="12" t="s">
        <v>284</v>
      </c>
      <c r="AK100" s="12" t="s">
        <v>285</v>
      </c>
      <c r="AL100" s="12" t="s">
        <v>286</v>
      </c>
      <c r="AM100" s="12" t="s">
        <v>287</v>
      </c>
      <c r="AN100" s="47" t="s">
        <v>47</v>
      </c>
      <c r="AO100" s="12"/>
      <c r="AP100" s="12" t="s">
        <v>53</v>
      </c>
      <c r="AQ100" s="2">
        <v>0</v>
      </c>
    </row>
    <row r="101" s="2" customFormat="1" ht="12.75" spans="1:43">
      <c r="A101" s="61">
        <v>160807</v>
      </c>
      <c r="B101" s="11" t="s">
        <v>242</v>
      </c>
      <c r="C101" s="11"/>
      <c r="D101" s="11"/>
      <c r="E101" s="11"/>
      <c r="F101" s="11">
        <v>0</v>
      </c>
      <c r="G101" s="11" t="s">
        <v>47</v>
      </c>
      <c r="H101" s="11" t="s">
        <v>45</v>
      </c>
      <c r="I101" s="11" t="s">
        <v>45</v>
      </c>
      <c r="J101" s="11">
        <v>1</v>
      </c>
      <c r="K101" s="11" t="s">
        <v>46</v>
      </c>
      <c r="L101" s="47" t="s">
        <v>47</v>
      </c>
      <c r="M101" s="64">
        <v>1030001</v>
      </c>
      <c r="N101" s="11">
        <v>0</v>
      </c>
      <c r="O101" s="47" t="s">
        <v>48</v>
      </c>
      <c r="P101" s="11">
        <v>1608</v>
      </c>
      <c r="Q101" s="11">
        <v>1336</v>
      </c>
      <c r="R101" s="11">
        <v>464</v>
      </c>
      <c r="S101" s="44">
        <v>45</v>
      </c>
      <c r="T101" s="44">
        <v>135</v>
      </c>
      <c r="U101" s="11">
        <v>5</v>
      </c>
      <c r="V101" s="11"/>
      <c r="W101" s="47" t="s">
        <v>47</v>
      </c>
      <c r="X101" s="47" t="s">
        <v>243</v>
      </c>
      <c r="Y101" s="47" t="str">
        <f t="shared" ref="Y101" si="24">B101</f>
        <v>陈员外</v>
      </c>
      <c r="Z101" s="11"/>
      <c r="AA101" s="11"/>
      <c r="AB101" s="11" t="s">
        <v>242</v>
      </c>
      <c r="AC101" s="11">
        <v>2048</v>
      </c>
      <c r="AD101" s="11">
        <v>2049</v>
      </c>
      <c r="AE101" s="11">
        <v>2050</v>
      </c>
      <c r="AF101" s="11">
        <v>2051</v>
      </c>
      <c r="AG101" s="11"/>
      <c r="AH101" s="47" t="s">
        <v>52</v>
      </c>
      <c r="AI101" s="11" t="s">
        <v>47</v>
      </c>
      <c r="AJ101" s="11" t="s">
        <v>117</v>
      </c>
      <c r="AK101" s="11" t="s">
        <v>118</v>
      </c>
      <c r="AL101" s="11" t="s">
        <v>119</v>
      </c>
      <c r="AM101" s="11" t="s">
        <v>120</v>
      </c>
      <c r="AN101" s="47" t="s">
        <v>47</v>
      </c>
      <c r="AO101" s="11"/>
      <c r="AP101" s="11" t="s">
        <v>53</v>
      </c>
      <c r="AQ101" s="2">
        <v>0</v>
      </c>
    </row>
    <row r="102" s="3" customFormat="1" ht="12" spans="1:43">
      <c r="A102" s="61">
        <v>160808</v>
      </c>
      <c r="B102" s="12" t="s">
        <v>288</v>
      </c>
      <c r="C102" s="12"/>
      <c r="D102" s="12"/>
      <c r="E102" s="12"/>
      <c r="F102" s="12">
        <v>0</v>
      </c>
      <c r="G102" s="12" t="s">
        <v>47</v>
      </c>
      <c r="H102" s="12" t="s">
        <v>45</v>
      </c>
      <c r="I102" s="12" t="s">
        <v>45</v>
      </c>
      <c r="J102" s="12">
        <v>1</v>
      </c>
      <c r="K102" s="12" t="s">
        <v>46</v>
      </c>
      <c r="L102" s="47" t="s">
        <v>47</v>
      </c>
      <c r="M102" s="12">
        <v>1020115</v>
      </c>
      <c r="N102" s="12">
        <v>0</v>
      </c>
      <c r="O102" s="47" t="s">
        <v>48</v>
      </c>
      <c r="P102" s="12">
        <v>1608</v>
      </c>
      <c r="Q102" s="12">
        <v>1674</v>
      </c>
      <c r="R102" s="12">
        <v>530</v>
      </c>
      <c r="S102" s="44">
        <v>101</v>
      </c>
      <c r="T102" s="44">
        <v>20</v>
      </c>
      <c r="U102" s="12">
        <v>3</v>
      </c>
      <c r="V102" s="12"/>
      <c r="W102" s="47" t="s">
        <v>47</v>
      </c>
      <c r="X102" s="47" t="s">
        <v>225</v>
      </c>
      <c r="Y102" s="47" t="str">
        <f t="shared" ref="Y102" si="25">B102</f>
        <v>小德</v>
      </c>
      <c r="Z102" s="12"/>
      <c r="AA102" s="12"/>
      <c r="AB102" s="12" t="s">
        <v>288</v>
      </c>
      <c r="AC102" s="12">
        <v>2056</v>
      </c>
      <c r="AD102" s="12">
        <v>2057</v>
      </c>
      <c r="AE102" s="12">
        <v>2058</v>
      </c>
      <c r="AF102" s="12">
        <v>2059</v>
      </c>
      <c r="AG102" s="12"/>
      <c r="AH102" s="47" t="s">
        <v>52</v>
      </c>
      <c r="AI102" s="12" t="s">
        <v>47</v>
      </c>
      <c r="AJ102" s="12" t="s">
        <v>149</v>
      </c>
      <c r="AK102" s="12" t="s">
        <v>150</v>
      </c>
      <c r="AL102" s="12" t="s">
        <v>151</v>
      </c>
      <c r="AM102" s="12" t="s">
        <v>152</v>
      </c>
      <c r="AN102" s="47" t="s">
        <v>47</v>
      </c>
      <c r="AO102" s="12"/>
      <c r="AP102" s="12" t="s">
        <v>53</v>
      </c>
      <c r="AQ102" s="2">
        <v>0</v>
      </c>
    </row>
    <row r="103" s="2" customFormat="1" ht="12" spans="1:43">
      <c r="A103" s="61">
        <v>160809</v>
      </c>
      <c r="B103" s="11" t="s">
        <v>289</v>
      </c>
      <c r="C103" s="11"/>
      <c r="D103" s="11"/>
      <c r="E103" s="11"/>
      <c r="F103" s="11">
        <v>0</v>
      </c>
      <c r="G103" s="11" t="s">
        <v>47</v>
      </c>
      <c r="H103" s="11" t="s">
        <v>45</v>
      </c>
      <c r="I103" s="11" t="s">
        <v>45</v>
      </c>
      <c r="J103" s="11">
        <v>1</v>
      </c>
      <c r="K103" s="11" t="s">
        <v>46</v>
      </c>
      <c r="L103" s="47" t="s">
        <v>47</v>
      </c>
      <c r="M103" s="11">
        <v>1020114</v>
      </c>
      <c r="N103" s="11">
        <v>0</v>
      </c>
      <c r="O103" s="47" t="s">
        <v>48</v>
      </c>
      <c r="P103" s="11">
        <v>1608</v>
      </c>
      <c r="Q103" s="11">
        <v>792</v>
      </c>
      <c r="R103" s="11">
        <v>765</v>
      </c>
      <c r="S103" s="44">
        <v>107</v>
      </c>
      <c r="T103" s="44">
        <v>165</v>
      </c>
      <c r="U103" s="11">
        <v>3</v>
      </c>
      <c r="V103" s="11"/>
      <c r="W103" s="47" t="s">
        <v>47</v>
      </c>
      <c r="X103" s="47" t="s">
        <v>290</v>
      </c>
      <c r="Y103" s="47" t="str">
        <f t="shared" ref="Y103" si="26">B103</f>
        <v>楚恋依</v>
      </c>
      <c r="Z103" s="11"/>
      <c r="AA103" s="11"/>
      <c r="AB103" s="11" t="s">
        <v>291</v>
      </c>
      <c r="AC103" s="12">
        <v>2064</v>
      </c>
      <c r="AD103" s="12">
        <v>2067</v>
      </c>
      <c r="AE103" s="12">
        <v>2066</v>
      </c>
      <c r="AF103" s="12">
        <v>2455</v>
      </c>
      <c r="AG103" s="12"/>
      <c r="AH103" s="47" t="s">
        <v>52</v>
      </c>
      <c r="AI103" s="12" t="s">
        <v>47</v>
      </c>
      <c r="AJ103" s="12" t="s">
        <v>104</v>
      </c>
      <c r="AK103" s="12" t="s">
        <v>105</v>
      </c>
      <c r="AL103" s="12" t="s">
        <v>106</v>
      </c>
      <c r="AM103" s="12" t="s">
        <v>107</v>
      </c>
      <c r="AN103" s="47" t="s">
        <v>47</v>
      </c>
      <c r="AO103" s="11"/>
      <c r="AP103" s="11" t="s">
        <v>53</v>
      </c>
      <c r="AQ103" s="2">
        <v>0</v>
      </c>
    </row>
    <row r="104" s="3" customFormat="1" ht="12" spans="1:43">
      <c r="A104" s="61">
        <v>160810</v>
      </c>
      <c r="B104" s="12" t="s">
        <v>292</v>
      </c>
      <c r="C104" s="12"/>
      <c r="D104" s="12"/>
      <c r="E104" s="12"/>
      <c r="F104" s="12">
        <v>0</v>
      </c>
      <c r="G104" s="12" t="s">
        <v>47</v>
      </c>
      <c r="H104" s="12" t="s">
        <v>45</v>
      </c>
      <c r="I104" s="12" t="s">
        <v>45</v>
      </c>
      <c r="J104" s="12">
        <v>0</v>
      </c>
      <c r="K104" s="12" t="s">
        <v>46</v>
      </c>
      <c r="L104" s="47" t="s">
        <v>47</v>
      </c>
      <c r="M104" s="12">
        <v>1020123</v>
      </c>
      <c r="N104" s="12">
        <v>0</v>
      </c>
      <c r="O104" s="47" t="s">
        <v>48</v>
      </c>
      <c r="P104" s="12">
        <v>1608</v>
      </c>
      <c r="Q104" s="12">
        <v>344</v>
      </c>
      <c r="R104" s="12">
        <v>1156</v>
      </c>
      <c r="S104" s="44">
        <f t="shared" ref="S104" si="27">FLOOR(Q104/16,1)</f>
        <v>21</v>
      </c>
      <c r="T104" s="44">
        <v>25</v>
      </c>
      <c r="U104" s="12">
        <v>3</v>
      </c>
      <c r="V104" s="12"/>
      <c r="W104" s="47" t="s">
        <v>47</v>
      </c>
      <c r="X104" s="47" t="s">
        <v>293</v>
      </c>
      <c r="Y104" s="47" t="str">
        <f t="shared" ref="Y104" si="28">B104</f>
        <v>炮姐</v>
      </c>
      <c r="Z104" s="12"/>
      <c r="AA104" s="12"/>
      <c r="AB104" s="12" t="s">
        <v>292</v>
      </c>
      <c r="AC104" s="12">
        <v>2138</v>
      </c>
      <c r="AD104" s="12">
        <v>2032</v>
      </c>
      <c r="AE104" s="12">
        <v>2022</v>
      </c>
      <c r="AF104" s="12">
        <v>2004</v>
      </c>
      <c r="AG104" s="12"/>
      <c r="AH104" s="47" t="s">
        <v>52</v>
      </c>
      <c r="AI104" s="12">
        <v>1</v>
      </c>
      <c r="AJ104" s="12"/>
      <c r="AK104" s="12"/>
      <c r="AL104" s="12"/>
      <c r="AM104" s="12"/>
      <c r="AN104" s="47" t="s">
        <v>47</v>
      </c>
      <c r="AO104" s="12"/>
      <c r="AP104" s="12" t="s">
        <v>53</v>
      </c>
      <c r="AQ104" s="2">
        <v>0</v>
      </c>
    </row>
    <row r="105" s="10" customFormat="1" ht="12" spans="1:43">
      <c r="A105" s="61">
        <v>160811</v>
      </c>
      <c r="B105" s="63" t="s">
        <v>294</v>
      </c>
      <c r="C105" s="63"/>
      <c r="D105" s="63"/>
      <c r="E105" s="63"/>
      <c r="F105" s="63">
        <v>0</v>
      </c>
      <c r="G105" s="63" t="s">
        <v>47</v>
      </c>
      <c r="H105" s="63" t="s">
        <v>45</v>
      </c>
      <c r="I105" s="63" t="s">
        <v>45</v>
      </c>
      <c r="J105" s="63">
        <v>1</v>
      </c>
      <c r="K105" s="63" t="s">
        <v>295</v>
      </c>
      <c r="L105" s="47" t="s">
        <v>47</v>
      </c>
      <c r="M105" s="63" t="s">
        <v>296</v>
      </c>
      <c r="N105" s="63">
        <v>0</v>
      </c>
      <c r="O105" s="47" t="s">
        <v>48</v>
      </c>
      <c r="P105" s="63">
        <v>1608</v>
      </c>
      <c r="Q105" s="63">
        <v>283</v>
      </c>
      <c r="R105" s="63">
        <v>1270</v>
      </c>
      <c r="S105" s="37">
        <v>16</v>
      </c>
      <c r="T105" s="37">
        <v>71</v>
      </c>
      <c r="U105" s="63">
        <v>3</v>
      </c>
      <c r="V105" s="63"/>
      <c r="W105" s="47" t="s">
        <v>47</v>
      </c>
      <c r="X105" s="47" t="s">
        <v>297</v>
      </c>
      <c r="Y105" s="47" t="str">
        <f t="shared" ref="Y105" si="29">B105</f>
        <v>牧拿丁</v>
      </c>
      <c r="Z105" s="63"/>
      <c r="AA105" s="63"/>
      <c r="AB105" s="63" t="s">
        <v>294</v>
      </c>
      <c r="AC105" s="63">
        <v>2269</v>
      </c>
      <c r="AD105" s="63">
        <v>2270</v>
      </c>
      <c r="AE105" s="63">
        <v>2271</v>
      </c>
      <c r="AF105" s="63">
        <v>2271</v>
      </c>
      <c r="AG105" s="63"/>
      <c r="AH105" s="47" t="s">
        <v>52</v>
      </c>
      <c r="AI105" s="63" t="s">
        <v>47</v>
      </c>
      <c r="AJ105" s="63" t="s">
        <v>223</v>
      </c>
      <c r="AK105" s="63"/>
      <c r="AL105" s="63" t="s">
        <v>237</v>
      </c>
      <c r="AM105" s="63" t="s">
        <v>238</v>
      </c>
      <c r="AN105" s="47" t="s">
        <v>47</v>
      </c>
      <c r="AO105" s="63"/>
      <c r="AP105" s="63" t="s">
        <v>298</v>
      </c>
      <c r="AQ105" s="2">
        <v>0</v>
      </c>
    </row>
    <row r="106" s="4" customFormat="1" ht="12" spans="1:43">
      <c r="A106" s="61">
        <v>160812</v>
      </c>
      <c r="B106" s="37" t="s">
        <v>299</v>
      </c>
      <c r="C106" s="37"/>
      <c r="D106" s="37"/>
      <c r="E106" s="37"/>
      <c r="F106" s="37">
        <v>0</v>
      </c>
      <c r="G106" s="37" t="s">
        <v>47</v>
      </c>
      <c r="H106" s="37" t="s">
        <v>45</v>
      </c>
      <c r="I106" s="37" t="s">
        <v>45</v>
      </c>
      <c r="J106" s="37">
        <v>0</v>
      </c>
      <c r="K106" s="37" t="s">
        <v>300</v>
      </c>
      <c r="L106" s="47" t="s">
        <v>47</v>
      </c>
      <c r="M106" s="37">
        <v>1020102</v>
      </c>
      <c r="N106" s="37">
        <v>0</v>
      </c>
      <c r="O106" s="47" t="s">
        <v>48</v>
      </c>
      <c r="P106" s="37">
        <v>1608</v>
      </c>
      <c r="Q106" s="37">
        <v>457</v>
      </c>
      <c r="R106" s="37">
        <v>1030</v>
      </c>
      <c r="S106" s="37">
        <v>45</v>
      </c>
      <c r="T106" s="37">
        <v>70</v>
      </c>
      <c r="U106" s="37">
        <v>3</v>
      </c>
      <c r="V106" s="37"/>
      <c r="W106" s="47" t="s">
        <v>47</v>
      </c>
      <c r="X106" s="47" t="s">
        <v>243</v>
      </c>
      <c r="Y106" s="47" t="str">
        <f t="shared" ref="Y106" si="30">B106</f>
        <v>熟人</v>
      </c>
      <c r="Z106" s="37"/>
      <c r="AA106" s="37"/>
      <c r="AB106" s="37" t="s">
        <v>299</v>
      </c>
      <c r="AC106" s="12">
        <v>2048</v>
      </c>
      <c r="AD106" s="12">
        <v>2049</v>
      </c>
      <c r="AE106" s="12">
        <v>2050</v>
      </c>
      <c r="AF106" s="12">
        <v>2051</v>
      </c>
      <c r="AG106" s="12"/>
      <c r="AH106" s="47" t="s">
        <v>52</v>
      </c>
      <c r="AI106" s="12">
        <v>1</v>
      </c>
      <c r="AJ106" s="12" t="s">
        <v>117</v>
      </c>
      <c r="AK106" s="12" t="s">
        <v>118</v>
      </c>
      <c r="AL106" s="12" t="s">
        <v>119</v>
      </c>
      <c r="AM106" s="12" t="s">
        <v>120</v>
      </c>
      <c r="AN106" s="47" t="s">
        <v>47</v>
      </c>
      <c r="AO106" s="37"/>
      <c r="AP106" s="37" t="s">
        <v>301</v>
      </c>
      <c r="AQ106" s="2">
        <v>0</v>
      </c>
    </row>
    <row r="107" s="4" customFormat="1" ht="12.75" spans="1:43">
      <c r="A107" s="61">
        <v>160813</v>
      </c>
      <c r="B107" s="37" t="s">
        <v>242</v>
      </c>
      <c r="C107" s="37"/>
      <c r="D107" s="37"/>
      <c r="E107" s="37"/>
      <c r="F107" s="37">
        <v>0</v>
      </c>
      <c r="G107" s="37" t="s">
        <v>47</v>
      </c>
      <c r="H107" s="37" t="s">
        <v>45</v>
      </c>
      <c r="I107" s="37" t="s">
        <v>45</v>
      </c>
      <c r="J107" s="37">
        <v>0</v>
      </c>
      <c r="K107" s="37" t="s">
        <v>300</v>
      </c>
      <c r="L107" s="47" t="s">
        <v>47</v>
      </c>
      <c r="M107" s="64">
        <v>1030001</v>
      </c>
      <c r="N107" s="37">
        <v>0</v>
      </c>
      <c r="O107" s="47" t="s">
        <v>48</v>
      </c>
      <c r="P107" s="37">
        <v>1608</v>
      </c>
      <c r="Q107" s="37">
        <v>910</v>
      </c>
      <c r="R107" s="37">
        <v>752</v>
      </c>
      <c r="S107" s="37">
        <v>51</v>
      </c>
      <c r="T107" s="37">
        <v>61</v>
      </c>
      <c r="U107" s="37">
        <v>3</v>
      </c>
      <c r="V107" s="37"/>
      <c r="W107" s="47" t="s">
        <v>47</v>
      </c>
      <c r="X107" s="47" t="s">
        <v>243</v>
      </c>
      <c r="Y107" s="47" t="str">
        <f t="shared" ref="Y107" si="31">B107</f>
        <v>陈员外</v>
      </c>
      <c r="Z107" s="37"/>
      <c r="AA107" s="37"/>
      <c r="AB107" s="37" t="s">
        <v>242</v>
      </c>
      <c r="AC107" s="12">
        <v>2048</v>
      </c>
      <c r="AD107" s="12">
        <v>2049</v>
      </c>
      <c r="AE107" s="12">
        <v>2050</v>
      </c>
      <c r="AF107" s="12">
        <v>2051</v>
      </c>
      <c r="AG107" s="12"/>
      <c r="AH107" s="47" t="s">
        <v>52</v>
      </c>
      <c r="AI107" s="12">
        <v>1</v>
      </c>
      <c r="AJ107" s="12" t="s">
        <v>117</v>
      </c>
      <c r="AK107" s="12" t="s">
        <v>118</v>
      </c>
      <c r="AL107" s="12" t="s">
        <v>119</v>
      </c>
      <c r="AM107" s="12" t="s">
        <v>120</v>
      </c>
      <c r="AN107" s="47" t="s">
        <v>47</v>
      </c>
      <c r="AO107" s="37"/>
      <c r="AP107" s="37" t="s">
        <v>301</v>
      </c>
      <c r="AQ107" s="2">
        <v>0</v>
      </c>
    </row>
    <row r="108" s="4" customFormat="1" ht="12" spans="1:43">
      <c r="A108" s="61">
        <v>160814</v>
      </c>
      <c r="B108" s="37" t="s">
        <v>302</v>
      </c>
      <c r="C108" s="37"/>
      <c r="D108" s="37"/>
      <c r="E108" s="37"/>
      <c r="F108" s="37">
        <v>0</v>
      </c>
      <c r="G108" s="37" t="s">
        <v>47</v>
      </c>
      <c r="H108" s="37" t="s">
        <v>45</v>
      </c>
      <c r="I108" s="37">
        <v>1</v>
      </c>
      <c r="J108" s="37">
        <v>0</v>
      </c>
      <c r="K108" s="37" t="s">
        <v>300</v>
      </c>
      <c r="L108" s="47" t="s">
        <v>47</v>
      </c>
      <c r="M108" s="37">
        <v>1020117</v>
      </c>
      <c r="N108" s="37">
        <v>0</v>
      </c>
      <c r="O108" s="47" t="s">
        <v>48</v>
      </c>
      <c r="P108" s="37">
        <v>1608</v>
      </c>
      <c r="Q108" s="37">
        <v>1080</v>
      </c>
      <c r="R108" s="37">
        <v>1007</v>
      </c>
      <c r="S108" s="37">
        <v>51</v>
      </c>
      <c r="T108" s="37">
        <v>72</v>
      </c>
      <c r="U108" s="37">
        <v>7</v>
      </c>
      <c r="V108" s="37"/>
      <c r="W108" s="47" t="s">
        <v>47</v>
      </c>
      <c r="X108" s="47" t="s">
        <v>267</v>
      </c>
      <c r="Y108" s="47" t="str">
        <f t="shared" ref="Y108" si="32">B108</f>
        <v>小霞</v>
      </c>
      <c r="Z108" s="37"/>
      <c r="AA108" s="37"/>
      <c r="AB108" s="37" t="s">
        <v>302</v>
      </c>
      <c r="AC108" s="12">
        <v>2089</v>
      </c>
      <c r="AD108" s="12">
        <v>2090</v>
      </c>
      <c r="AE108" s="12">
        <v>2091</v>
      </c>
      <c r="AF108" s="12" t="s">
        <v>51</v>
      </c>
      <c r="AG108" s="12"/>
      <c r="AH108" s="47" t="s">
        <v>52</v>
      </c>
      <c r="AI108" s="12">
        <v>1</v>
      </c>
      <c r="AJ108" s="12" t="s">
        <v>268</v>
      </c>
      <c r="AK108" s="12" t="s">
        <v>269</v>
      </c>
      <c r="AL108" s="12" t="s">
        <v>270</v>
      </c>
      <c r="AM108" s="12"/>
      <c r="AN108" s="47" t="s">
        <v>47</v>
      </c>
      <c r="AO108" s="37"/>
      <c r="AP108" s="37" t="s">
        <v>301</v>
      </c>
      <c r="AQ108" s="2">
        <v>0</v>
      </c>
    </row>
    <row r="109" s="4" customFormat="1" ht="12" spans="1:43">
      <c r="A109" s="61">
        <v>160815</v>
      </c>
      <c r="B109" s="37" t="s">
        <v>303</v>
      </c>
      <c r="C109" s="37"/>
      <c r="D109" s="37"/>
      <c r="E109" s="37"/>
      <c r="F109" s="37">
        <v>0</v>
      </c>
      <c r="G109" s="37" t="s">
        <v>47</v>
      </c>
      <c r="H109" s="37" t="s">
        <v>45</v>
      </c>
      <c r="I109" s="37">
        <v>1</v>
      </c>
      <c r="J109" s="37">
        <v>0</v>
      </c>
      <c r="K109" s="37" t="s">
        <v>300</v>
      </c>
      <c r="L109" s="47" t="s">
        <v>47</v>
      </c>
      <c r="M109" s="37">
        <v>1010113</v>
      </c>
      <c r="N109" s="37">
        <v>0</v>
      </c>
      <c r="O109" s="47" t="s">
        <v>48</v>
      </c>
      <c r="P109" s="37">
        <v>1608</v>
      </c>
      <c r="Q109" s="37">
        <v>1944</v>
      </c>
      <c r="R109" s="37">
        <v>1290</v>
      </c>
      <c r="S109" s="37">
        <v>58</v>
      </c>
      <c r="T109" s="37">
        <v>62</v>
      </c>
      <c r="U109" s="37">
        <v>5</v>
      </c>
      <c r="V109" s="37"/>
      <c r="W109" s="47" t="s">
        <v>47</v>
      </c>
      <c r="X109" s="47" t="s">
        <v>304</v>
      </c>
      <c r="Y109" s="47" t="str">
        <f t="shared" ref="Y109:Y110" si="33">B109</f>
        <v>老虎</v>
      </c>
      <c r="Z109" s="37"/>
      <c r="AA109" s="37"/>
      <c r="AB109" s="37" t="s">
        <v>303</v>
      </c>
      <c r="AC109" s="37">
        <v>2382</v>
      </c>
      <c r="AD109" s="37" t="s">
        <v>51</v>
      </c>
      <c r="AE109" s="37" t="s">
        <v>51</v>
      </c>
      <c r="AF109" s="37" t="s">
        <v>51</v>
      </c>
      <c r="AG109" s="37"/>
      <c r="AH109" s="47" t="s">
        <v>52</v>
      </c>
      <c r="AI109" s="37">
        <v>1</v>
      </c>
      <c r="AJ109" s="37"/>
      <c r="AK109" s="37"/>
      <c r="AL109" s="37"/>
      <c r="AM109" s="37"/>
      <c r="AN109" s="47" t="s">
        <v>47</v>
      </c>
      <c r="AO109" s="37"/>
      <c r="AP109" s="37" t="s">
        <v>301</v>
      </c>
      <c r="AQ109" s="2">
        <v>0</v>
      </c>
    </row>
    <row r="110" s="7" customFormat="1" ht="12" spans="1:43">
      <c r="A110" s="61">
        <v>160816</v>
      </c>
      <c r="B110" s="44" t="s">
        <v>305</v>
      </c>
      <c r="C110" s="44"/>
      <c r="D110" s="44"/>
      <c r="E110" s="44"/>
      <c r="F110" s="44">
        <v>0</v>
      </c>
      <c r="G110" s="44" t="s">
        <v>47</v>
      </c>
      <c r="H110" s="44" t="s">
        <v>45</v>
      </c>
      <c r="I110" s="44" t="s">
        <v>45</v>
      </c>
      <c r="J110" s="44">
        <v>1</v>
      </c>
      <c r="K110" s="63" t="s">
        <v>46</v>
      </c>
      <c r="L110" s="47" t="s">
        <v>47</v>
      </c>
      <c r="M110" s="44">
        <v>1020124</v>
      </c>
      <c r="N110" s="44">
        <v>0</v>
      </c>
      <c r="O110" s="47" t="s">
        <v>48</v>
      </c>
      <c r="P110" s="44">
        <v>1608</v>
      </c>
      <c r="Q110" s="44">
        <v>1806</v>
      </c>
      <c r="R110" s="44">
        <v>1058</v>
      </c>
      <c r="S110" s="44">
        <v>101</v>
      </c>
      <c r="T110" s="44">
        <v>45</v>
      </c>
      <c r="U110" s="44">
        <v>3</v>
      </c>
      <c r="V110" s="44"/>
      <c r="W110" s="47" t="s">
        <v>47</v>
      </c>
      <c r="X110" s="47" t="s">
        <v>306</v>
      </c>
      <c r="Y110" s="47" t="str">
        <f t="shared" si="33"/>
        <v>楚依恋</v>
      </c>
      <c r="Z110" s="44"/>
      <c r="AA110" s="44"/>
      <c r="AB110" s="47" t="s">
        <v>307</v>
      </c>
      <c r="AC110" s="44">
        <v>2700</v>
      </c>
      <c r="AD110" s="44"/>
      <c r="AE110" s="44" t="s">
        <v>51</v>
      </c>
      <c r="AF110" s="44" t="s">
        <v>51</v>
      </c>
      <c r="AG110" s="44"/>
      <c r="AH110" s="47" t="s">
        <v>52</v>
      </c>
      <c r="AI110" s="44">
        <v>0</v>
      </c>
      <c r="AJ110" s="44" t="s">
        <v>203</v>
      </c>
      <c r="AK110" s="44" t="s">
        <v>204</v>
      </c>
      <c r="AL110" s="44" t="s">
        <v>205</v>
      </c>
      <c r="AM110" s="44" t="s">
        <v>206</v>
      </c>
      <c r="AN110" s="47" t="s">
        <v>47</v>
      </c>
      <c r="AO110" s="44"/>
      <c r="AP110" s="12" t="s">
        <v>53</v>
      </c>
      <c r="AQ110" s="2">
        <v>0</v>
      </c>
    </row>
    <row r="111" s="2" customFormat="1" ht="12" spans="1:43">
      <c r="A111" s="53">
        <v>160901</v>
      </c>
      <c r="B111" s="11" t="s">
        <v>308</v>
      </c>
      <c r="C111" s="11"/>
      <c r="D111" s="11"/>
      <c r="E111" s="11"/>
      <c r="F111" s="11">
        <v>2</v>
      </c>
      <c r="G111" s="11" t="s">
        <v>47</v>
      </c>
      <c r="H111" s="11" t="s">
        <v>45</v>
      </c>
      <c r="I111" s="11">
        <v>1</v>
      </c>
      <c r="J111" s="11">
        <v>0</v>
      </c>
      <c r="K111" s="11" t="s">
        <v>46</v>
      </c>
      <c r="L111" s="47" t="s">
        <v>47</v>
      </c>
      <c r="M111" s="11">
        <v>1010122</v>
      </c>
      <c r="N111" s="11">
        <v>0</v>
      </c>
      <c r="O111" s="47" t="s">
        <v>48</v>
      </c>
      <c r="P111" s="11">
        <v>1609</v>
      </c>
      <c r="Q111" s="11">
        <v>372</v>
      </c>
      <c r="R111" s="11">
        <v>359</v>
      </c>
      <c r="S111" s="44">
        <v>38</v>
      </c>
      <c r="T111" s="44">
        <v>18</v>
      </c>
      <c r="U111" s="11">
        <v>7</v>
      </c>
      <c r="V111" s="11"/>
      <c r="W111" s="47" t="s">
        <v>47</v>
      </c>
      <c r="X111" s="47" t="s">
        <v>309</v>
      </c>
      <c r="Y111" s="47" t="str">
        <f t="shared" ref="Y111" si="34">B111</f>
        <v>喽啰</v>
      </c>
      <c r="Z111" s="11"/>
      <c r="AA111" s="11"/>
      <c r="AB111" s="11" t="s">
        <v>310</v>
      </c>
      <c r="AC111" s="11">
        <v>2142</v>
      </c>
      <c r="AD111" s="11">
        <v>2143</v>
      </c>
      <c r="AE111" s="11">
        <v>2144</v>
      </c>
      <c r="AF111" s="11">
        <v>2145</v>
      </c>
      <c r="AG111" s="11"/>
      <c r="AH111" s="47" t="s">
        <v>52</v>
      </c>
      <c r="AI111" s="11">
        <v>1</v>
      </c>
      <c r="AJ111" s="11" t="s">
        <v>311</v>
      </c>
      <c r="AK111" s="11" t="s">
        <v>312</v>
      </c>
      <c r="AL111" s="11" t="s">
        <v>313</v>
      </c>
      <c r="AM111" s="11" t="s">
        <v>314</v>
      </c>
      <c r="AN111" s="47" t="s">
        <v>47</v>
      </c>
      <c r="AO111" s="11"/>
      <c r="AP111" s="11" t="s">
        <v>53</v>
      </c>
      <c r="AQ111" s="2">
        <v>0</v>
      </c>
    </row>
    <row r="112" s="3" customFormat="1" ht="12" spans="1:43">
      <c r="A112" s="53">
        <v>160902</v>
      </c>
      <c r="B112" s="12" t="s">
        <v>308</v>
      </c>
      <c r="C112" s="12"/>
      <c r="D112" s="12"/>
      <c r="E112" s="12"/>
      <c r="F112" s="12">
        <v>0</v>
      </c>
      <c r="G112" s="12" t="s">
        <v>47</v>
      </c>
      <c r="H112" s="12" t="s">
        <v>45</v>
      </c>
      <c r="I112" s="12">
        <v>1</v>
      </c>
      <c r="J112" s="12">
        <v>0</v>
      </c>
      <c r="K112" s="12" t="s">
        <v>46</v>
      </c>
      <c r="L112" s="47" t="s">
        <v>47</v>
      </c>
      <c r="M112" s="12">
        <v>1010122</v>
      </c>
      <c r="N112" s="12">
        <v>0</v>
      </c>
      <c r="O112" s="47" t="s">
        <v>48</v>
      </c>
      <c r="P112" s="12">
        <v>1609</v>
      </c>
      <c r="Q112" s="11">
        <v>242</v>
      </c>
      <c r="R112" s="11">
        <v>396</v>
      </c>
      <c r="S112" s="44">
        <v>36</v>
      </c>
      <c r="T112" s="44">
        <v>20</v>
      </c>
      <c r="U112" s="12">
        <v>1</v>
      </c>
      <c r="V112" s="12">
        <v>3</v>
      </c>
      <c r="W112" s="47" t="s">
        <v>47</v>
      </c>
      <c r="X112" s="47" t="s">
        <v>309</v>
      </c>
      <c r="Y112" s="47" t="str">
        <f t="shared" ref="Y112" si="35">B112</f>
        <v>喽啰</v>
      </c>
      <c r="Z112" s="12"/>
      <c r="AA112" s="12"/>
      <c r="AB112" s="12" t="s">
        <v>310</v>
      </c>
      <c r="AC112" s="12">
        <v>2142</v>
      </c>
      <c r="AD112" s="12">
        <v>2143</v>
      </c>
      <c r="AE112" s="12">
        <v>2144</v>
      </c>
      <c r="AF112" s="12">
        <v>2145</v>
      </c>
      <c r="AG112" s="12"/>
      <c r="AH112" s="47" t="s">
        <v>52</v>
      </c>
      <c r="AI112" s="12">
        <v>1</v>
      </c>
      <c r="AJ112" s="11" t="s">
        <v>311</v>
      </c>
      <c r="AK112" s="11" t="s">
        <v>312</v>
      </c>
      <c r="AL112" s="11" t="s">
        <v>313</v>
      </c>
      <c r="AM112" s="11" t="s">
        <v>314</v>
      </c>
      <c r="AN112" s="47" t="s">
        <v>47</v>
      </c>
      <c r="AO112" s="12"/>
      <c r="AP112" s="12" t="s">
        <v>53</v>
      </c>
      <c r="AQ112" s="2">
        <v>0</v>
      </c>
    </row>
    <row r="113" s="2" customFormat="1" ht="12" spans="1:43">
      <c r="A113" s="53">
        <v>160903</v>
      </c>
      <c r="B113" s="11" t="s">
        <v>308</v>
      </c>
      <c r="C113" s="11"/>
      <c r="D113" s="11"/>
      <c r="E113" s="11"/>
      <c r="F113" s="11">
        <v>0</v>
      </c>
      <c r="G113" s="11" t="s">
        <v>47</v>
      </c>
      <c r="H113" s="11" t="s">
        <v>45</v>
      </c>
      <c r="I113" s="11">
        <v>1</v>
      </c>
      <c r="J113" s="11">
        <v>0</v>
      </c>
      <c r="K113" s="11" t="s">
        <v>46</v>
      </c>
      <c r="L113" s="47" t="s">
        <v>47</v>
      </c>
      <c r="M113" s="11">
        <v>1010122</v>
      </c>
      <c r="N113" s="11">
        <v>0</v>
      </c>
      <c r="O113" s="47" t="s">
        <v>48</v>
      </c>
      <c r="P113" s="11">
        <v>1609</v>
      </c>
      <c r="Q113" s="11">
        <v>421</v>
      </c>
      <c r="R113" s="11">
        <v>246</v>
      </c>
      <c r="S113" s="44">
        <v>34</v>
      </c>
      <c r="T113" s="44">
        <v>22</v>
      </c>
      <c r="U113" s="11">
        <v>5</v>
      </c>
      <c r="V113" s="11">
        <v>3</v>
      </c>
      <c r="W113" s="47" t="s">
        <v>47</v>
      </c>
      <c r="X113" s="47" t="s">
        <v>309</v>
      </c>
      <c r="Y113" s="47" t="str">
        <f t="shared" ref="Y113" si="36">B113</f>
        <v>喽啰</v>
      </c>
      <c r="Z113" s="11"/>
      <c r="AA113" s="11"/>
      <c r="AB113" s="11" t="s">
        <v>310</v>
      </c>
      <c r="AC113" s="11">
        <v>2142</v>
      </c>
      <c r="AD113" s="11">
        <v>2143</v>
      </c>
      <c r="AE113" s="11">
        <v>2144</v>
      </c>
      <c r="AF113" s="11">
        <v>2145</v>
      </c>
      <c r="AG113" s="11"/>
      <c r="AH113" s="47" t="s">
        <v>52</v>
      </c>
      <c r="AI113" s="11">
        <v>1</v>
      </c>
      <c r="AJ113" s="11" t="s">
        <v>311</v>
      </c>
      <c r="AK113" s="11" t="s">
        <v>312</v>
      </c>
      <c r="AL113" s="11" t="s">
        <v>313</v>
      </c>
      <c r="AM113" s="11" t="s">
        <v>314</v>
      </c>
      <c r="AN113" s="47" t="s">
        <v>47</v>
      </c>
      <c r="AO113" s="11"/>
      <c r="AP113" s="11" t="s">
        <v>53</v>
      </c>
      <c r="AQ113" s="2">
        <v>0</v>
      </c>
    </row>
    <row r="114" s="3" customFormat="1" ht="12.75" spans="1:43">
      <c r="A114" s="53">
        <v>160904</v>
      </c>
      <c r="B114" s="12" t="s">
        <v>315</v>
      </c>
      <c r="C114" s="12"/>
      <c r="D114" s="12"/>
      <c r="E114" s="12"/>
      <c r="F114" s="12">
        <v>0</v>
      </c>
      <c r="G114" s="12" t="s">
        <v>47</v>
      </c>
      <c r="H114" s="12" t="s">
        <v>45</v>
      </c>
      <c r="I114" s="12" t="s">
        <v>45</v>
      </c>
      <c r="J114" s="12">
        <v>1</v>
      </c>
      <c r="K114" s="12" t="s">
        <v>46</v>
      </c>
      <c r="L114" s="47" t="s">
        <v>47</v>
      </c>
      <c r="M114" s="54" t="s">
        <v>316</v>
      </c>
      <c r="N114" s="12">
        <v>0</v>
      </c>
      <c r="O114" s="47" t="s">
        <v>48</v>
      </c>
      <c r="P114" s="12">
        <v>1609</v>
      </c>
      <c r="Q114" s="11">
        <v>608</v>
      </c>
      <c r="R114" s="11">
        <v>869</v>
      </c>
      <c r="S114" s="44">
        <v>27</v>
      </c>
      <c r="T114" s="44">
        <v>39</v>
      </c>
      <c r="U114" s="12">
        <v>3</v>
      </c>
      <c r="V114" s="12"/>
      <c r="W114" s="47" t="s">
        <v>47</v>
      </c>
      <c r="X114" s="47" t="s">
        <v>317</v>
      </c>
      <c r="Y114" s="47" t="str">
        <f t="shared" ref="Y114:Y115" si="37">B114</f>
        <v>白琉璃</v>
      </c>
      <c r="Z114" s="12"/>
      <c r="AA114" s="12"/>
      <c r="AB114" s="12" t="s">
        <v>318</v>
      </c>
      <c r="AC114" s="12">
        <v>2146</v>
      </c>
      <c r="AD114" s="12">
        <v>2147</v>
      </c>
      <c r="AE114" s="12">
        <v>2148</v>
      </c>
      <c r="AF114" s="12">
        <v>2149</v>
      </c>
      <c r="AG114" s="12"/>
      <c r="AH114" s="47" t="s">
        <v>52</v>
      </c>
      <c r="AI114" s="12" t="s">
        <v>47</v>
      </c>
      <c r="AJ114" s="12" t="s">
        <v>319</v>
      </c>
      <c r="AK114" s="12" t="s">
        <v>320</v>
      </c>
      <c r="AL114" s="12" t="s">
        <v>321</v>
      </c>
      <c r="AM114" s="12" t="s">
        <v>322</v>
      </c>
      <c r="AN114" s="47" t="s">
        <v>47</v>
      </c>
      <c r="AO114" s="12"/>
      <c r="AP114" s="12" t="s">
        <v>53</v>
      </c>
      <c r="AQ114" s="2">
        <v>0</v>
      </c>
    </row>
    <row r="115" s="11" customFormat="1" ht="12.75" spans="1:43">
      <c r="A115" s="53">
        <v>160905</v>
      </c>
      <c r="B115" s="11" t="s">
        <v>323</v>
      </c>
      <c r="F115" s="11">
        <v>0</v>
      </c>
      <c r="G115" s="11" t="s">
        <v>47</v>
      </c>
      <c r="H115" s="11" t="s">
        <v>45</v>
      </c>
      <c r="I115" s="11" t="s">
        <v>45</v>
      </c>
      <c r="J115" s="11">
        <v>1</v>
      </c>
      <c r="K115" s="11" t="s">
        <v>46</v>
      </c>
      <c r="L115" s="11" t="s">
        <v>47</v>
      </c>
      <c r="M115" s="64">
        <v>1030004</v>
      </c>
      <c r="N115" s="11">
        <v>0</v>
      </c>
      <c r="O115" s="11" t="s">
        <v>48</v>
      </c>
      <c r="P115" s="11">
        <v>1609</v>
      </c>
      <c r="Q115" s="11">
        <v>1342</v>
      </c>
      <c r="R115" s="11">
        <v>823</v>
      </c>
      <c r="S115" s="11">
        <v>92</v>
      </c>
      <c r="T115" s="11">
        <v>52</v>
      </c>
      <c r="U115" s="11">
        <v>5</v>
      </c>
      <c r="W115" s="11" t="s">
        <v>47</v>
      </c>
      <c r="X115" s="11" t="s">
        <v>324</v>
      </c>
      <c r="Y115" s="11" t="str">
        <f t="shared" si="37"/>
        <v>阿紫</v>
      </c>
      <c r="AB115" s="11" t="s">
        <v>325</v>
      </c>
      <c r="AC115" s="11">
        <v>2740</v>
      </c>
      <c r="AD115" s="11">
        <v>2741</v>
      </c>
      <c r="AE115" s="11">
        <v>2742</v>
      </c>
      <c r="AF115" s="11">
        <v>2743</v>
      </c>
      <c r="AH115" s="11" t="s">
        <v>52</v>
      </c>
      <c r="AI115" s="11" t="s">
        <v>47</v>
      </c>
      <c r="AN115" s="11" t="s">
        <v>47</v>
      </c>
      <c r="AP115" s="11" t="s">
        <v>53</v>
      </c>
      <c r="AQ115" s="11">
        <v>0</v>
      </c>
    </row>
    <row r="116" s="12" customFormat="1" ht="12.75" spans="1:43">
      <c r="A116" s="53">
        <v>160906</v>
      </c>
      <c r="B116" s="12" t="s">
        <v>326</v>
      </c>
      <c r="F116" s="12">
        <v>0</v>
      </c>
      <c r="G116" s="12" t="s">
        <v>47</v>
      </c>
      <c r="H116" s="12" t="s">
        <v>45</v>
      </c>
      <c r="I116" s="12">
        <v>1</v>
      </c>
      <c r="J116" s="12">
        <v>1</v>
      </c>
      <c r="K116" s="12" t="s">
        <v>46</v>
      </c>
      <c r="L116" s="12" t="s">
        <v>47</v>
      </c>
      <c r="M116" s="50">
        <v>1020119</v>
      </c>
      <c r="N116" s="12">
        <v>0</v>
      </c>
      <c r="O116" s="12" t="s">
        <v>48</v>
      </c>
      <c r="P116" s="12">
        <v>1609</v>
      </c>
      <c r="Q116" s="12">
        <v>1020</v>
      </c>
      <c r="R116" s="12">
        <v>639</v>
      </c>
      <c r="S116" s="12">
        <v>22</v>
      </c>
      <c r="T116" s="12">
        <v>126</v>
      </c>
      <c r="U116" s="12">
        <v>3</v>
      </c>
      <c r="W116" s="12" t="s">
        <v>47</v>
      </c>
      <c r="X116" s="12" t="s">
        <v>227</v>
      </c>
      <c r="Y116" s="12" t="str">
        <f t="shared" ref="Y116" si="38">B116</f>
        <v>卷帘大将</v>
      </c>
      <c r="AB116" s="12" t="s">
        <v>327</v>
      </c>
      <c r="AC116" s="12">
        <v>2040</v>
      </c>
      <c r="AD116" s="12">
        <v>2041</v>
      </c>
      <c r="AE116" s="12">
        <v>2042</v>
      </c>
      <c r="AF116" s="12">
        <v>2043</v>
      </c>
      <c r="AH116" s="12" t="s">
        <v>52</v>
      </c>
      <c r="AI116" s="12" t="s">
        <v>47</v>
      </c>
      <c r="AJ116" s="12" t="s">
        <v>90</v>
      </c>
      <c r="AK116" s="12" t="s">
        <v>228</v>
      </c>
      <c r="AL116" s="12" t="s">
        <v>91</v>
      </c>
      <c r="AM116" s="12" t="s">
        <v>93</v>
      </c>
      <c r="AN116" s="12" t="s">
        <v>47</v>
      </c>
      <c r="AP116" s="12" t="s">
        <v>53</v>
      </c>
      <c r="AQ116" s="12">
        <v>0</v>
      </c>
    </row>
    <row r="117" s="2" customFormat="1" ht="12" spans="1:43">
      <c r="A117" s="53">
        <v>160907</v>
      </c>
      <c r="B117" s="11" t="s">
        <v>328</v>
      </c>
      <c r="C117" s="11"/>
      <c r="D117" s="11"/>
      <c r="E117" s="11"/>
      <c r="F117" s="11">
        <v>3</v>
      </c>
      <c r="G117" s="11" t="s">
        <v>47</v>
      </c>
      <c r="H117" s="11" t="s">
        <v>45</v>
      </c>
      <c r="I117" s="11">
        <v>1</v>
      </c>
      <c r="J117" s="11">
        <v>0</v>
      </c>
      <c r="K117" s="11" t="s">
        <v>46</v>
      </c>
      <c r="L117" s="47" t="s">
        <v>47</v>
      </c>
      <c r="M117" s="11">
        <v>1010156</v>
      </c>
      <c r="N117" s="11">
        <v>0</v>
      </c>
      <c r="O117" s="47" t="s">
        <v>48</v>
      </c>
      <c r="P117" s="11">
        <v>1609</v>
      </c>
      <c r="Q117" s="11">
        <v>1417</v>
      </c>
      <c r="R117" s="11">
        <v>419</v>
      </c>
      <c r="S117" s="44">
        <v>81</v>
      </c>
      <c r="T117" s="44">
        <v>28</v>
      </c>
      <c r="U117" s="11">
        <v>5</v>
      </c>
      <c r="V117" s="11"/>
      <c r="W117" s="47" t="s">
        <v>47</v>
      </c>
      <c r="X117" s="47" t="s">
        <v>329</v>
      </c>
      <c r="Y117" s="47" t="str">
        <f t="shared" ref="Y117" si="39">B117</f>
        <v>妖风的同伙</v>
      </c>
      <c r="Z117" s="11"/>
      <c r="AA117" s="11"/>
      <c r="AB117" s="11" t="s">
        <v>330</v>
      </c>
      <c r="AC117" s="11">
        <v>2150</v>
      </c>
      <c r="AD117" s="11">
        <v>2151</v>
      </c>
      <c r="AE117" s="11">
        <v>2152</v>
      </c>
      <c r="AF117" s="11">
        <v>2153</v>
      </c>
      <c r="AG117" s="11"/>
      <c r="AH117" s="47" t="s">
        <v>52</v>
      </c>
      <c r="AI117" s="11">
        <v>1</v>
      </c>
      <c r="AJ117" s="11" t="s">
        <v>331</v>
      </c>
      <c r="AK117" s="11" t="s">
        <v>332</v>
      </c>
      <c r="AL117" s="11" t="s">
        <v>333</v>
      </c>
      <c r="AM117" s="11" t="s">
        <v>334</v>
      </c>
      <c r="AN117" s="47" t="s">
        <v>47</v>
      </c>
      <c r="AO117" s="11"/>
      <c r="AP117" s="11" t="s">
        <v>53</v>
      </c>
      <c r="AQ117" s="2">
        <v>0</v>
      </c>
    </row>
    <row r="118" s="10" customFormat="1" ht="12.75" spans="1:43">
      <c r="A118" s="53">
        <v>160908</v>
      </c>
      <c r="B118" s="63" t="s">
        <v>209</v>
      </c>
      <c r="C118" s="63"/>
      <c r="D118" s="63"/>
      <c r="E118" s="63"/>
      <c r="F118" s="63">
        <v>0</v>
      </c>
      <c r="G118" s="63" t="s">
        <v>47</v>
      </c>
      <c r="H118" s="63" t="s">
        <v>45</v>
      </c>
      <c r="I118" s="63" t="s">
        <v>45</v>
      </c>
      <c r="J118" s="63">
        <v>0</v>
      </c>
      <c r="K118" s="63" t="s">
        <v>46</v>
      </c>
      <c r="L118" s="47" t="s">
        <v>47</v>
      </c>
      <c r="M118" s="50">
        <v>1020131</v>
      </c>
      <c r="N118" s="63">
        <v>0</v>
      </c>
      <c r="O118" s="47" t="s">
        <v>48</v>
      </c>
      <c r="P118" s="63">
        <v>1609</v>
      </c>
      <c r="Q118" s="11">
        <v>828</v>
      </c>
      <c r="R118" s="11">
        <v>242</v>
      </c>
      <c r="S118" s="44">
        <v>69</v>
      </c>
      <c r="T118" s="44">
        <v>26</v>
      </c>
      <c r="U118" s="63">
        <v>3</v>
      </c>
      <c r="V118" s="63"/>
      <c r="W118" s="47" t="s">
        <v>47</v>
      </c>
      <c r="X118" s="47" t="s">
        <v>210</v>
      </c>
      <c r="Y118" s="47" t="str">
        <f t="shared" ref="Y118" si="40">B118</f>
        <v>袁守城</v>
      </c>
      <c r="Z118" s="63"/>
      <c r="AA118" s="63"/>
      <c r="AB118" s="63" t="s">
        <v>335</v>
      </c>
      <c r="AC118" s="63">
        <v>2166</v>
      </c>
      <c r="AD118" s="63">
        <v>2167</v>
      </c>
      <c r="AE118" s="63">
        <v>2168</v>
      </c>
      <c r="AF118" s="63">
        <v>2169</v>
      </c>
      <c r="AG118" s="63"/>
      <c r="AH118" s="47" t="s">
        <v>52</v>
      </c>
      <c r="AI118" s="63">
        <v>1</v>
      </c>
      <c r="AJ118" s="63" t="s">
        <v>211</v>
      </c>
      <c r="AK118" s="63" t="s">
        <v>212</v>
      </c>
      <c r="AL118" s="63" t="s">
        <v>213</v>
      </c>
      <c r="AM118" s="63" t="s">
        <v>214</v>
      </c>
      <c r="AN118" s="47" t="s">
        <v>47</v>
      </c>
      <c r="AO118" s="63"/>
      <c r="AP118" s="63" t="s">
        <v>53</v>
      </c>
      <c r="AQ118" s="2">
        <v>0</v>
      </c>
    </row>
    <row r="119" s="4" customFormat="1" ht="12" spans="1:43">
      <c r="A119" s="53">
        <v>160909</v>
      </c>
      <c r="B119" s="37" t="s">
        <v>336</v>
      </c>
      <c r="C119" s="37"/>
      <c r="D119" s="37"/>
      <c r="E119" s="37"/>
      <c r="F119" s="37">
        <v>0</v>
      </c>
      <c r="G119" s="37" t="s">
        <v>47</v>
      </c>
      <c r="H119" s="37" t="s">
        <v>45</v>
      </c>
      <c r="I119" s="37" t="s">
        <v>45</v>
      </c>
      <c r="J119" s="37">
        <v>0</v>
      </c>
      <c r="K119" s="37" t="s">
        <v>300</v>
      </c>
      <c r="L119" s="47" t="s">
        <v>47</v>
      </c>
      <c r="M119" s="11">
        <v>1010156</v>
      </c>
      <c r="N119" s="37">
        <v>0</v>
      </c>
      <c r="O119" s="47" t="s">
        <v>48</v>
      </c>
      <c r="P119" s="37">
        <v>1609</v>
      </c>
      <c r="Q119" s="11">
        <v>842</v>
      </c>
      <c r="R119" s="11">
        <v>971</v>
      </c>
      <c r="S119" s="44">
        <v>82</v>
      </c>
      <c r="T119" s="44">
        <v>62</v>
      </c>
      <c r="U119" s="37">
        <v>7</v>
      </c>
      <c r="V119" s="37"/>
      <c r="W119" s="47" t="s">
        <v>47</v>
      </c>
      <c r="X119" s="47" t="s">
        <v>337</v>
      </c>
      <c r="Y119" s="47" t="str">
        <f t="shared" ref="Y119" si="41">B119</f>
        <v>妖风</v>
      </c>
      <c r="Z119" s="37"/>
      <c r="AA119" s="37"/>
      <c r="AB119" s="37" t="s">
        <v>338</v>
      </c>
      <c r="AC119" s="37">
        <v>2403</v>
      </c>
      <c r="AD119" s="37">
        <v>2404</v>
      </c>
      <c r="AE119" s="37" t="s">
        <v>51</v>
      </c>
      <c r="AF119" s="37" t="s">
        <v>51</v>
      </c>
      <c r="AG119" s="37"/>
      <c r="AH119" s="47" t="s">
        <v>52</v>
      </c>
      <c r="AI119" s="37">
        <v>1</v>
      </c>
      <c r="AJ119" s="37"/>
      <c r="AK119" s="37"/>
      <c r="AL119" s="37"/>
      <c r="AM119" s="37"/>
      <c r="AN119" s="47" t="s">
        <v>47</v>
      </c>
      <c r="AO119" s="37"/>
      <c r="AP119" s="37" t="s">
        <v>301</v>
      </c>
      <c r="AQ119" s="2">
        <v>0</v>
      </c>
    </row>
    <row r="120" s="4" customFormat="1" ht="12" spans="1:43">
      <c r="A120" s="53">
        <v>160910</v>
      </c>
      <c r="B120" s="37" t="s">
        <v>339</v>
      </c>
      <c r="C120" s="37"/>
      <c r="D120" s="37"/>
      <c r="E120" s="37"/>
      <c r="F120" s="37">
        <v>0</v>
      </c>
      <c r="G120" s="37" t="s">
        <v>47</v>
      </c>
      <c r="H120" s="37" t="s">
        <v>45</v>
      </c>
      <c r="I120" s="37">
        <v>1</v>
      </c>
      <c r="J120" s="37">
        <v>0</v>
      </c>
      <c r="K120" s="37" t="s">
        <v>300</v>
      </c>
      <c r="L120" s="47" t="s">
        <v>47</v>
      </c>
      <c r="M120" s="37">
        <v>1010121</v>
      </c>
      <c r="N120" s="37">
        <v>0</v>
      </c>
      <c r="O120" s="47" t="s">
        <v>48</v>
      </c>
      <c r="P120" s="37">
        <v>1609</v>
      </c>
      <c r="Q120" s="11">
        <v>851</v>
      </c>
      <c r="R120" s="11">
        <v>812</v>
      </c>
      <c r="S120" s="44">
        <v>30</v>
      </c>
      <c r="T120" s="44">
        <v>51</v>
      </c>
      <c r="U120" s="37">
        <v>5</v>
      </c>
      <c r="V120" s="37"/>
      <c r="W120" s="47" t="s">
        <v>47</v>
      </c>
      <c r="X120" s="47" t="s">
        <v>340</v>
      </c>
      <c r="Y120" s="47" t="str">
        <f t="shared" ref="Y120" si="42">B120</f>
        <v>蟹将</v>
      </c>
      <c r="Z120" s="37"/>
      <c r="AA120" s="37"/>
      <c r="AB120" s="37" t="s">
        <v>341</v>
      </c>
      <c r="AC120" s="37">
        <v>2380</v>
      </c>
      <c r="AD120" s="37">
        <v>2381</v>
      </c>
      <c r="AE120" s="37" t="s">
        <v>51</v>
      </c>
      <c r="AF120" s="37" t="s">
        <v>51</v>
      </c>
      <c r="AG120" s="37"/>
      <c r="AH120" s="47" t="s">
        <v>52</v>
      </c>
      <c r="AI120" s="37">
        <v>1</v>
      </c>
      <c r="AJ120" s="37"/>
      <c r="AK120" s="37"/>
      <c r="AL120" s="37"/>
      <c r="AM120" s="37"/>
      <c r="AN120" s="47" t="s">
        <v>47</v>
      </c>
      <c r="AO120" s="37"/>
      <c r="AP120" s="37" t="s">
        <v>301</v>
      </c>
      <c r="AQ120" s="2">
        <v>0</v>
      </c>
    </row>
    <row r="121" s="4" customFormat="1" ht="12" spans="1:43">
      <c r="A121" s="53">
        <v>160911</v>
      </c>
      <c r="B121" s="37" t="s">
        <v>339</v>
      </c>
      <c r="C121" s="37"/>
      <c r="D121" s="37"/>
      <c r="E121" s="37"/>
      <c r="F121" s="37">
        <v>0</v>
      </c>
      <c r="G121" s="37" t="s">
        <v>47</v>
      </c>
      <c r="H121" s="37" t="s">
        <v>45</v>
      </c>
      <c r="I121" s="37">
        <v>1</v>
      </c>
      <c r="J121" s="37">
        <v>0</v>
      </c>
      <c r="K121" s="37" t="s">
        <v>300</v>
      </c>
      <c r="L121" s="47" t="s">
        <v>47</v>
      </c>
      <c r="M121" s="37">
        <v>1010121</v>
      </c>
      <c r="N121" s="37">
        <v>0</v>
      </c>
      <c r="O121" s="47" t="s">
        <v>48</v>
      </c>
      <c r="P121" s="37">
        <v>1609</v>
      </c>
      <c r="Q121" s="11">
        <v>724</v>
      </c>
      <c r="R121" s="11">
        <v>1060</v>
      </c>
      <c r="S121" s="44">
        <v>22</v>
      </c>
      <c r="T121" s="44">
        <v>48</v>
      </c>
      <c r="U121" s="37">
        <v>7</v>
      </c>
      <c r="V121" s="37"/>
      <c r="W121" s="47" t="s">
        <v>47</v>
      </c>
      <c r="X121" s="47" t="s">
        <v>340</v>
      </c>
      <c r="Y121" s="47" t="str">
        <f t="shared" ref="Y121" si="43">B121</f>
        <v>蟹将</v>
      </c>
      <c r="Z121" s="37"/>
      <c r="AA121" s="37"/>
      <c r="AB121" s="37" t="s">
        <v>341</v>
      </c>
      <c r="AC121" s="37">
        <v>2380</v>
      </c>
      <c r="AD121" s="37">
        <v>2381</v>
      </c>
      <c r="AE121" s="37" t="s">
        <v>51</v>
      </c>
      <c r="AF121" s="37" t="s">
        <v>51</v>
      </c>
      <c r="AG121" s="37"/>
      <c r="AH121" s="47" t="s">
        <v>52</v>
      </c>
      <c r="AI121" s="37">
        <v>1</v>
      </c>
      <c r="AJ121" s="37"/>
      <c r="AK121" s="37"/>
      <c r="AL121" s="37"/>
      <c r="AM121" s="37"/>
      <c r="AN121" s="47" t="s">
        <v>47</v>
      </c>
      <c r="AO121" s="37"/>
      <c r="AP121" s="37" t="s">
        <v>301</v>
      </c>
      <c r="AQ121" s="2">
        <v>0</v>
      </c>
    </row>
    <row r="122" s="13" customFormat="1" ht="12" spans="1:43">
      <c r="A122" s="53">
        <v>160912</v>
      </c>
      <c r="B122" s="13" t="s">
        <v>69</v>
      </c>
      <c r="F122" s="13">
        <v>0</v>
      </c>
      <c r="G122" s="13" t="s">
        <v>47</v>
      </c>
      <c r="H122" s="13" t="s">
        <v>45</v>
      </c>
      <c r="I122" s="13" t="s">
        <v>45</v>
      </c>
      <c r="J122" s="13">
        <v>1</v>
      </c>
      <c r="K122" s="13" t="s">
        <v>46</v>
      </c>
      <c r="L122" s="13" t="s">
        <v>47</v>
      </c>
      <c r="M122" s="13">
        <v>1030009</v>
      </c>
      <c r="N122" s="13">
        <v>0</v>
      </c>
      <c r="O122" s="13" t="s">
        <v>48</v>
      </c>
      <c r="P122" s="13">
        <v>1609</v>
      </c>
      <c r="Q122" s="13">
        <v>220</v>
      </c>
      <c r="R122" s="13">
        <v>224</v>
      </c>
      <c r="S122" s="13">
        <v>153</v>
      </c>
      <c r="T122" s="13">
        <v>119</v>
      </c>
      <c r="U122" s="13">
        <v>5</v>
      </c>
      <c r="W122" s="13" t="s">
        <v>47</v>
      </c>
      <c r="X122" s="13" t="s">
        <v>70</v>
      </c>
      <c r="Y122" s="13" t="str">
        <f t="shared" ref="Y122" si="44">B122</f>
        <v>传送人</v>
      </c>
      <c r="AB122" s="13" t="s">
        <v>189</v>
      </c>
      <c r="AC122" s="13">
        <v>2470</v>
      </c>
      <c r="AD122" s="13">
        <v>2360</v>
      </c>
      <c r="AE122" s="13" t="s">
        <v>51</v>
      </c>
      <c r="AF122" s="13" t="s">
        <v>51</v>
      </c>
      <c r="AH122" s="13" t="s">
        <v>52</v>
      </c>
      <c r="AI122" s="13">
        <v>0</v>
      </c>
      <c r="AJ122" s="13" t="s">
        <v>72</v>
      </c>
      <c r="AN122" s="13" t="s">
        <v>47</v>
      </c>
      <c r="AP122" s="13" t="s">
        <v>53</v>
      </c>
      <c r="AQ122" s="2">
        <v>0</v>
      </c>
    </row>
    <row r="123" s="2" customFormat="1" ht="12" spans="1:43">
      <c r="A123" s="53">
        <v>160913</v>
      </c>
      <c r="B123" s="11" t="s">
        <v>342</v>
      </c>
      <c r="C123" s="11"/>
      <c r="D123" s="11"/>
      <c r="E123" s="11"/>
      <c r="F123" s="11">
        <v>0</v>
      </c>
      <c r="G123" s="11" t="s">
        <v>47</v>
      </c>
      <c r="H123" s="11" t="s">
        <v>45</v>
      </c>
      <c r="I123" s="11" t="s">
        <v>45</v>
      </c>
      <c r="J123" s="11">
        <v>1</v>
      </c>
      <c r="K123" s="11" t="s">
        <v>46</v>
      </c>
      <c r="L123" s="47" t="s">
        <v>47</v>
      </c>
      <c r="M123" s="11">
        <v>1020112</v>
      </c>
      <c r="N123" s="11">
        <v>0</v>
      </c>
      <c r="O123" s="47" t="s">
        <v>48</v>
      </c>
      <c r="P123" s="11">
        <v>1609</v>
      </c>
      <c r="Q123" s="11">
        <v>1560</v>
      </c>
      <c r="R123" s="11">
        <v>995</v>
      </c>
      <c r="S123" s="44">
        <v>102</v>
      </c>
      <c r="T123" s="44">
        <v>106</v>
      </c>
      <c r="U123" s="11">
        <v>5</v>
      </c>
      <c r="V123" s="11"/>
      <c r="W123" s="47" t="s">
        <v>47</v>
      </c>
      <c r="X123" s="47" t="s">
        <v>245</v>
      </c>
      <c r="Y123" s="47" t="str">
        <f t="shared" ref="Y123" si="45">B123</f>
        <v>翻天怪</v>
      </c>
      <c r="Z123" s="11"/>
      <c r="AA123" s="11"/>
      <c r="AB123" s="11" t="s">
        <v>343</v>
      </c>
      <c r="AC123" s="11">
        <v>2076</v>
      </c>
      <c r="AD123" s="11">
        <v>2077</v>
      </c>
      <c r="AE123" s="11">
        <v>2078</v>
      </c>
      <c r="AF123" s="11">
        <v>2079</v>
      </c>
      <c r="AG123" s="11"/>
      <c r="AH123" s="47" t="s">
        <v>52</v>
      </c>
      <c r="AI123" s="11">
        <v>0</v>
      </c>
      <c r="AJ123" s="11" t="s">
        <v>246</v>
      </c>
      <c r="AK123" s="11" t="s">
        <v>247</v>
      </c>
      <c r="AL123" s="11" t="s">
        <v>248</v>
      </c>
      <c r="AM123" s="11" t="s">
        <v>249</v>
      </c>
      <c r="AN123" s="47" t="s">
        <v>47</v>
      </c>
      <c r="AO123" s="11"/>
      <c r="AP123" s="11" t="s">
        <v>53</v>
      </c>
      <c r="AQ123" s="2">
        <v>0</v>
      </c>
    </row>
    <row r="124" s="3" customFormat="1" ht="12.75" spans="1:43">
      <c r="A124" s="61">
        <v>161001</v>
      </c>
      <c r="B124" s="12" t="s">
        <v>344</v>
      </c>
      <c r="C124" s="12"/>
      <c r="D124" s="12"/>
      <c r="E124" s="12"/>
      <c r="F124" s="12">
        <v>0</v>
      </c>
      <c r="G124" s="12" t="s">
        <v>47</v>
      </c>
      <c r="H124" s="12" t="s">
        <v>45</v>
      </c>
      <c r="I124" s="12">
        <v>1</v>
      </c>
      <c r="J124" s="12">
        <v>0</v>
      </c>
      <c r="K124" s="12" t="s">
        <v>46</v>
      </c>
      <c r="L124" s="47" t="s">
        <v>47</v>
      </c>
      <c r="M124" s="50">
        <v>1020109</v>
      </c>
      <c r="N124" s="12">
        <v>0</v>
      </c>
      <c r="O124" s="47" t="s">
        <v>48</v>
      </c>
      <c r="P124" s="12">
        <v>1610</v>
      </c>
      <c r="Q124" s="12">
        <v>294</v>
      </c>
      <c r="R124" s="12">
        <v>278</v>
      </c>
      <c r="S124" s="44">
        <f t="shared" ref="S124:T124" si="46">FLOOR(Q124/16,1)</f>
        <v>18</v>
      </c>
      <c r="T124" s="44">
        <f t="shared" si="46"/>
        <v>17</v>
      </c>
      <c r="U124" s="12">
        <v>3</v>
      </c>
      <c r="V124" s="12"/>
      <c r="W124" s="47" t="s">
        <v>47</v>
      </c>
      <c r="X124" s="47"/>
      <c r="Y124" s="47" t="str">
        <f t="shared" ref="Y124:Y129" si="47">B124</f>
        <v>天蓬元帅</v>
      </c>
      <c r="Z124" s="12"/>
      <c r="AA124" s="12"/>
      <c r="AB124" s="12" t="s">
        <v>345</v>
      </c>
      <c r="AC124" s="12">
        <v>2217</v>
      </c>
      <c r="AD124" s="12">
        <v>2218</v>
      </c>
      <c r="AE124" s="12">
        <v>2220</v>
      </c>
      <c r="AG124" s="12"/>
      <c r="AH124" s="47" t="s">
        <v>52</v>
      </c>
      <c r="AI124" s="12">
        <v>1</v>
      </c>
      <c r="AJ124" s="12"/>
      <c r="AK124" s="12"/>
      <c r="AL124" s="12"/>
      <c r="AM124" s="12"/>
      <c r="AN124" s="47" t="s">
        <v>47</v>
      </c>
      <c r="AO124" s="12"/>
      <c r="AP124" s="12" t="s">
        <v>53</v>
      </c>
      <c r="AQ124" s="2">
        <v>0</v>
      </c>
    </row>
    <row r="125" s="2" customFormat="1" ht="12" spans="1:43">
      <c r="A125" s="61">
        <v>161002</v>
      </c>
      <c r="B125" s="11" t="s">
        <v>346</v>
      </c>
      <c r="C125" s="11"/>
      <c r="D125" s="11"/>
      <c r="E125" s="11"/>
      <c r="F125" s="11">
        <v>0</v>
      </c>
      <c r="G125" s="11" t="s">
        <v>47</v>
      </c>
      <c r="H125" s="11" t="s">
        <v>45</v>
      </c>
      <c r="I125" s="11">
        <v>1</v>
      </c>
      <c r="J125" s="11">
        <v>0</v>
      </c>
      <c r="K125" s="11" t="s">
        <v>46</v>
      </c>
      <c r="L125" s="47" t="s">
        <v>47</v>
      </c>
      <c r="M125" s="11">
        <v>1030010</v>
      </c>
      <c r="N125" s="11">
        <v>0</v>
      </c>
      <c r="O125" s="47" t="s">
        <v>48</v>
      </c>
      <c r="P125" s="11">
        <v>1610</v>
      </c>
      <c r="Q125" s="11">
        <v>630</v>
      </c>
      <c r="R125" s="11">
        <v>659</v>
      </c>
      <c r="S125" s="44">
        <v>27</v>
      </c>
      <c r="T125" s="44">
        <v>41</v>
      </c>
      <c r="U125" s="11">
        <v>3</v>
      </c>
      <c r="V125" s="11"/>
      <c r="W125" s="47" t="s">
        <v>47</v>
      </c>
      <c r="X125" s="47"/>
      <c r="Y125" s="47" t="str">
        <f t="shared" si="47"/>
        <v>野猪精</v>
      </c>
      <c r="Z125" s="11"/>
      <c r="AA125" s="11"/>
      <c r="AB125" s="11" t="s">
        <v>346</v>
      </c>
      <c r="AC125" s="11">
        <v>2222</v>
      </c>
      <c r="AD125" s="11">
        <v>2221</v>
      </c>
      <c r="AE125" s="11">
        <v>2222</v>
      </c>
      <c r="AF125" s="11">
        <v>2221</v>
      </c>
      <c r="AG125" s="11"/>
      <c r="AH125" s="47" t="s">
        <v>52</v>
      </c>
      <c r="AI125" s="11">
        <v>1</v>
      </c>
      <c r="AJ125" s="11"/>
      <c r="AK125" s="11"/>
      <c r="AL125" s="11"/>
      <c r="AM125" s="11"/>
      <c r="AN125" s="47" t="s">
        <v>47</v>
      </c>
      <c r="AO125" s="11"/>
      <c r="AP125" s="11" t="s">
        <v>53</v>
      </c>
      <c r="AQ125" s="2">
        <v>0</v>
      </c>
    </row>
    <row r="126" s="3" customFormat="1" ht="12.75" spans="1:43">
      <c r="A126" s="61">
        <v>161003</v>
      </c>
      <c r="B126" s="12" t="s">
        <v>347</v>
      </c>
      <c r="C126" s="12"/>
      <c r="D126" s="12"/>
      <c r="E126" s="12"/>
      <c r="F126" s="12">
        <v>0</v>
      </c>
      <c r="G126" s="12" t="s">
        <v>47</v>
      </c>
      <c r="H126" s="12" t="s">
        <v>45</v>
      </c>
      <c r="I126" s="12">
        <v>1</v>
      </c>
      <c r="J126" s="12">
        <v>0</v>
      </c>
      <c r="K126" s="12" t="s">
        <v>46</v>
      </c>
      <c r="L126" s="47" t="s">
        <v>47</v>
      </c>
      <c r="M126" s="64">
        <v>1030004</v>
      </c>
      <c r="N126" s="12">
        <v>0</v>
      </c>
      <c r="O126" s="47" t="s">
        <v>48</v>
      </c>
      <c r="P126" s="12">
        <v>1610</v>
      </c>
      <c r="Q126" s="12">
        <v>638</v>
      </c>
      <c r="R126" s="12">
        <v>576</v>
      </c>
      <c r="S126" s="44">
        <v>90</v>
      </c>
      <c r="T126" s="44">
        <v>65</v>
      </c>
      <c r="U126" s="12">
        <v>3</v>
      </c>
      <c r="V126" s="12"/>
      <c r="W126" s="47" t="s">
        <v>47</v>
      </c>
      <c r="X126" s="47"/>
      <c r="Y126" s="47" t="str">
        <f t="shared" si="47"/>
        <v>高翠兰</v>
      </c>
      <c r="Z126" s="12"/>
      <c r="AA126" s="12"/>
      <c r="AB126" s="12" t="s">
        <v>346</v>
      </c>
      <c r="AC126" s="12">
        <v>2222</v>
      </c>
      <c r="AD126" s="12">
        <v>2221</v>
      </c>
      <c r="AE126" s="12">
        <v>2222</v>
      </c>
      <c r="AF126" s="12">
        <v>2221</v>
      </c>
      <c r="AG126" s="12"/>
      <c r="AH126" s="47" t="s">
        <v>52</v>
      </c>
      <c r="AI126" s="12">
        <v>1</v>
      </c>
      <c r="AJ126" s="12"/>
      <c r="AK126" s="12"/>
      <c r="AL126" s="12"/>
      <c r="AM126" s="12"/>
      <c r="AN126" s="47" t="s">
        <v>47</v>
      </c>
      <c r="AO126" s="12"/>
      <c r="AP126" s="12" t="s">
        <v>53</v>
      </c>
      <c r="AQ126" s="2">
        <v>0</v>
      </c>
    </row>
    <row r="127" s="2" customFormat="1" ht="12.75" spans="1:43">
      <c r="A127" s="61">
        <v>161004</v>
      </c>
      <c r="B127" s="11" t="s">
        <v>348</v>
      </c>
      <c r="C127" s="11"/>
      <c r="D127" s="11"/>
      <c r="E127" s="11"/>
      <c r="F127" s="11">
        <v>0</v>
      </c>
      <c r="G127" s="11" t="s">
        <v>47</v>
      </c>
      <c r="H127" s="11" t="s">
        <v>45</v>
      </c>
      <c r="I127" s="11">
        <v>1</v>
      </c>
      <c r="J127" s="11">
        <v>0</v>
      </c>
      <c r="K127" s="11" t="s">
        <v>46</v>
      </c>
      <c r="L127" s="47" t="s">
        <v>47</v>
      </c>
      <c r="M127" s="64">
        <v>1030004</v>
      </c>
      <c r="N127" s="11">
        <v>0</v>
      </c>
      <c r="O127" s="47" t="s">
        <v>48</v>
      </c>
      <c r="P127" s="11">
        <v>1610</v>
      </c>
      <c r="Q127" s="11">
        <v>556</v>
      </c>
      <c r="R127" s="11">
        <v>637</v>
      </c>
      <c r="S127" s="44">
        <v>66</v>
      </c>
      <c r="T127" s="44">
        <v>11</v>
      </c>
      <c r="U127" s="11">
        <v>3</v>
      </c>
      <c r="V127" s="11"/>
      <c r="W127" s="47" t="s">
        <v>47</v>
      </c>
      <c r="X127" s="47"/>
      <c r="Y127" s="47" t="str">
        <f t="shared" si="47"/>
        <v>白姑娘</v>
      </c>
      <c r="Z127" s="11"/>
      <c r="AA127" s="11"/>
      <c r="AB127" s="11" t="s">
        <v>346</v>
      </c>
      <c r="AC127" s="11">
        <v>2222</v>
      </c>
      <c r="AD127" s="11">
        <v>2221</v>
      </c>
      <c r="AE127" s="11">
        <v>2222</v>
      </c>
      <c r="AF127" s="11">
        <v>2221</v>
      </c>
      <c r="AG127" s="11"/>
      <c r="AH127" s="47" t="s">
        <v>52</v>
      </c>
      <c r="AI127" s="11">
        <v>1</v>
      </c>
      <c r="AJ127" s="11"/>
      <c r="AK127" s="11"/>
      <c r="AL127" s="11"/>
      <c r="AM127" s="11"/>
      <c r="AN127" s="47" t="s">
        <v>47</v>
      </c>
      <c r="AO127" s="11"/>
      <c r="AP127" s="11" t="s">
        <v>53</v>
      </c>
      <c r="AQ127" s="2">
        <v>0</v>
      </c>
    </row>
    <row r="128" s="2" customFormat="1" ht="12" spans="1:43">
      <c r="A128" s="61">
        <v>161005</v>
      </c>
      <c r="B128" s="11" t="s">
        <v>349</v>
      </c>
      <c r="C128" s="11"/>
      <c r="D128" s="11"/>
      <c r="E128" s="11"/>
      <c r="F128" s="11">
        <v>0</v>
      </c>
      <c r="G128" s="11" t="s">
        <v>47</v>
      </c>
      <c r="H128" s="11" t="s">
        <v>45</v>
      </c>
      <c r="I128" s="11">
        <v>1</v>
      </c>
      <c r="J128" s="11">
        <v>1</v>
      </c>
      <c r="K128" s="11" t="s">
        <v>46</v>
      </c>
      <c r="L128" s="47" t="s">
        <v>47</v>
      </c>
      <c r="M128" s="11">
        <v>1020131</v>
      </c>
      <c r="N128" s="11">
        <v>0</v>
      </c>
      <c r="O128" s="47" t="s">
        <v>48</v>
      </c>
      <c r="P128" s="11">
        <v>1610</v>
      </c>
      <c r="Q128" s="11"/>
      <c r="R128" s="11"/>
      <c r="S128" s="44">
        <v>88</v>
      </c>
      <c r="T128" s="44">
        <v>78</v>
      </c>
      <c r="U128" s="11">
        <v>3</v>
      </c>
      <c r="V128" s="11"/>
      <c r="W128" s="47" t="s">
        <v>47</v>
      </c>
      <c r="X128" s="47" t="s">
        <v>350</v>
      </c>
      <c r="Y128" s="47" t="str">
        <f t="shared" si="47"/>
        <v>江湖奸商</v>
      </c>
      <c r="Z128" s="11"/>
      <c r="AA128" s="11"/>
      <c r="AB128" s="11" t="s">
        <v>351</v>
      </c>
      <c r="AC128" s="11">
        <v>2745</v>
      </c>
      <c r="AD128" s="11">
        <v>2746</v>
      </c>
      <c r="AE128" s="11">
        <v>2747</v>
      </c>
      <c r="AF128" s="11"/>
      <c r="AG128" s="11"/>
      <c r="AH128" s="47" t="s">
        <v>52</v>
      </c>
      <c r="AI128" s="11">
        <v>0</v>
      </c>
      <c r="AJ128" s="11"/>
      <c r="AK128" s="11"/>
      <c r="AL128" s="11"/>
      <c r="AM128" s="11"/>
      <c r="AN128" s="47" t="s">
        <v>47</v>
      </c>
      <c r="AO128" s="11"/>
      <c r="AP128" s="11" t="s">
        <v>53</v>
      </c>
      <c r="AQ128" s="2">
        <v>0</v>
      </c>
    </row>
    <row r="129" s="10" customFormat="1" ht="12" spans="1:43">
      <c r="A129" s="61">
        <v>161006</v>
      </c>
      <c r="B129" s="63" t="s">
        <v>352</v>
      </c>
      <c r="C129" s="63"/>
      <c r="D129" s="63"/>
      <c r="E129" s="63"/>
      <c r="F129" s="63">
        <v>0</v>
      </c>
      <c r="G129" s="63">
        <v>0</v>
      </c>
      <c r="H129" s="63">
        <v>1</v>
      </c>
      <c r="I129" s="63">
        <v>1</v>
      </c>
      <c r="J129" s="12">
        <v>1</v>
      </c>
      <c r="K129" s="63" t="s">
        <v>46</v>
      </c>
      <c r="L129" s="47">
        <v>0</v>
      </c>
      <c r="M129" s="63">
        <v>1020116</v>
      </c>
      <c r="N129" s="63">
        <v>0</v>
      </c>
      <c r="O129" s="47">
        <v>-1</v>
      </c>
      <c r="P129" s="63">
        <v>1610</v>
      </c>
      <c r="Q129" s="63">
        <v>1635</v>
      </c>
      <c r="R129" s="63">
        <v>661</v>
      </c>
      <c r="S129" s="44">
        <v>123</v>
      </c>
      <c r="T129" s="44">
        <v>15</v>
      </c>
      <c r="U129" s="63">
        <v>5</v>
      </c>
      <c r="V129" s="63"/>
      <c r="W129" s="47">
        <v>0</v>
      </c>
      <c r="X129" s="47"/>
      <c r="Y129" s="47" t="str">
        <f t="shared" si="47"/>
        <v>地遁鬼</v>
      </c>
      <c r="Z129" s="63"/>
      <c r="AA129" s="63"/>
      <c r="AB129" s="63"/>
      <c r="AC129" s="63">
        <v>2367</v>
      </c>
      <c r="AD129" s="63">
        <v>2368</v>
      </c>
      <c r="AE129" s="63">
        <v>2369</v>
      </c>
      <c r="AF129" s="63">
        <v>2370</v>
      </c>
      <c r="AG129" s="63"/>
      <c r="AH129" s="47" t="s">
        <v>52</v>
      </c>
      <c r="AI129" s="63">
        <v>0</v>
      </c>
      <c r="AJ129" s="63" t="s">
        <v>223</v>
      </c>
      <c r="AK129" s="63"/>
      <c r="AL129" s="63" t="s">
        <v>237</v>
      </c>
      <c r="AM129" s="63" t="s">
        <v>238</v>
      </c>
      <c r="AN129" s="47">
        <v>0</v>
      </c>
      <c r="AO129" s="63"/>
      <c r="AP129" s="63" t="s">
        <v>53</v>
      </c>
      <c r="AQ129" s="2">
        <v>0</v>
      </c>
    </row>
    <row r="130" s="3" customFormat="1" ht="12.75" spans="1:43">
      <c r="A130" s="53">
        <v>161101</v>
      </c>
      <c r="B130" s="12" t="s">
        <v>353</v>
      </c>
      <c r="C130" s="12"/>
      <c r="D130" s="12"/>
      <c r="E130" s="12"/>
      <c r="F130" s="12">
        <v>2</v>
      </c>
      <c r="G130" s="12">
        <v>2</v>
      </c>
      <c r="H130" s="12">
        <v>1.2</v>
      </c>
      <c r="I130" s="12">
        <v>1</v>
      </c>
      <c r="J130" s="12">
        <v>0</v>
      </c>
      <c r="K130" s="12" t="s">
        <v>46</v>
      </c>
      <c r="L130" s="47" t="s">
        <v>47</v>
      </c>
      <c r="M130" s="50">
        <v>1020109</v>
      </c>
      <c r="N130" s="12">
        <v>0</v>
      </c>
      <c r="O130" s="47" t="s">
        <v>48</v>
      </c>
      <c r="P130" s="12">
        <v>1611</v>
      </c>
      <c r="Q130" s="12">
        <v>368</v>
      </c>
      <c r="R130" s="12">
        <v>347</v>
      </c>
      <c r="S130" s="44">
        <v>18</v>
      </c>
      <c r="T130" s="44">
        <v>35</v>
      </c>
      <c r="U130" s="12">
        <v>3</v>
      </c>
      <c r="V130" s="12"/>
      <c r="W130" s="47" t="s">
        <v>47</v>
      </c>
      <c r="X130" s="47" t="s">
        <v>354</v>
      </c>
      <c r="Y130" s="47" t="str">
        <f t="shared" ref="Y130" si="48">B130</f>
        <v>野猪人将军</v>
      </c>
      <c r="Z130" s="12"/>
      <c r="AA130" s="12"/>
      <c r="AB130" s="12" t="s">
        <v>353</v>
      </c>
      <c r="AC130" s="12">
        <v>2176</v>
      </c>
      <c r="AD130" s="12">
        <v>2177</v>
      </c>
      <c r="AE130" s="12">
        <v>2178</v>
      </c>
      <c r="AF130" s="12">
        <v>2179</v>
      </c>
      <c r="AG130" s="12"/>
      <c r="AH130" s="47" t="s">
        <v>52</v>
      </c>
      <c r="AI130" s="12">
        <v>1</v>
      </c>
      <c r="AJ130" s="12" t="s">
        <v>355</v>
      </c>
      <c r="AK130" s="12" t="s">
        <v>356</v>
      </c>
      <c r="AL130" s="12" t="s">
        <v>357</v>
      </c>
      <c r="AM130" s="12" t="s">
        <v>358</v>
      </c>
      <c r="AN130" s="47" t="s">
        <v>47</v>
      </c>
      <c r="AO130" s="12"/>
      <c r="AP130" s="12" t="s">
        <v>53</v>
      </c>
      <c r="AQ130" s="2">
        <v>0</v>
      </c>
    </row>
    <row r="131" s="2" customFormat="1" ht="12.75" spans="1:43">
      <c r="A131" s="53">
        <v>161102</v>
      </c>
      <c r="B131" s="11" t="s">
        <v>359</v>
      </c>
      <c r="C131" s="11"/>
      <c r="D131" s="11"/>
      <c r="E131" s="11"/>
      <c r="F131" s="11">
        <v>1</v>
      </c>
      <c r="G131" s="11">
        <v>1</v>
      </c>
      <c r="H131" s="11">
        <v>1.2</v>
      </c>
      <c r="I131" s="11" t="s">
        <v>45</v>
      </c>
      <c r="J131" s="11">
        <v>0</v>
      </c>
      <c r="K131" s="11" t="s">
        <v>46</v>
      </c>
      <c r="L131" s="47" t="s">
        <v>47</v>
      </c>
      <c r="M131" s="50">
        <v>1020109</v>
      </c>
      <c r="N131" s="11">
        <v>0</v>
      </c>
      <c r="O131" s="47" t="s">
        <v>48</v>
      </c>
      <c r="P131" s="11">
        <v>1611</v>
      </c>
      <c r="Q131" s="11">
        <v>1386</v>
      </c>
      <c r="R131" s="11">
        <v>358</v>
      </c>
      <c r="S131" s="44">
        <v>56</v>
      </c>
      <c r="T131" s="44">
        <v>48</v>
      </c>
      <c r="U131" s="11">
        <v>3</v>
      </c>
      <c r="V131" s="11"/>
      <c r="W131" s="47" t="s">
        <v>47</v>
      </c>
      <c r="X131" s="47" t="s">
        <v>360</v>
      </c>
      <c r="Y131" s="47" t="str">
        <f t="shared" ref="Y131:Y136" si="49">B131</f>
        <v>猪族统领</v>
      </c>
      <c r="Z131" s="11"/>
      <c r="AA131" s="11"/>
      <c r="AB131" s="11" t="s">
        <v>361</v>
      </c>
      <c r="AC131" s="11">
        <v>2180</v>
      </c>
      <c r="AD131" s="11">
        <v>2181</v>
      </c>
      <c r="AE131" s="11">
        <v>2182</v>
      </c>
      <c r="AF131" s="11" t="s">
        <v>51</v>
      </c>
      <c r="AG131" s="11"/>
      <c r="AH131" s="47" t="s">
        <v>52</v>
      </c>
      <c r="AI131" s="11">
        <v>1</v>
      </c>
      <c r="AJ131" s="11" t="s">
        <v>362</v>
      </c>
      <c r="AK131" s="11" t="s">
        <v>363</v>
      </c>
      <c r="AL131" s="11" t="s">
        <v>364</v>
      </c>
      <c r="AM131" s="11"/>
      <c r="AN131" s="47" t="s">
        <v>47</v>
      </c>
      <c r="AO131" s="11"/>
      <c r="AP131" s="11" t="s">
        <v>53</v>
      </c>
      <c r="AQ131" s="2">
        <v>0</v>
      </c>
    </row>
    <row r="132" s="3" customFormat="1" ht="12.75" spans="1:43">
      <c r="A132" s="53">
        <v>161103</v>
      </c>
      <c r="B132" s="12" t="s">
        <v>346</v>
      </c>
      <c r="C132" s="12"/>
      <c r="D132" s="12"/>
      <c r="E132" s="12"/>
      <c r="F132" s="12">
        <v>0</v>
      </c>
      <c r="G132" s="12" t="s">
        <v>47</v>
      </c>
      <c r="H132" s="12" t="s">
        <v>45</v>
      </c>
      <c r="I132" s="12">
        <v>1</v>
      </c>
      <c r="J132" s="12">
        <v>0</v>
      </c>
      <c r="K132" s="12" t="s">
        <v>46</v>
      </c>
      <c r="L132" s="47" t="s">
        <v>47</v>
      </c>
      <c r="M132" s="54" t="s">
        <v>365</v>
      </c>
      <c r="N132" s="12">
        <v>0</v>
      </c>
      <c r="O132" s="47" t="s">
        <v>48</v>
      </c>
      <c r="P132" s="12">
        <v>1611</v>
      </c>
      <c r="Q132" s="12">
        <v>1154</v>
      </c>
      <c r="R132" s="12">
        <v>329</v>
      </c>
      <c r="S132" s="44">
        <v>56</v>
      </c>
      <c r="T132" s="44">
        <v>61</v>
      </c>
      <c r="U132" s="12">
        <v>5</v>
      </c>
      <c r="V132" s="12"/>
      <c r="W132" s="47" t="s">
        <v>47</v>
      </c>
      <c r="X132" s="47" t="s">
        <v>366</v>
      </c>
      <c r="Y132" s="47" t="str">
        <f t="shared" si="49"/>
        <v>野猪精</v>
      </c>
      <c r="Z132" s="12"/>
      <c r="AA132" s="12"/>
      <c r="AB132" s="12" t="s">
        <v>367</v>
      </c>
      <c r="AC132" s="12">
        <v>2184</v>
      </c>
      <c r="AD132" s="12">
        <v>2185</v>
      </c>
      <c r="AE132" s="12">
        <v>2186</v>
      </c>
      <c r="AF132" s="12" t="s">
        <v>51</v>
      </c>
      <c r="AG132" s="12"/>
      <c r="AH132" s="47" t="s">
        <v>52</v>
      </c>
      <c r="AI132" s="12">
        <v>1</v>
      </c>
      <c r="AJ132" s="12" t="s">
        <v>368</v>
      </c>
      <c r="AK132" s="12" t="s">
        <v>369</v>
      </c>
      <c r="AL132" s="12" t="s">
        <v>370</v>
      </c>
      <c r="AM132" s="12"/>
      <c r="AN132" s="47" t="s">
        <v>47</v>
      </c>
      <c r="AO132" s="12"/>
      <c r="AP132" s="12" t="s">
        <v>53</v>
      </c>
      <c r="AQ132" s="2">
        <v>0</v>
      </c>
    </row>
    <row r="133" s="14" customFormat="1" ht="12.75" spans="1:43">
      <c r="A133" s="53">
        <v>161104</v>
      </c>
      <c r="B133" s="68" t="s">
        <v>371</v>
      </c>
      <c r="C133" s="68"/>
      <c r="D133" s="68"/>
      <c r="E133" s="68"/>
      <c r="F133" s="68">
        <v>0</v>
      </c>
      <c r="G133" s="68" t="s">
        <v>47</v>
      </c>
      <c r="H133" s="68" t="s">
        <v>45</v>
      </c>
      <c r="I133" s="68" t="s">
        <v>45</v>
      </c>
      <c r="J133" s="68">
        <v>0</v>
      </c>
      <c r="K133" s="68" t="s">
        <v>46</v>
      </c>
      <c r="L133" s="47" t="s">
        <v>47</v>
      </c>
      <c r="M133" s="54" t="s">
        <v>365</v>
      </c>
      <c r="N133" s="68">
        <v>0</v>
      </c>
      <c r="O133" s="47" t="s">
        <v>48</v>
      </c>
      <c r="P133" s="68">
        <v>1611</v>
      </c>
      <c r="Q133" s="68">
        <v>804</v>
      </c>
      <c r="R133" s="68">
        <v>755</v>
      </c>
      <c r="S133" s="44">
        <v>52</v>
      </c>
      <c r="T133" s="44">
        <v>64</v>
      </c>
      <c r="U133" s="68">
        <v>5</v>
      </c>
      <c r="V133" s="68"/>
      <c r="W133" s="47" t="s">
        <v>47</v>
      </c>
      <c r="X133" s="47" t="s">
        <v>372</v>
      </c>
      <c r="Y133" s="47" t="str">
        <f t="shared" si="49"/>
        <v>野猪</v>
      </c>
      <c r="Z133" s="68"/>
      <c r="AA133" s="68"/>
      <c r="AB133" s="68" t="s">
        <v>373</v>
      </c>
      <c r="AC133" s="68">
        <v>2382</v>
      </c>
      <c r="AD133" s="68" t="s">
        <v>51</v>
      </c>
      <c r="AE133" s="68" t="s">
        <v>51</v>
      </c>
      <c r="AF133" s="68" t="s">
        <v>51</v>
      </c>
      <c r="AG133" s="68"/>
      <c r="AH133" s="47" t="s">
        <v>52</v>
      </c>
      <c r="AI133" s="68">
        <v>1</v>
      </c>
      <c r="AJ133" s="68"/>
      <c r="AK133" s="68"/>
      <c r="AL133" s="68"/>
      <c r="AM133" s="68"/>
      <c r="AN133" s="47" t="s">
        <v>47</v>
      </c>
      <c r="AO133" s="68"/>
      <c r="AP133" s="68" t="s">
        <v>53</v>
      </c>
      <c r="AQ133" s="2">
        <v>0</v>
      </c>
    </row>
    <row r="134" s="14" customFormat="1" ht="12" spans="1:43">
      <c r="A134" s="53">
        <v>161105</v>
      </c>
      <c r="B134" s="68" t="s">
        <v>374</v>
      </c>
      <c r="C134" s="68"/>
      <c r="D134" s="68"/>
      <c r="E134" s="68"/>
      <c r="F134" s="68">
        <v>0</v>
      </c>
      <c r="G134" s="68" t="s">
        <v>47</v>
      </c>
      <c r="H134" s="68">
        <v>1.2</v>
      </c>
      <c r="I134" s="68">
        <v>1</v>
      </c>
      <c r="J134" s="68">
        <v>0</v>
      </c>
      <c r="K134" s="68" t="s">
        <v>46</v>
      </c>
      <c r="L134" s="47" t="s">
        <v>47</v>
      </c>
      <c r="M134" s="68">
        <v>1010126</v>
      </c>
      <c r="N134" s="68">
        <v>0</v>
      </c>
      <c r="O134" s="47" t="s">
        <v>48</v>
      </c>
      <c r="P134" s="68">
        <v>1611</v>
      </c>
      <c r="Q134" s="68">
        <v>378</v>
      </c>
      <c r="R134" s="68">
        <v>353</v>
      </c>
      <c r="S134" s="44">
        <v>19</v>
      </c>
      <c r="T134" s="44">
        <v>53</v>
      </c>
      <c r="U134" s="68">
        <v>3</v>
      </c>
      <c r="V134" s="68"/>
      <c r="W134" s="47" t="s">
        <v>47</v>
      </c>
      <c r="X134" s="47" t="s">
        <v>375</v>
      </c>
      <c r="Y134" s="47" t="str">
        <f t="shared" si="49"/>
        <v>鲛将军</v>
      </c>
      <c r="Z134" s="68"/>
      <c r="AA134" s="68"/>
      <c r="AB134" s="68" t="s">
        <v>353</v>
      </c>
      <c r="AC134" s="68">
        <v>2382</v>
      </c>
      <c r="AD134" s="68" t="s">
        <v>51</v>
      </c>
      <c r="AE134" s="68" t="s">
        <v>51</v>
      </c>
      <c r="AF134" s="68" t="s">
        <v>51</v>
      </c>
      <c r="AG134" s="68"/>
      <c r="AH134" s="47" t="s">
        <v>52</v>
      </c>
      <c r="AI134" s="68">
        <v>1</v>
      </c>
      <c r="AJ134" s="68"/>
      <c r="AK134" s="68"/>
      <c r="AL134" s="68"/>
      <c r="AM134" s="68"/>
      <c r="AN134" s="47" t="s">
        <v>47</v>
      </c>
      <c r="AO134" s="68"/>
      <c r="AP134" s="68" t="s">
        <v>53</v>
      </c>
      <c r="AQ134" s="2">
        <v>0</v>
      </c>
    </row>
    <row r="135" s="14" customFormat="1" ht="12.75" spans="1:43">
      <c r="A135" s="53">
        <v>161106</v>
      </c>
      <c r="B135" s="68" t="s">
        <v>376</v>
      </c>
      <c r="C135" s="68"/>
      <c r="D135" s="68"/>
      <c r="E135" s="68"/>
      <c r="F135" s="68">
        <v>0</v>
      </c>
      <c r="G135" s="68" t="s">
        <v>47</v>
      </c>
      <c r="H135" s="68" t="s">
        <v>45</v>
      </c>
      <c r="I135" s="68" t="s">
        <v>45</v>
      </c>
      <c r="J135" s="68">
        <v>0</v>
      </c>
      <c r="K135" s="68" t="s">
        <v>46</v>
      </c>
      <c r="L135" s="47" t="s">
        <v>47</v>
      </c>
      <c r="M135" s="54" t="s">
        <v>365</v>
      </c>
      <c r="N135" s="68">
        <v>0</v>
      </c>
      <c r="O135" s="47" t="s">
        <v>48</v>
      </c>
      <c r="P135" s="68">
        <v>1611</v>
      </c>
      <c r="Q135" s="68">
        <v>806</v>
      </c>
      <c r="R135" s="68">
        <v>756</v>
      </c>
      <c r="S135" s="44">
        <v>42</v>
      </c>
      <c r="T135" s="44">
        <v>68</v>
      </c>
      <c r="U135" s="68">
        <v>5</v>
      </c>
      <c r="V135" s="68">
        <v>14</v>
      </c>
      <c r="W135" s="47" t="s">
        <v>47</v>
      </c>
      <c r="X135" s="47" t="s">
        <v>372</v>
      </c>
      <c r="Y135" s="47" t="str">
        <f t="shared" si="49"/>
        <v>野猪尸体</v>
      </c>
      <c r="Z135" s="68"/>
      <c r="AA135" s="68"/>
      <c r="AB135" s="68" t="s">
        <v>373</v>
      </c>
      <c r="AC135" s="68">
        <v>2279</v>
      </c>
      <c r="AD135" s="68" t="s">
        <v>51</v>
      </c>
      <c r="AE135" s="68" t="s">
        <v>51</v>
      </c>
      <c r="AF135" s="68" t="s">
        <v>51</v>
      </c>
      <c r="AG135" s="68"/>
      <c r="AH135" s="47" t="s">
        <v>52</v>
      </c>
      <c r="AI135" s="68">
        <v>1</v>
      </c>
      <c r="AJ135" s="68"/>
      <c r="AK135" s="68"/>
      <c r="AL135" s="68"/>
      <c r="AM135" s="68"/>
      <c r="AN135" s="47" t="s">
        <v>47</v>
      </c>
      <c r="AO135" s="68"/>
      <c r="AP135" s="68" t="s">
        <v>53</v>
      </c>
      <c r="AQ135" s="2">
        <v>0</v>
      </c>
    </row>
    <row r="136" s="2" customFormat="1" ht="12.75" spans="1:43">
      <c r="A136" s="53">
        <v>161107</v>
      </c>
      <c r="B136" s="11" t="s">
        <v>377</v>
      </c>
      <c r="C136" s="11"/>
      <c r="D136" s="11"/>
      <c r="E136" s="11"/>
      <c r="F136" s="11">
        <v>0</v>
      </c>
      <c r="G136" s="11" t="s">
        <v>47</v>
      </c>
      <c r="H136" s="11">
        <v>1.2</v>
      </c>
      <c r="I136" s="11" t="s">
        <v>45</v>
      </c>
      <c r="J136" s="11">
        <v>0</v>
      </c>
      <c r="K136" s="11" t="s">
        <v>46</v>
      </c>
      <c r="L136" s="47" t="s">
        <v>47</v>
      </c>
      <c r="M136" s="54" t="s">
        <v>378</v>
      </c>
      <c r="N136" s="11">
        <v>0</v>
      </c>
      <c r="O136" s="47" t="s">
        <v>48</v>
      </c>
      <c r="P136" s="11">
        <v>1611</v>
      </c>
      <c r="Q136" s="11">
        <v>1386</v>
      </c>
      <c r="R136" s="11">
        <v>359</v>
      </c>
      <c r="S136" s="44">
        <v>70</v>
      </c>
      <c r="T136" s="44">
        <v>55</v>
      </c>
      <c r="U136" s="11">
        <v>3</v>
      </c>
      <c r="V136" s="11"/>
      <c r="W136" s="47" t="s">
        <v>47</v>
      </c>
      <c r="X136" s="47" t="s">
        <v>360</v>
      </c>
      <c r="Y136" s="47" t="str">
        <f t="shared" si="49"/>
        <v>鲛将军酋长</v>
      </c>
      <c r="Z136" s="11"/>
      <c r="AA136" s="11"/>
      <c r="AB136" s="11" t="s">
        <v>361</v>
      </c>
      <c r="AC136" s="11">
        <v>2180</v>
      </c>
      <c r="AD136" s="11">
        <v>2181</v>
      </c>
      <c r="AE136" s="11">
        <v>2182</v>
      </c>
      <c r="AF136" s="11" t="s">
        <v>51</v>
      </c>
      <c r="AG136" s="11"/>
      <c r="AH136" s="47" t="s">
        <v>52</v>
      </c>
      <c r="AI136" s="11">
        <v>1</v>
      </c>
      <c r="AJ136" s="11" t="s">
        <v>362</v>
      </c>
      <c r="AK136" s="11" t="s">
        <v>363</v>
      </c>
      <c r="AL136" s="11" t="s">
        <v>364</v>
      </c>
      <c r="AM136" s="11"/>
      <c r="AN136" s="47" t="s">
        <v>47</v>
      </c>
      <c r="AO136" s="11"/>
      <c r="AP136" s="11" t="s">
        <v>53</v>
      </c>
      <c r="AQ136" s="2">
        <v>0</v>
      </c>
    </row>
    <row r="137" s="2" customFormat="1" ht="12" spans="1:43">
      <c r="A137" s="61">
        <v>161201</v>
      </c>
      <c r="B137" s="11" t="s">
        <v>379</v>
      </c>
      <c r="C137" s="11"/>
      <c r="D137" s="11"/>
      <c r="E137" s="11"/>
      <c r="F137" s="11">
        <v>0</v>
      </c>
      <c r="G137" s="11" t="s">
        <v>47</v>
      </c>
      <c r="H137" s="11" t="s">
        <v>45</v>
      </c>
      <c r="I137" s="11" t="s">
        <v>45</v>
      </c>
      <c r="J137" s="11">
        <v>0</v>
      </c>
      <c r="K137" s="11" t="s">
        <v>46</v>
      </c>
      <c r="L137" s="47" t="s">
        <v>47</v>
      </c>
      <c r="M137" s="11">
        <v>1010163</v>
      </c>
      <c r="N137" s="11">
        <v>0</v>
      </c>
      <c r="O137" s="47" t="s">
        <v>48</v>
      </c>
      <c r="P137" s="11">
        <v>1612</v>
      </c>
      <c r="Q137" s="11">
        <v>492</v>
      </c>
      <c r="R137" s="11">
        <v>970</v>
      </c>
      <c r="S137" s="44">
        <v>59</v>
      </c>
      <c r="T137" s="44">
        <v>41</v>
      </c>
      <c r="U137" s="11">
        <v>7</v>
      </c>
      <c r="V137" s="11"/>
      <c r="W137" s="47" t="s">
        <v>47</v>
      </c>
      <c r="X137" s="47" t="s">
        <v>380</v>
      </c>
      <c r="Y137" s="47" t="str">
        <f t="shared" ref="Y137" si="50">B137</f>
        <v>孙小圣</v>
      </c>
      <c r="Z137" s="11"/>
      <c r="AA137" s="11"/>
      <c r="AB137" s="11" t="s">
        <v>381</v>
      </c>
      <c r="AC137" s="11">
        <v>2223</v>
      </c>
      <c r="AD137" s="11">
        <v>2224</v>
      </c>
      <c r="AE137" s="11">
        <v>2225</v>
      </c>
      <c r="AF137" s="11">
        <v>2226</v>
      </c>
      <c r="AG137" s="11"/>
      <c r="AH137" s="47" t="s">
        <v>52</v>
      </c>
      <c r="AI137" s="11">
        <v>1</v>
      </c>
      <c r="AJ137" s="11" t="s">
        <v>223</v>
      </c>
      <c r="AK137" s="11"/>
      <c r="AL137" s="11" t="s">
        <v>237</v>
      </c>
      <c r="AM137" s="11" t="s">
        <v>238</v>
      </c>
      <c r="AN137" s="47" t="s">
        <v>47</v>
      </c>
      <c r="AO137" s="11"/>
      <c r="AP137" s="11" t="s">
        <v>53</v>
      </c>
      <c r="AQ137" s="2">
        <v>0</v>
      </c>
    </row>
    <row r="138" s="3" customFormat="1" ht="12" spans="1:43">
      <c r="A138" s="61">
        <v>161202</v>
      </c>
      <c r="B138" s="12" t="s">
        <v>382</v>
      </c>
      <c r="C138" s="12"/>
      <c r="D138" s="12"/>
      <c r="E138" s="12"/>
      <c r="F138" s="12">
        <v>0</v>
      </c>
      <c r="G138" s="12" t="s">
        <v>47</v>
      </c>
      <c r="H138" s="12" t="s">
        <v>45</v>
      </c>
      <c r="I138" s="12">
        <v>1</v>
      </c>
      <c r="J138" s="12">
        <v>0</v>
      </c>
      <c r="K138" s="12" t="s">
        <v>46</v>
      </c>
      <c r="L138" s="47" t="s">
        <v>47</v>
      </c>
      <c r="M138" s="12">
        <v>1020118</v>
      </c>
      <c r="N138" s="12">
        <v>0</v>
      </c>
      <c r="O138" s="47" t="s">
        <v>48</v>
      </c>
      <c r="P138" s="12">
        <v>1612</v>
      </c>
      <c r="Q138" s="12">
        <v>794</v>
      </c>
      <c r="R138" s="12">
        <v>620</v>
      </c>
      <c r="S138" s="44">
        <v>20</v>
      </c>
      <c r="T138" s="44">
        <v>24</v>
      </c>
      <c r="U138" s="12">
        <v>3</v>
      </c>
      <c r="V138" s="12"/>
      <c r="W138" s="47" t="s">
        <v>47</v>
      </c>
      <c r="X138" s="47" t="s">
        <v>261</v>
      </c>
      <c r="Y138" s="47" t="str">
        <f t="shared" ref="Y138" si="51">B138</f>
        <v>巴将军</v>
      </c>
      <c r="Z138" s="12"/>
      <c r="AA138" s="12"/>
      <c r="AB138" s="12" t="s">
        <v>383</v>
      </c>
      <c r="AC138" s="12">
        <v>2080</v>
      </c>
      <c r="AD138" s="12">
        <v>2081</v>
      </c>
      <c r="AE138" s="12">
        <v>2082</v>
      </c>
      <c r="AF138" s="12">
        <v>2083</v>
      </c>
      <c r="AG138" s="12"/>
      <c r="AH138" s="47" t="s">
        <v>52</v>
      </c>
      <c r="AI138" s="12">
        <v>1</v>
      </c>
      <c r="AJ138" s="12" t="s">
        <v>262</v>
      </c>
      <c r="AK138" s="12" t="s">
        <v>263</v>
      </c>
      <c r="AL138" s="12" t="s">
        <v>264</v>
      </c>
      <c r="AM138" s="12" t="s">
        <v>265</v>
      </c>
      <c r="AN138" s="47" t="s">
        <v>47</v>
      </c>
      <c r="AO138" s="12"/>
      <c r="AP138" s="12" t="s">
        <v>53</v>
      </c>
      <c r="AQ138" s="2">
        <v>0</v>
      </c>
    </row>
    <row r="139" s="2" customFormat="1" ht="12.75" spans="1:43">
      <c r="A139" s="61">
        <v>161203</v>
      </c>
      <c r="B139" s="11" t="s">
        <v>384</v>
      </c>
      <c r="C139" s="11"/>
      <c r="D139" s="11"/>
      <c r="E139" s="11"/>
      <c r="F139" s="11">
        <v>0</v>
      </c>
      <c r="G139" s="11" t="s">
        <v>47</v>
      </c>
      <c r="H139" s="11">
        <v>1</v>
      </c>
      <c r="I139" s="11" t="s">
        <v>45</v>
      </c>
      <c r="J139" s="11">
        <v>1</v>
      </c>
      <c r="K139" s="11" t="s">
        <v>46</v>
      </c>
      <c r="L139" s="47" t="s">
        <v>47</v>
      </c>
      <c r="M139" s="50">
        <v>1020106</v>
      </c>
      <c r="N139" s="11">
        <v>0</v>
      </c>
      <c r="O139" s="47" t="s">
        <v>48</v>
      </c>
      <c r="P139" s="11">
        <v>1612</v>
      </c>
      <c r="Q139" s="11">
        <v>735</v>
      </c>
      <c r="R139" s="11">
        <v>376</v>
      </c>
      <c r="S139" s="44">
        <v>96</v>
      </c>
      <c r="T139" s="44">
        <v>24</v>
      </c>
      <c r="U139" s="11">
        <v>3</v>
      </c>
      <c r="V139" s="11"/>
      <c r="W139" s="47" t="s">
        <v>47</v>
      </c>
      <c r="X139" s="47" t="s">
        <v>385</v>
      </c>
      <c r="Y139" s="11" t="s">
        <v>384</v>
      </c>
      <c r="Z139" s="11"/>
      <c r="AA139" s="11"/>
      <c r="AB139" s="11" t="s">
        <v>384</v>
      </c>
      <c r="AC139" s="11">
        <v>2683</v>
      </c>
      <c r="AD139" s="11">
        <v>2684</v>
      </c>
      <c r="AE139" s="11"/>
      <c r="AF139" s="11"/>
      <c r="AG139" s="11"/>
      <c r="AH139" s="47" t="s">
        <v>52</v>
      </c>
      <c r="AI139" s="11" t="s">
        <v>47</v>
      </c>
      <c r="AJ139" s="11"/>
      <c r="AK139" s="11"/>
      <c r="AL139" s="11"/>
      <c r="AM139" s="11"/>
      <c r="AN139" s="47" t="s">
        <v>47</v>
      </c>
      <c r="AO139" s="11"/>
      <c r="AP139" s="11" t="s">
        <v>53</v>
      </c>
      <c r="AQ139" s="2">
        <v>0</v>
      </c>
    </row>
    <row r="140" s="7" customFormat="1" ht="12" spans="1:43">
      <c r="A140" s="61">
        <v>161204</v>
      </c>
      <c r="B140" s="44" t="s">
        <v>386</v>
      </c>
      <c r="C140" s="44"/>
      <c r="D140" s="44"/>
      <c r="E140" s="44"/>
      <c r="F140" s="44">
        <v>0</v>
      </c>
      <c r="G140" s="44" t="s">
        <v>47</v>
      </c>
      <c r="H140" s="44" t="s">
        <v>45</v>
      </c>
      <c r="I140" s="44" t="s">
        <v>45</v>
      </c>
      <c r="J140" s="44">
        <v>0</v>
      </c>
      <c r="K140" s="44" t="s">
        <v>46</v>
      </c>
      <c r="L140" s="47" t="s">
        <v>47</v>
      </c>
      <c r="M140" s="44">
        <v>1030010</v>
      </c>
      <c r="N140" s="44">
        <v>0</v>
      </c>
      <c r="O140" s="47" t="s">
        <v>48</v>
      </c>
      <c r="P140" s="44">
        <v>1612</v>
      </c>
      <c r="Q140" s="44">
        <v>1476</v>
      </c>
      <c r="R140" s="44">
        <v>1125</v>
      </c>
      <c r="S140" s="44">
        <v>67</v>
      </c>
      <c r="T140" s="44">
        <v>53</v>
      </c>
      <c r="U140" s="44">
        <v>3</v>
      </c>
      <c r="V140" s="44"/>
      <c r="W140" s="47" t="s">
        <v>47</v>
      </c>
      <c r="X140" s="47" t="s">
        <v>387</v>
      </c>
      <c r="Y140" s="47" t="str">
        <f t="shared" ref="Y140" si="52">B140</f>
        <v>辛德拉强盗</v>
      </c>
      <c r="Z140" s="44"/>
      <c r="AA140" s="44"/>
      <c r="AB140" s="44" t="s">
        <v>386</v>
      </c>
      <c r="AC140" s="44">
        <v>2227</v>
      </c>
      <c r="AD140" s="44">
        <v>2228</v>
      </c>
      <c r="AE140" s="44">
        <v>2228</v>
      </c>
      <c r="AF140" s="44">
        <v>2228</v>
      </c>
      <c r="AG140" s="44"/>
      <c r="AH140" s="47" t="s">
        <v>52</v>
      </c>
      <c r="AI140" s="44">
        <v>1</v>
      </c>
      <c r="AJ140" s="44" t="s">
        <v>223</v>
      </c>
      <c r="AK140" s="44"/>
      <c r="AL140" s="44" t="s">
        <v>237</v>
      </c>
      <c r="AM140" s="44" t="s">
        <v>238</v>
      </c>
      <c r="AN140" s="47" t="s">
        <v>47</v>
      </c>
      <c r="AO140" s="44"/>
      <c r="AP140" s="44" t="s">
        <v>53</v>
      </c>
      <c r="AQ140" s="2">
        <v>0</v>
      </c>
    </row>
    <row r="141" s="7" customFormat="1" ht="12" spans="1:43">
      <c r="A141" s="61">
        <v>161205</v>
      </c>
      <c r="B141" s="44" t="s">
        <v>386</v>
      </c>
      <c r="C141" s="44"/>
      <c r="D141" s="44"/>
      <c r="E141" s="44"/>
      <c r="F141" s="44">
        <v>0</v>
      </c>
      <c r="G141" s="44" t="s">
        <v>47</v>
      </c>
      <c r="H141" s="44" t="s">
        <v>45</v>
      </c>
      <c r="I141" s="44" t="s">
        <v>45</v>
      </c>
      <c r="J141" s="44">
        <v>0</v>
      </c>
      <c r="K141" s="44" t="s">
        <v>46</v>
      </c>
      <c r="L141" s="47" t="s">
        <v>47</v>
      </c>
      <c r="M141" s="44">
        <v>1030010</v>
      </c>
      <c r="N141" s="44">
        <v>0</v>
      </c>
      <c r="O141" s="47" t="s">
        <v>48</v>
      </c>
      <c r="P141" s="44">
        <v>1612</v>
      </c>
      <c r="Q141" s="44"/>
      <c r="R141" s="44"/>
      <c r="S141" s="44">
        <v>59</v>
      </c>
      <c r="T141" s="44">
        <v>50</v>
      </c>
      <c r="U141" s="44">
        <v>3</v>
      </c>
      <c r="V141" s="44"/>
      <c r="W141" s="47" t="s">
        <v>47</v>
      </c>
      <c r="X141" s="47" t="s">
        <v>387</v>
      </c>
      <c r="Y141" s="47" t="str">
        <f t="shared" ref="Y141:Y142" si="53">B141</f>
        <v>辛德拉强盗</v>
      </c>
      <c r="Z141" s="44"/>
      <c r="AA141" s="44"/>
      <c r="AB141" s="44" t="s">
        <v>386</v>
      </c>
      <c r="AC141" s="44">
        <v>2227</v>
      </c>
      <c r="AD141" s="44">
        <v>2228</v>
      </c>
      <c r="AE141" s="44">
        <v>2228</v>
      </c>
      <c r="AF141" s="44">
        <v>2228</v>
      </c>
      <c r="AG141" s="44"/>
      <c r="AH141" s="47" t="s">
        <v>52</v>
      </c>
      <c r="AI141" s="44">
        <v>1</v>
      </c>
      <c r="AJ141" s="44" t="s">
        <v>223</v>
      </c>
      <c r="AK141" s="44"/>
      <c r="AL141" s="44" t="s">
        <v>237</v>
      </c>
      <c r="AM141" s="44" t="s">
        <v>238</v>
      </c>
      <c r="AN141" s="47" t="s">
        <v>47</v>
      </c>
      <c r="AO141" s="44"/>
      <c r="AP141" s="44" t="s">
        <v>53</v>
      </c>
      <c r="AQ141" s="2">
        <v>0</v>
      </c>
    </row>
    <row r="142" s="10" customFormat="1" ht="12" spans="1:43">
      <c r="A142" s="61">
        <v>161206</v>
      </c>
      <c r="B142" s="63" t="s">
        <v>388</v>
      </c>
      <c r="C142" s="63"/>
      <c r="D142" s="63"/>
      <c r="E142" s="63"/>
      <c r="F142" s="63">
        <v>0</v>
      </c>
      <c r="G142" s="63">
        <v>0</v>
      </c>
      <c r="H142" s="63">
        <v>1</v>
      </c>
      <c r="I142" s="63">
        <v>1</v>
      </c>
      <c r="J142" s="12">
        <v>1</v>
      </c>
      <c r="K142" s="63" t="s">
        <v>46</v>
      </c>
      <c r="L142" s="47">
        <v>0</v>
      </c>
      <c r="M142" s="63">
        <v>1020135</v>
      </c>
      <c r="N142" s="63">
        <v>0</v>
      </c>
      <c r="O142" s="47">
        <v>-1</v>
      </c>
      <c r="P142" s="63">
        <v>1612</v>
      </c>
      <c r="Q142" s="63">
        <v>370</v>
      </c>
      <c r="R142" s="63">
        <v>160</v>
      </c>
      <c r="S142" s="44">
        <v>29</v>
      </c>
      <c r="T142" s="44">
        <v>35</v>
      </c>
      <c r="U142" s="63">
        <v>3</v>
      </c>
      <c r="V142" s="63"/>
      <c r="W142" s="47">
        <v>0</v>
      </c>
      <c r="X142" s="47"/>
      <c r="Y142" s="47" t="str">
        <f t="shared" si="53"/>
        <v>崩将军</v>
      </c>
      <c r="Z142" s="63"/>
      <c r="AA142" s="63"/>
      <c r="AB142" s="63"/>
      <c r="AC142" s="63">
        <v>2375</v>
      </c>
      <c r="AD142" s="63">
        <v>2376</v>
      </c>
      <c r="AE142" s="63" t="s">
        <v>51</v>
      </c>
      <c r="AF142" s="63" t="s">
        <v>51</v>
      </c>
      <c r="AG142" s="63"/>
      <c r="AH142" s="47" t="s">
        <v>52</v>
      </c>
      <c r="AI142" s="63">
        <v>0</v>
      </c>
      <c r="AJ142" s="63" t="s">
        <v>203</v>
      </c>
      <c r="AK142" s="63" t="s">
        <v>204</v>
      </c>
      <c r="AL142" s="63" t="s">
        <v>205</v>
      </c>
      <c r="AM142" s="63" t="s">
        <v>206</v>
      </c>
      <c r="AN142" s="47">
        <v>0</v>
      </c>
      <c r="AO142" s="63"/>
      <c r="AP142" s="63" t="s">
        <v>53</v>
      </c>
      <c r="AQ142" s="2">
        <v>0</v>
      </c>
    </row>
    <row r="143" s="7" customFormat="1" ht="12.75" spans="1:43">
      <c r="A143" s="53">
        <v>161301</v>
      </c>
      <c r="B143" s="44" t="s">
        <v>389</v>
      </c>
      <c r="C143" s="44"/>
      <c r="D143" s="44"/>
      <c r="E143" s="44"/>
      <c r="F143" s="44">
        <v>0</v>
      </c>
      <c r="G143" s="44" t="s">
        <v>47</v>
      </c>
      <c r="H143" s="44" t="s">
        <v>45</v>
      </c>
      <c r="I143" s="44" t="s">
        <v>45</v>
      </c>
      <c r="J143" s="44">
        <v>1</v>
      </c>
      <c r="K143" s="44" t="s">
        <v>295</v>
      </c>
      <c r="L143" s="47" t="s">
        <v>47</v>
      </c>
      <c r="M143" s="64">
        <v>1030009</v>
      </c>
      <c r="N143" s="44">
        <v>0</v>
      </c>
      <c r="O143" s="47" t="s">
        <v>48</v>
      </c>
      <c r="P143" s="44">
        <v>1613</v>
      </c>
      <c r="Q143" s="44">
        <f>S143*16</f>
        <v>912</v>
      </c>
      <c r="R143" s="44">
        <f>T143*16</f>
        <v>544</v>
      </c>
      <c r="S143" s="44">
        <v>57</v>
      </c>
      <c r="T143" s="44">
        <v>34</v>
      </c>
      <c r="U143" s="44">
        <v>5</v>
      </c>
      <c r="V143" s="44"/>
      <c r="W143" s="47" t="s">
        <v>47</v>
      </c>
      <c r="X143" s="47" t="s">
        <v>390</v>
      </c>
      <c r="Y143" s="47" t="str">
        <f t="shared" ref="Y143" si="54">B143</f>
        <v>青龙堂总管</v>
      </c>
      <c r="Z143" s="44" t="s">
        <v>391</v>
      </c>
      <c r="AA143" s="44"/>
      <c r="AB143" s="44" t="s">
        <v>392</v>
      </c>
      <c r="AC143" s="44">
        <v>2229</v>
      </c>
      <c r="AD143" s="44">
        <v>2230</v>
      </c>
      <c r="AE143" s="44">
        <v>2231</v>
      </c>
      <c r="AF143" s="44">
        <v>2232</v>
      </c>
      <c r="AG143" s="44"/>
      <c r="AH143" s="47" t="s">
        <v>52</v>
      </c>
      <c r="AI143" s="44">
        <v>0</v>
      </c>
      <c r="AJ143" s="44" t="s">
        <v>203</v>
      </c>
      <c r="AK143" s="44" t="s">
        <v>204</v>
      </c>
      <c r="AL143" s="44" t="s">
        <v>205</v>
      </c>
      <c r="AM143" s="44" t="s">
        <v>206</v>
      </c>
      <c r="AN143" s="47" t="s">
        <v>47</v>
      </c>
      <c r="AO143" s="44"/>
      <c r="AP143" s="44" t="s">
        <v>298</v>
      </c>
      <c r="AQ143" s="2">
        <v>0</v>
      </c>
    </row>
    <row r="144" s="7" customFormat="1" ht="12.75" spans="1:43">
      <c r="A144" s="53">
        <v>161302</v>
      </c>
      <c r="B144" s="44" t="s">
        <v>393</v>
      </c>
      <c r="C144" s="44"/>
      <c r="D144" s="44"/>
      <c r="E144" s="44"/>
      <c r="F144" s="44">
        <v>0</v>
      </c>
      <c r="G144" s="44" t="s">
        <v>47</v>
      </c>
      <c r="H144" s="44" t="s">
        <v>45</v>
      </c>
      <c r="I144" s="44" t="s">
        <v>45</v>
      </c>
      <c r="J144" s="44">
        <v>1</v>
      </c>
      <c r="K144" s="44" t="s">
        <v>295</v>
      </c>
      <c r="L144" s="47" t="s">
        <v>47</v>
      </c>
      <c r="M144" s="64">
        <v>1030009</v>
      </c>
      <c r="N144" s="44">
        <v>0</v>
      </c>
      <c r="O144" s="47" t="s">
        <v>48</v>
      </c>
      <c r="P144" s="44">
        <v>1613</v>
      </c>
      <c r="Q144" s="44">
        <f>S144*16</f>
        <v>784</v>
      </c>
      <c r="R144" s="44">
        <f>T144*16</f>
        <v>464</v>
      </c>
      <c r="S144" s="44">
        <v>49</v>
      </c>
      <c r="T144" s="44">
        <v>29</v>
      </c>
      <c r="U144" s="44">
        <v>3</v>
      </c>
      <c r="V144" s="44"/>
      <c r="W144" s="47" t="s">
        <v>47</v>
      </c>
      <c r="X144" s="47" t="s">
        <v>394</v>
      </c>
      <c r="Y144" s="47" t="str">
        <f t="shared" ref="Y144" si="55">B144</f>
        <v>玄武堂总管</v>
      </c>
      <c r="Z144" s="44" t="s">
        <v>395</v>
      </c>
      <c r="AA144" s="44"/>
      <c r="AB144" s="44" t="s">
        <v>396</v>
      </c>
      <c r="AC144" s="44">
        <v>2233</v>
      </c>
      <c r="AD144" s="44">
        <v>2234</v>
      </c>
      <c r="AE144" s="44">
        <v>2235</v>
      </c>
      <c r="AF144" s="44">
        <v>2233</v>
      </c>
      <c r="AG144" s="44"/>
      <c r="AH144" s="47" t="s">
        <v>52</v>
      </c>
      <c r="AI144" s="44">
        <v>0</v>
      </c>
      <c r="AJ144" s="44" t="s">
        <v>203</v>
      </c>
      <c r="AK144" s="44" t="s">
        <v>204</v>
      </c>
      <c r="AL144" s="44" t="s">
        <v>205</v>
      </c>
      <c r="AM144" s="44" t="s">
        <v>206</v>
      </c>
      <c r="AN144" s="47" t="s">
        <v>47</v>
      </c>
      <c r="AO144" s="44"/>
      <c r="AP144" s="44" t="s">
        <v>298</v>
      </c>
      <c r="AQ144" s="2">
        <v>0</v>
      </c>
    </row>
    <row r="145" s="3" customFormat="1" ht="12.75" spans="1:43">
      <c r="A145" s="53">
        <v>161303</v>
      </c>
      <c r="B145" s="12" t="s">
        <v>397</v>
      </c>
      <c r="C145" s="12"/>
      <c r="D145" s="12"/>
      <c r="E145" s="12"/>
      <c r="F145" s="12">
        <v>0</v>
      </c>
      <c r="G145" s="12" t="s">
        <v>47</v>
      </c>
      <c r="H145" s="12" t="s">
        <v>45</v>
      </c>
      <c r="I145" s="12" t="s">
        <v>45</v>
      </c>
      <c r="J145" s="12">
        <v>1</v>
      </c>
      <c r="K145" s="12" t="s">
        <v>295</v>
      </c>
      <c r="L145" s="47" t="s">
        <v>47</v>
      </c>
      <c r="M145" s="64">
        <v>1030009</v>
      </c>
      <c r="N145" s="12">
        <v>0</v>
      </c>
      <c r="O145" s="47" t="s">
        <v>48</v>
      </c>
      <c r="P145" s="12">
        <v>1613</v>
      </c>
      <c r="Q145" s="12">
        <f t="shared" ref="Q145:Q146" si="56">S145*16</f>
        <v>304</v>
      </c>
      <c r="R145" s="12">
        <f t="shared" ref="R145:R146" si="57">T145*16</f>
        <v>608</v>
      </c>
      <c r="S145" s="12">
        <v>19</v>
      </c>
      <c r="T145" s="12">
        <v>38</v>
      </c>
      <c r="U145" s="12">
        <v>3</v>
      </c>
      <c r="V145" s="12"/>
      <c r="W145" s="47" t="s">
        <v>47</v>
      </c>
      <c r="X145" s="47" t="s">
        <v>398</v>
      </c>
      <c r="Y145" s="47" t="str">
        <f t="shared" ref="Y145" si="58">B145</f>
        <v>朱雀堂总管</v>
      </c>
      <c r="Z145" s="12" t="s">
        <v>399</v>
      </c>
      <c r="AA145" s="12" t="s">
        <v>400</v>
      </c>
      <c r="AB145" s="12" t="s">
        <v>401</v>
      </c>
      <c r="AC145" s="12">
        <v>2236</v>
      </c>
      <c r="AD145" s="12">
        <v>2237</v>
      </c>
      <c r="AE145" s="12">
        <v>2238</v>
      </c>
      <c r="AF145" s="12">
        <v>2236</v>
      </c>
      <c r="AG145" s="12"/>
      <c r="AH145" s="47" t="s">
        <v>52</v>
      </c>
      <c r="AI145" s="12">
        <v>0</v>
      </c>
      <c r="AJ145" s="12" t="s">
        <v>203</v>
      </c>
      <c r="AK145" s="12" t="s">
        <v>204</v>
      </c>
      <c r="AL145" s="12" t="s">
        <v>205</v>
      </c>
      <c r="AM145" s="12" t="s">
        <v>206</v>
      </c>
      <c r="AN145" s="47" t="s">
        <v>47</v>
      </c>
      <c r="AO145" s="12"/>
      <c r="AP145" s="12" t="s">
        <v>298</v>
      </c>
      <c r="AQ145" s="2">
        <v>0</v>
      </c>
    </row>
    <row r="146" s="2" customFormat="1" ht="12.75" spans="1:43">
      <c r="A146" s="53">
        <v>161304</v>
      </c>
      <c r="B146" s="11" t="s">
        <v>402</v>
      </c>
      <c r="C146" s="11"/>
      <c r="D146" s="11"/>
      <c r="E146" s="11"/>
      <c r="F146" s="11">
        <v>0</v>
      </c>
      <c r="G146" s="11" t="s">
        <v>47</v>
      </c>
      <c r="H146" s="11" t="s">
        <v>45</v>
      </c>
      <c r="I146" s="11" t="s">
        <v>45</v>
      </c>
      <c r="J146" s="11">
        <v>1</v>
      </c>
      <c r="K146" s="11" t="s">
        <v>295</v>
      </c>
      <c r="L146" s="47" t="s">
        <v>47</v>
      </c>
      <c r="M146" s="64">
        <v>1030009</v>
      </c>
      <c r="N146" s="11">
        <v>0</v>
      </c>
      <c r="O146" s="47" t="s">
        <v>48</v>
      </c>
      <c r="P146" s="11">
        <v>1613</v>
      </c>
      <c r="Q146" s="12">
        <f t="shared" si="56"/>
        <v>416</v>
      </c>
      <c r="R146" s="12">
        <f t="shared" si="57"/>
        <v>480</v>
      </c>
      <c r="S146" s="11">
        <v>26</v>
      </c>
      <c r="T146" s="11">
        <v>30</v>
      </c>
      <c r="U146" s="11">
        <v>5</v>
      </c>
      <c r="V146" s="11"/>
      <c r="W146" s="47" t="s">
        <v>47</v>
      </c>
      <c r="X146" s="47" t="s">
        <v>254</v>
      </c>
      <c r="Y146" s="47" t="str">
        <f t="shared" ref="Y146" si="59">B146</f>
        <v>白虎堂总管</v>
      </c>
      <c r="Z146" s="11"/>
      <c r="AA146" s="11"/>
      <c r="AB146" s="11" t="s">
        <v>403</v>
      </c>
      <c r="AC146" s="11">
        <v>2239</v>
      </c>
      <c r="AD146" s="11">
        <v>2240</v>
      </c>
      <c r="AE146" s="11">
        <v>2241</v>
      </c>
      <c r="AF146" s="11">
        <v>2239</v>
      </c>
      <c r="AG146" s="11"/>
      <c r="AH146" s="47" t="s">
        <v>52</v>
      </c>
      <c r="AI146" s="11">
        <v>0</v>
      </c>
      <c r="AJ146" s="11" t="s">
        <v>203</v>
      </c>
      <c r="AK146" s="11" t="s">
        <v>204</v>
      </c>
      <c r="AL146" s="11" t="s">
        <v>205</v>
      </c>
      <c r="AM146" s="11" t="s">
        <v>206</v>
      </c>
      <c r="AN146" s="47" t="s">
        <v>47</v>
      </c>
      <c r="AO146" s="11"/>
      <c r="AP146" s="11" t="s">
        <v>298</v>
      </c>
      <c r="AQ146" s="2">
        <v>0</v>
      </c>
    </row>
    <row r="147" s="3" customFormat="1" ht="12" spans="1:43">
      <c r="A147" s="61">
        <v>161401</v>
      </c>
      <c r="B147" s="12" t="s">
        <v>404</v>
      </c>
      <c r="C147" s="12"/>
      <c r="D147" s="12"/>
      <c r="E147" s="12"/>
      <c r="F147" s="12">
        <v>0</v>
      </c>
      <c r="G147" s="12" t="s">
        <v>47</v>
      </c>
      <c r="H147" s="12" t="s">
        <v>45</v>
      </c>
      <c r="I147" s="12">
        <v>1</v>
      </c>
      <c r="J147" s="12">
        <v>1</v>
      </c>
      <c r="K147" s="12" t="s">
        <v>46</v>
      </c>
      <c r="L147" s="47" t="s">
        <v>47</v>
      </c>
      <c r="M147" s="12">
        <v>1020110</v>
      </c>
      <c r="N147" s="12">
        <v>0</v>
      </c>
      <c r="O147" s="47" t="s">
        <v>48</v>
      </c>
      <c r="P147" s="12">
        <v>1614</v>
      </c>
      <c r="Q147" s="12">
        <v>462</v>
      </c>
      <c r="R147" s="12">
        <v>1446</v>
      </c>
      <c r="S147" s="44">
        <v>104</v>
      </c>
      <c r="T147" s="44">
        <v>250</v>
      </c>
      <c r="U147" s="12">
        <v>3</v>
      </c>
      <c r="V147" s="12"/>
      <c r="W147" s="47" t="s">
        <v>47</v>
      </c>
      <c r="X147" s="47" t="s">
        <v>405</v>
      </c>
      <c r="Y147" s="47" t="str">
        <f t="shared" ref="Y147" si="60">B147</f>
        <v>卵二姐</v>
      </c>
      <c r="Z147" s="12"/>
      <c r="AA147" s="12"/>
      <c r="AB147" s="12" t="s">
        <v>406</v>
      </c>
      <c r="AC147" s="11">
        <v>2074</v>
      </c>
      <c r="AD147" s="11">
        <v>2072</v>
      </c>
      <c r="AE147" s="11">
        <v>2073</v>
      </c>
      <c r="AF147" s="11">
        <v>2458</v>
      </c>
      <c r="AG147" s="11"/>
      <c r="AH147" s="47" t="s">
        <v>52</v>
      </c>
      <c r="AI147" s="11" t="s">
        <v>47</v>
      </c>
      <c r="AJ147" s="12" t="s">
        <v>177</v>
      </c>
      <c r="AK147" s="12" t="s">
        <v>178</v>
      </c>
      <c r="AL147" s="12" t="s">
        <v>179</v>
      </c>
      <c r="AM147" s="11" t="s">
        <v>180</v>
      </c>
      <c r="AN147" s="47" t="s">
        <v>47</v>
      </c>
      <c r="AO147" s="12"/>
      <c r="AP147" s="12" t="s">
        <v>53</v>
      </c>
      <c r="AQ147" s="2">
        <v>0</v>
      </c>
    </row>
    <row r="148" s="2" customFormat="1" ht="12" spans="1:43">
      <c r="A148" s="61">
        <v>161402</v>
      </c>
      <c r="B148" s="11" t="s">
        <v>407</v>
      </c>
      <c r="C148" s="11"/>
      <c r="D148" s="11"/>
      <c r="E148" s="11"/>
      <c r="F148" s="11">
        <v>0</v>
      </c>
      <c r="G148" s="11" t="s">
        <v>47</v>
      </c>
      <c r="H148" s="11" t="s">
        <v>45</v>
      </c>
      <c r="I148" s="11" t="s">
        <v>45</v>
      </c>
      <c r="J148" s="11">
        <v>1</v>
      </c>
      <c r="K148" s="11" t="s">
        <v>46</v>
      </c>
      <c r="L148" s="47" t="s">
        <v>47</v>
      </c>
      <c r="M148" s="11" t="s">
        <v>296</v>
      </c>
      <c r="N148" s="11">
        <v>0</v>
      </c>
      <c r="O148" s="47" t="s">
        <v>48</v>
      </c>
      <c r="P148" s="11">
        <v>1614</v>
      </c>
      <c r="Q148" s="11">
        <v>1698</v>
      </c>
      <c r="R148" s="11">
        <v>969</v>
      </c>
      <c r="S148" s="44">
        <v>16</v>
      </c>
      <c r="T148" s="44">
        <v>41</v>
      </c>
      <c r="U148" s="11">
        <v>5</v>
      </c>
      <c r="V148" s="11"/>
      <c r="W148" s="47" t="s">
        <v>47</v>
      </c>
      <c r="X148" s="47" t="s">
        <v>408</v>
      </c>
      <c r="Y148" s="47" t="str">
        <f t="shared" ref="Y148" si="61">B148</f>
        <v>陪审员</v>
      </c>
      <c r="Z148" s="11"/>
      <c r="AA148" s="11"/>
      <c r="AB148" s="11" t="s">
        <v>407</v>
      </c>
      <c r="AC148" s="11">
        <v>2022</v>
      </c>
      <c r="AD148" s="11">
        <v>2031</v>
      </c>
      <c r="AE148" s="11">
        <v>2035</v>
      </c>
      <c r="AF148" s="11">
        <v>2217</v>
      </c>
      <c r="AG148" s="11"/>
      <c r="AH148" s="47" t="s">
        <v>52</v>
      </c>
      <c r="AI148" s="11">
        <v>0</v>
      </c>
      <c r="AJ148" s="11" t="s">
        <v>223</v>
      </c>
      <c r="AK148" s="11"/>
      <c r="AL148" s="11" t="s">
        <v>237</v>
      </c>
      <c r="AM148" s="11" t="s">
        <v>238</v>
      </c>
      <c r="AN148" s="47" t="s">
        <v>47</v>
      </c>
      <c r="AO148" s="11"/>
      <c r="AP148" s="11" t="s">
        <v>53</v>
      </c>
      <c r="AQ148" s="2">
        <v>0</v>
      </c>
    </row>
    <row r="149" s="3" customFormat="1" ht="12" spans="1:43">
      <c r="A149" s="61">
        <v>161403</v>
      </c>
      <c r="B149" s="12" t="s">
        <v>407</v>
      </c>
      <c r="C149" s="12"/>
      <c r="D149" s="12"/>
      <c r="E149" s="12"/>
      <c r="F149" s="12">
        <v>0</v>
      </c>
      <c r="G149" s="12" t="s">
        <v>47</v>
      </c>
      <c r="H149" s="12" t="s">
        <v>45</v>
      </c>
      <c r="I149" s="12">
        <v>1</v>
      </c>
      <c r="J149" s="12">
        <v>1</v>
      </c>
      <c r="K149" s="12" t="s">
        <v>46</v>
      </c>
      <c r="L149" s="47" t="s">
        <v>47</v>
      </c>
      <c r="M149" s="12" t="s">
        <v>409</v>
      </c>
      <c r="N149" s="12">
        <v>0</v>
      </c>
      <c r="O149" s="47" t="s">
        <v>48</v>
      </c>
      <c r="P149" s="12">
        <v>1614</v>
      </c>
      <c r="Q149" s="12">
        <v>905</v>
      </c>
      <c r="R149" s="12">
        <v>368</v>
      </c>
      <c r="S149" s="44">
        <v>9</v>
      </c>
      <c r="T149" s="44">
        <v>46</v>
      </c>
      <c r="U149" s="12">
        <v>5</v>
      </c>
      <c r="V149" s="12"/>
      <c r="W149" s="47" t="s">
        <v>47</v>
      </c>
      <c r="X149" s="47" t="s">
        <v>408</v>
      </c>
      <c r="Y149" s="47" t="str">
        <f t="shared" ref="Y149" si="62">B149</f>
        <v>陪审员</v>
      </c>
      <c r="Z149" s="12"/>
      <c r="AA149" s="12"/>
      <c r="AB149" s="12" t="s">
        <v>407</v>
      </c>
      <c r="AC149" s="12">
        <v>2022</v>
      </c>
      <c r="AD149" s="12">
        <v>2031</v>
      </c>
      <c r="AE149" s="12">
        <v>2035</v>
      </c>
      <c r="AF149" s="12">
        <v>2217</v>
      </c>
      <c r="AG149" s="12"/>
      <c r="AH149" s="47" t="s">
        <v>52</v>
      </c>
      <c r="AI149" s="12">
        <v>0</v>
      </c>
      <c r="AJ149" s="12" t="s">
        <v>223</v>
      </c>
      <c r="AK149" s="12"/>
      <c r="AL149" s="12" t="s">
        <v>237</v>
      </c>
      <c r="AM149" s="12" t="s">
        <v>238</v>
      </c>
      <c r="AN149" s="47" t="s">
        <v>47</v>
      </c>
      <c r="AO149" s="12"/>
      <c r="AP149" s="12" t="s">
        <v>53</v>
      </c>
      <c r="AQ149" s="2">
        <v>0</v>
      </c>
    </row>
    <row r="150" s="2" customFormat="1" ht="12" spans="1:43">
      <c r="A150" s="61">
        <v>161404</v>
      </c>
      <c r="B150" s="11" t="s">
        <v>407</v>
      </c>
      <c r="C150" s="11"/>
      <c r="D150" s="11"/>
      <c r="E150" s="11"/>
      <c r="F150" s="11">
        <v>0</v>
      </c>
      <c r="G150" s="11" t="s">
        <v>47</v>
      </c>
      <c r="H150" s="11" t="s">
        <v>45</v>
      </c>
      <c r="I150" s="11">
        <v>1</v>
      </c>
      <c r="J150" s="11">
        <v>1</v>
      </c>
      <c r="K150" s="11" t="s">
        <v>46</v>
      </c>
      <c r="L150" s="47" t="s">
        <v>47</v>
      </c>
      <c r="M150" s="11" t="s">
        <v>410</v>
      </c>
      <c r="N150" s="11">
        <v>0</v>
      </c>
      <c r="O150" s="47" t="s">
        <v>48</v>
      </c>
      <c r="P150" s="11">
        <v>1614</v>
      </c>
      <c r="Q150" s="11">
        <v>1543</v>
      </c>
      <c r="R150" s="11">
        <v>1310</v>
      </c>
      <c r="S150" s="44">
        <v>12</v>
      </c>
      <c r="T150" s="44">
        <v>38</v>
      </c>
      <c r="U150" s="11">
        <v>3</v>
      </c>
      <c r="V150" s="11"/>
      <c r="W150" s="47" t="s">
        <v>47</v>
      </c>
      <c r="X150" s="47" t="s">
        <v>408</v>
      </c>
      <c r="Y150" s="47" t="str">
        <f t="shared" ref="Y150" si="63">B150</f>
        <v>陪审员</v>
      </c>
      <c r="Z150" s="11"/>
      <c r="AA150" s="11"/>
      <c r="AB150" s="11" t="s">
        <v>407</v>
      </c>
      <c r="AC150" s="11">
        <v>2022</v>
      </c>
      <c r="AD150" s="11">
        <v>2031</v>
      </c>
      <c r="AE150" s="11">
        <v>2035</v>
      </c>
      <c r="AF150" s="11">
        <v>2217</v>
      </c>
      <c r="AG150" s="11"/>
      <c r="AH150" s="47" t="s">
        <v>52</v>
      </c>
      <c r="AI150" s="11">
        <v>0</v>
      </c>
      <c r="AJ150" s="44" t="s">
        <v>203</v>
      </c>
      <c r="AK150" s="44" t="s">
        <v>204</v>
      </c>
      <c r="AL150" s="44" t="s">
        <v>205</v>
      </c>
      <c r="AM150" s="44" t="s">
        <v>206</v>
      </c>
      <c r="AN150" s="47" t="s">
        <v>47</v>
      </c>
      <c r="AO150" s="11"/>
      <c r="AP150" s="11" t="s">
        <v>53</v>
      </c>
      <c r="AQ150" s="2">
        <v>0</v>
      </c>
    </row>
    <row r="151" s="3" customFormat="1" ht="12" spans="1:43">
      <c r="A151" s="61">
        <v>161405</v>
      </c>
      <c r="B151" s="12" t="s">
        <v>407</v>
      </c>
      <c r="C151" s="12"/>
      <c r="D151" s="12"/>
      <c r="E151" s="12"/>
      <c r="F151" s="12">
        <v>0</v>
      </c>
      <c r="G151" s="12" t="s">
        <v>47</v>
      </c>
      <c r="H151" s="12" t="s">
        <v>45</v>
      </c>
      <c r="I151" s="12" t="s">
        <v>45</v>
      </c>
      <c r="J151" s="12">
        <v>1</v>
      </c>
      <c r="K151" s="12" t="s">
        <v>46</v>
      </c>
      <c r="L151" s="47" t="s">
        <v>47</v>
      </c>
      <c r="M151" s="12" t="s">
        <v>411</v>
      </c>
      <c r="N151" s="12">
        <v>0</v>
      </c>
      <c r="O151" s="47" t="s">
        <v>48</v>
      </c>
      <c r="P151" s="12">
        <v>1614</v>
      </c>
      <c r="Q151" s="12">
        <v>1701</v>
      </c>
      <c r="R151" s="12">
        <v>427</v>
      </c>
      <c r="S151" s="44">
        <v>5</v>
      </c>
      <c r="T151" s="44">
        <v>40</v>
      </c>
      <c r="U151" s="12">
        <v>5</v>
      </c>
      <c r="V151" s="12"/>
      <c r="W151" s="47" t="s">
        <v>47</v>
      </c>
      <c r="X151" s="47" t="s">
        <v>408</v>
      </c>
      <c r="Y151" s="47" t="str">
        <f t="shared" ref="Y151" si="64">B151</f>
        <v>陪审员</v>
      </c>
      <c r="Z151" s="12"/>
      <c r="AA151" s="12"/>
      <c r="AB151" s="12" t="s">
        <v>407</v>
      </c>
      <c r="AC151" s="12">
        <v>2022</v>
      </c>
      <c r="AD151" s="12">
        <v>2031</v>
      </c>
      <c r="AE151" s="12">
        <v>2035</v>
      </c>
      <c r="AF151" s="12">
        <v>2217</v>
      </c>
      <c r="AG151" s="12"/>
      <c r="AH151" s="47" t="s">
        <v>52</v>
      </c>
      <c r="AI151" s="12">
        <v>0</v>
      </c>
      <c r="AJ151" s="12" t="s">
        <v>223</v>
      </c>
      <c r="AK151" s="12"/>
      <c r="AL151" s="12" t="s">
        <v>237</v>
      </c>
      <c r="AM151" s="12" t="s">
        <v>238</v>
      </c>
      <c r="AN151" s="47" t="s">
        <v>47</v>
      </c>
      <c r="AO151" s="12"/>
      <c r="AP151" s="12" t="s">
        <v>53</v>
      </c>
      <c r="AQ151" s="2">
        <v>0</v>
      </c>
    </row>
    <row r="152" s="2" customFormat="1" ht="12" spans="1:43">
      <c r="A152" s="61">
        <v>161406</v>
      </c>
      <c r="B152" s="11" t="s">
        <v>407</v>
      </c>
      <c r="C152" s="11"/>
      <c r="D152" s="11"/>
      <c r="E152" s="11"/>
      <c r="F152" s="11">
        <v>0</v>
      </c>
      <c r="G152" s="11" t="s">
        <v>47</v>
      </c>
      <c r="H152" s="11" t="s">
        <v>45</v>
      </c>
      <c r="I152" s="11">
        <v>1</v>
      </c>
      <c r="J152" s="11">
        <v>1</v>
      </c>
      <c r="K152" s="11" t="s">
        <v>46</v>
      </c>
      <c r="L152" s="47" t="s">
        <v>47</v>
      </c>
      <c r="M152" s="11" t="s">
        <v>412</v>
      </c>
      <c r="N152" s="11">
        <v>0</v>
      </c>
      <c r="O152" s="47" t="s">
        <v>48</v>
      </c>
      <c r="P152" s="11">
        <v>1614</v>
      </c>
      <c r="Q152" s="11">
        <v>1117</v>
      </c>
      <c r="R152" s="11">
        <v>345</v>
      </c>
      <c r="S152" s="44">
        <v>15</v>
      </c>
      <c r="T152" s="44">
        <v>32</v>
      </c>
      <c r="U152" s="11">
        <v>3</v>
      </c>
      <c r="V152" s="11"/>
      <c r="W152" s="47" t="s">
        <v>47</v>
      </c>
      <c r="X152" s="47" t="s">
        <v>408</v>
      </c>
      <c r="Y152" s="47" t="str">
        <f t="shared" ref="Y152" si="65">B152</f>
        <v>陪审员</v>
      </c>
      <c r="Z152" s="11"/>
      <c r="AA152" s="11"/>
      <c r="AB152" s="11" t="s">
        <v>407</v>
      </c>
      <c r="AC152" s="11">
        <v>2022</v>
      </c>
      <c r="AD152" s="11">
        <v>2031</v>
      </c>
      <c r="AE152" s="11">
        <v>2035</v>
      </c>
      <c r="AF152" s="11">
        <v>2217</v>
      </c>
      <c r="AG152" s="11"/>
      <c r="AH152" s="47" t="s">
        <v>52</v>
      </c>
      <c r="AI152" s="11">
        <v>0</v>
      </c>
      <c r="AJ152" s="44" t="s">
        <v>203</v>
      </c>
      <c r="AK152" s="44" t="s">
        <v>204</v>
      </c>
      <c r="AL152" s="44" t="s">
        <v>205</v>
      </c>
      <c r="AM152" s="44" t="s">
        <v>206</v>
      </c>
      <c r="AN152" s="47" t="s">
        <v>47</v>
      </c>
      <c r="AO152" s="11"/>
      <c r="AP152" s="11" t="s">
        <v>53</v>
      </c>
      <c r="AQ152" s="2">
        <v>0</v>
      </c>
    </row>
    <row r="153" s="3" customFormat="1" ht="12" spans="1:43">
      <c r="A153" s="61">
        <v>161407</v>
      </c>
      <c r="B153" s="12" t="s">
        <v>413</v>
      </c>
      <c r="C153" s="12"/>
      <c r="D153" s="12"/>
      <c r="E153" s="12"/>
      <c r="F153" s="12">
        <v>0</v>
      </c>
      <c r="G153" s="12" t="s">
        <v>47</v>
      </c>
      <c r="H153" s="12" t="s">
        <v>45</v>
      </c>
      <c r="I153" s="12">
        <v>1</v>
      </c>
      <c r="J153" s="12">
        <v>0</v>
      </c>
      <c r="K153" s="12" t="s">
        <v>46</v>
      </c>
      <c r="L153" s="47" t="s">
        <v>47</v>
      </c>
      <c r="M153" s="12">
        <v>1020108</v>
      </c>
      <c r="N153" s="12">
        <v>0</v>
      </c>
      <c r="O153" s="47" t="s">
        <v>48</v>
      </c>
      <c r="P153" s="12">
        <v>1614</v>
      </c>
      <c r="Q153" s="12">
        <v>880</v>
      </c>
      <c r="R153" s="12">
        <v>1296</v>
      </c>
      <c r="S153" s="44">
        <v>89</v>
      </c>
      <c r="T153" s="44">
        <v>54</v>
      </c>
      <c r="U153" s="12">
        <v>3</v>
      </c>
      <c r="V153" s="12"/>
      <c r="W153" s="47" t="s">
        <v>47</v>
      </c>
      <c r="X153" s="47" t="s">
        <v>259</v>
      </c>
      <c r="Y153" s="47" t="str">
        <f t="shared" ref="Y153" si="66">B153</f>
        <v>鬼将</v>
      </c>
      <c r="Z153" s="12"/>
      <c r="AA153" s="12"/>
      <c r="AB153" s="12" t="s">
        <v>413</v>
      </c>
      <c r="AC153" s="12">
        <v>2084</v>
      </c>
      <c r="AD153" s="12">
        <v>2085</v>
      </c>
      <c r="AE153" s="12">
        <v>2086</v>
      </c>
      <c r="AF153" s="12">
        <v>2087</v>
      </c>
      <c r="AG153" s="12"/>
      <c r="AH153" s="47" t="s">
        <v>52</v>
      </c>
      <c r="AI153" s="12">
        <v>1</v>
      </c>
      <c r="AJ153" s="12" t="s">
        <v>132</v>
      </c>
      <c r="AK153" s="12" t="s">
        <v>133</v>
      </c>
      <c r="AL153" s="12" t="s">
        <v>134</v>
      </c>
      <c r="AM153" s="12" t="s">
        <v>135</v>
      </c>
      <c r="AN153" s="47" t="s">
        <v>47</v>
      </c>
      <c r="AO153" s="12"/>
      <c r="AP153" s="12" t="s">
        <v>53</v>
      </c>
      <c r="AQ153" s="2">
        <v>0</v>
      </c>
    </row>
    <row r="154" s="2" customFormat="1" ht="12" spans="1:43">
      <c r="A154" s="61">
        <v>161408</v>
      </c>
      <c r="B154" s="11" t="s">
        <v>414</v>
      </c>
      <c r="C154" s="11"/>
      <c r="D154" s="11"/>
      <c r="E154" s="11"/>
      <c r="F154" s="11">
        <v>0</v>
      </c>
      <c r="G154" s="11" t="s">
        <v>47</v>
      </c>
      <c r="H154" s="11" t="s">
        <v>45</v>
      </c>
      <c r="I154" s="11" t="s">
        <v>45</v>
      </c>
      <c r="J154" s="11">
        <v>0</v>
      </c>
      <c r="K154" s="11" t="s">
        <v>46</v>
      </c>
      <c r="L154" s="47" t="s">
        <v>47</v>
      </c>
      <c r="M154" s="11">
        <v>1020106</v>
      </c>
      <c r="N154" s="11">
        <v>0</v>
      </c>
      <c r="O154" s="47" t="s">
        <v>48</v>
      </c>
      <c r="P154" s="11">
        <v>1614</v>
      </c>
      <c r="Q154" s="11">
        <v>976</v>
      </c>
      <c r="R154" s="11">
        <v>1258</v>
      </c>
      <c r="S154" s="44">
        <v>55</v>
      </c>
      <c r="T154" s="44">
        <v>43</v>
      </c>
      <c r="U154" s="11">
        <v>5</v>
      </c>
      <c r="V154" s="11"/>
      <c r="W154" s="47" t="s">
        <v>47</v>
      </c>
      <c r="X154" s="47" t="s">
        <v>415</v>
      </c>
      <c r="Y154" s="47" t="str">
        <f t="shared" ref="Y154" si="67">B154</f>
        <v>圣圣</v>
      </c>
      <c r="Z154" s="11"/>
      <c r="AA154" s="11"/>
      <c r="AB154" s="11" t="s">
        <v>414</v>
      </c>
      <c r="AC154" s="11">
        <v>2242</v>
      </c>
      <c r="AD154" s="11">
        <v>2242</v>
      </c>
      <c r="AE154" s="11">
        <v>2248</v>
      </c>
      <c r="AF154" s="11">
        <v>2248</v>
      </c>
      <c r="AG154" s="11"/>
      <c r="AH154" s="47" t="s">
        <v>52</v>
      </c>
      <c r="AI154" s="11">
        <v>1</v>
      </c>
      <c r="AJ154" s="11" t="s">
        <v>223</v>
      </c>
      <c r="AK154" s="11"/>
      <c r="AL154" s="11" t="s">
        <v>237</v>
      </c>
      <c r="AM154" s="11" t="s">
        <v>238</v>
      </c>
      <c r="AN154" s="47" t="s">
        <v>47</v>
      </c>
      <c r="AO154" s="11"/>
      <c r="AP154" s="11" t="s">
        <v>53</v>
      </c>
      <c r="AQ154" s="2">
        <v>0</v>
      </c>
    </row>
    <row r="155" s="3" customFormat="1" ht="12" spans="1:43">
      <c r="A155" s="61">
        <v>161409</v>
      </c>
      <c r="B155" s="12" t="s">
        <v>416</v>
      </c>
      <c r="C155" s="12"/>
      <c r="D155" s="12"/>
      <c r="E155" s="12"/>
      <c r="F155" s="11">
        <v>0</v>
      </c>
      <c r="G155" s="12" t="s">
        <v>47</v>
      </c>
      <c r="H155" s="12" t="s">
        <v>45</v>
      </c>
      <c r="I155" s="12">
        <v>1</v>
      </c>
      <c r="J155" s="12">
        <v>0</v>
      </c>
      <c r="K155" s="12" t="s">
        <v>46</v>
      </c>
      <c r="L155" s="47" t="s">
        <v>47</v>
      </c>
      <c r="M155" s="11">
        <v>1020145</v>
      </c>
      <c r="N155" s="12">
        <v>0</v>
      </c>
      <c r="O155" s="47" t="s">
        <v>48</v>
      </c>
      <c r="P155" s="12">
        <v>1614</v>
      </c>
      <c r="Q155" s="12">
        <v>1057</v>
      </c>
      <c r="R155" s="12">
        <v>1342</v>
      </c>
      <c r="S155" s="44">
        <v>50</v>
      </c>
      <c r="T155" s="44">
        <v>27</v>
      </c>
      <c r="U155" s="12">
        <v>5</v>
      </c>
      <c r="V155" s="12"/>
      <c r="W155" s="47" t="s">
        <v>47</v>
      </c>
      <c r="X155" s="47" t="s">
        <v>417</v>
      </c>
      <c r="Y155" s="47" t="str">
        <f t="shared" ref="Y155" si="68">B155</f>
        <v>光光</v>
      </c>
      <c r="Z155" s="12"/>
      <c r="AA155" s="12"/>
      <c r="AB155" s="12" t="s">
        <v>416</v>
      </c>
      <c r="AC155" s="12">
        <v>2243</v>
      </c>
      <c r="AD155" s="12">
        <v>2243</v>
      </c>
      <c r="AE155" s="12">
        <v>2248</v>
      </c>
      <c r="AF155" s="12">
        <v>2248</v>
      </c>
      <c r="AG155" s="12"/>
      <c r="AH155" s="47" t="s">
        <v>52</v>
      </c>
      <c r="AI155" s="12">
        <v>1</v>
      </c>
      <c r="AJ155" s="12" t="s">
        <v>223</v>
      </c>
      <c r="AK155" s="12"/>
      <c r="AL155" s="12" t="s">
        <v>237</v>
      </c>
      <c r="AM155" s="12" t="s">
        <v>238</v>
      </c>
      <c r="AN155" s="47" t="s">
        <v>47</v>
      </c>
      <c r="AO155" s="12"/>
      <c r="AP155" s="12" t="s">
        <v>53</v>
      </c>
      <c r="AQ155" s="2">
        <v>0</v>
      </c>
    </row>
    <row r="156" s="2" customFormat="1" ht="12" spans="1:43">
      <c r="A156" s="61">
        <v>161410</v>
      </c>
      <c r="B156" s="11" t="s">
        <v>418</v>
      </c>
      <c r="C156" s="11"/>
      <c r="D156" s="11"/>
      <c r="E156" s="11"/>
      <c r="F156" s="11">
        <v>0</v>
      </c>
      <c r="G156" s="11" t="s">
        <v>47</v>
      </c>
      <c r="H156" s="11" t="s">
        <v>45</v>
      </c>
      <c r="I156" s="11">
        <v>1</v>
      </c>
      <c r="J156" s="11">
        <v>0</v>
      </c>
      <c r="K156" s="11" t="s">
        <v>46</v>
      </c>
      <c r="L156" s="47" t="s">
        <v>47</v>
      </c>
      <c r="M156" s="11">
        <v>1020146</v>
      </c>
      <c r="N156" s="11">
        <v>0</v>
      </c>
      <c r="O156" s="47" t="s">
        <v>48</v>
      </c>
      <c r="P156" s="11">
        <v>1614</v>
      </c>
      <c r="Q156" s="11">
        <v>994</v>
      </c>
      <c r="R156" s="11">
        <v>1067</v>
      </c>
      <c r="S156" s="44">
        <v>42</v>
      </c>
      <c r="T156" s="44">
        <v>27</v>
      </c>
      <c r="U156" s="11">
        <v>7</v>
      </c>
      <c r="V156" s="11"/>
      <c r="W156" s="47" t="s">
        <v>47</v>
      </c>
      <c r="X156" s="47" t="s">
        <v>419</v>
      </c>
      <c r="Y156" s="47" t="str">
        <f t="shared" ref="Y156" si="69">B156</f>
        <v>棍棍</v>
      </c>
      <c r="Z156" s="11"/>
      <c r="AA156" s="11"/>
      <c r="AB156" s="11" t="s">
        <v>418</v>
      </c>
      <c r="AC156" s="11">
        <v>2244</v>
      </c>
      <c r="AD156" s="11">
        <v>2244</v>
      </c>
      <c r="AE156" s="11">
        <v>2248</v>
      </c>
      <c r="AF156" s="11">
        <v>2248</v>
      </c>
      <c r="AG156" s="11"/>
      <c r="AH156" s="47" t="s">
        <v>52</v>
      </c>
      <c r="AI156" s="11">
        <v>1</v>
      </c>
      <c r="AJ156" s="11" t="s">
        <v>223</v>
      </c>
      <c r="AK156" s="11"/>
      <c r="AL156" s="11" t="s">
        <v>237</v>
      </c>
      <c r="AM156" s="11" t="s">
        <v>238</v>
      </c>
      <c r="AN156" s="47" t="s">
        <v>47</v>
      </c>
      <c r="AO156" s="11"/>
      <c r="AP156" s="11" t="s">
        <v>53</v>
      </c>
      <c r="AQ156" s="2">
        <v>0</v>
      </c>
    </row>
    <row r="157" s="3" customFormat="1" ht="12" spans="1:43">
      <c r="A157" s="61">
        <v>161411</v>
      </c>
      <c r="B157" s="12" t="s">
        <v>420</v>
      </c>
      <c r="C157" s="12"/>
      <c r="D157" s="12"/>
      <c r="E157" s="12"/>
      <c r="F157" s="11">
        <v>0</v>
      </c>
      <c r="G157" s="12" t="s">
        <v>47</v>
      </c>
      <c r="H157" s="12" t="s">
        <v>45</v>
      </c>
      <c r="I157" s="12" t="s">
        <v>45</v>
      </c>
      <c r="J157" s="12">
        <v>0</v>
      </c>
      <c r="K157" s="12" t="s">
        <v>46</v>
      </c>
      <c r="L157" s="47" t="s">
        <v>47</v>
      </c>
      <c r="M157" s="11">
        <v>1020147</v>
      </c>
      <c r="N157" s="12">
        <v>0</v>
      </c>
      <c r="O157" s="47" t="s">
        <v>48</v>
      </c>
      <c r="P157" s="12">
        <v>1614</v>
      </c>
      <c r="Q157" s="12">
        <v>889</v>
      </c>
      <c r="R157" s="12">
        <v>1527</v>
      </c>
      <c r="S157" s="44">
        <v>61</v>
      </c>
      <c r="T157" s="44">
        <v>39</v>
      </c>
      <c r="U157" s="12">
        <v>1</v>
      </c>
      <c r="V157" s="12"/>
      <c r="W157" s="47" t="s">
        <v>47</v>
      </c>
      <c r="X157" s="47" t="s">
        <v>421</v>
      </c>
      <c r="Y157" s="47" t="str">
        <f t="shared" ref="Y157" si="70">B157</f>
        <v>骑骑</v>
      </c>
      <c r="Z157" s="12"/>
      <c r="AA157" s="12"/>
      <c r="AB157" s="12" t="s">
        <v>420</v>
      </c>
      <c r="AC157" s="12">
        <v>2245</v>
      </c>
      <c r="AD157" s="12">
        <v>2245</v>
      </c>
      <c r="AE157" s="12">
        <v>2248</v>
      </c>
      <c r="AF157" s="12">
        <v>2248</v>
      </c>
      <c r="AG157" s="12"/>
      <c r="AH157" s="47" t="s">
        <v>52</v>
      </c>
      <c r="AI157" s="12">
        <v>1</v>
      </c>
      <c r="AJ157" s="12" t="s">
        <v>223</v>
      </c>
      <c r="AK157" s="12"/>
      <c r="AL157" s="12" t="s">
        <v>237</v>
      </c>
      <c r="AM157" s="12" t="s">
        <v>238</v>
      </c>
      <c r="AN157" s="47" t="s">
        <v>47</v>
      </c>
      <c r="AO157" s="12"/>
      <c r="AP157" s="12" t="s">
        <v>53</v>
      </c>
      <c r="AQ157" s="2">
        <v>0</v>
      </c>
    </row>
    <row r="158" s="2" customFormat="1" ht="12" spans="1:43">
      <c r="A158" s="61">
        <v>161412</v>
      </c>
      <c r="B158" s="11" t="s">
        <v>422</v>
      </c>
      <c r="C158" s="11"/>
      <c r="D158" s="11"/>
      <c r="E158" s="11"/>
      <c r="F158" s="11">
        <v>0</v>
      </c>
      <c r="G158" s="11" t="s">
        <v>47</v>
      </c>
      <c r="H158" s="11" t="s">
        <v>45</v>
      </c>
      <c r="I158" s="11">
        <v>1</v>
      </c>
      <c r="J158" s="11">
        <v>0</v>
      </c>
      <c r="K158" s="11" t="s">
        <v>46</v>
      </c>
      <c r="L158" s="47" t="s">
        <v>47</v>
      </c>
      <c r="M158" s="11">
        <v>1020148</v>
      </c>
      <c r="N158" s="11">
        <v>0</v>
      </c>
      <c r="O158" s="47" t="s">
        <v>48</v>
      </c>
      <c r="P158" s="11">
        <v>1614</v>
      </c>
      <c r="Q158" s="11">
        <v>792</v>
      </c>
      <c r="R158" s="11">
        <v>1494</v>
      </c>
      <c r="S158" s="44">
        <v>59</v>
      </c>
      <c r="T158" s="44">
        <v>26</v>
      </c>
      <c r="U158" s="11">
        <v>1</v>
      </c>
      <c r="V158" s="11"/>
      <c r="W158" s="47" t="s">
        <v>47</v>
      </c>
      <c r="X158" s="47" t="s">
        <v>423</v>
      </c>
      <c r="Y158" s="47" t="str">
        <f t="shared" ref="Y158" si="71">B158</f>
        <v>士士</v>
      </c>
      <c r="Z158" s="11"/>
      <c r="AA158" s="11"/>
      <c r="AB158" s="11" t="s">
        <v>422</v>
      </c>
      <c r="AC158" s="11">
        <v>2246</v>
      </c>
      <c r="AD158" s="11">
        <v>2246</v>
      </c>
      <c r="AE158" s="11">
        <v>2248</v>
      </c>
      <c r="AF158" s="11">
        <v>2248</v>
      </c>
      <c r="AG158" s="11"/>
      <c r="AH158" s="47" t="s">
        <v>52</v>
      </c>
      <c r="AI158" s="11">
        <v>1</v>
      </c>
      <c r="AJ158" s="11" t="s">
        <v>223</v>
      </c>
      <c r="AK158" s="11"/>
      <c r="AL158" s="11" t="s">
        <v>237</v>
      </c>
      <c r="AM158" s="11" t="s">
        <v>238</v>
      </c>
      <c r="AN158" s="47" t="s">
        <v>47</v>
      </c>
      <c r="AO158" s="11"/>
      <c r="AP158" s="11" t="s">
        <v>53</v>
      </c>
      <c r="AQ158" s="2">
        <v>0</v>
      </c>
    </row>
    <row r="159" s="3" customFormat="1" ht="12" spans="1:43">
      <c r="A159" s="61">
        <v>161413</v>
      </c>
      <c r="B159" s="12" t="s">
        <v>424</v>
      </c>
      <c r="C159" s="12"/>
      <c r="D159" s="12"/>
      <c r="E159" s="12"/>
      <c r="F159" s="11">
        <v>0</v>
      </c>
      <c r="G159" s="12" t="s">
        <v>47</v>
      </c>
      <c r="H159" s="12" t="s">
        <v>45</v>
      </c>
      <c r="I159" s="12" t="s">
        <v>45</v>
      </c>
      <c r="J159" s="12">
        <v>0</v>
      </c>
      <c r="K159" s="12" t="s">
        <v>46</v>
      </c>
      <c r="L159" s="47" t="s">
        <v>47</v>
      </c>
      <c r="M159" s="11">
        <v>1020149</v>
      </c>
      <c r="N159" s="12">
        <v>0</v>
      </c>
      <c r="O159" s="47" t="s">
        <v>48</v>
      </c>
      <c r="P159" s="12">
        <v>1614</v>
      </c>
      <c r="Q159" s="12">
        <v>784</v>
      </c>
      <c r="R159" s="12">
        <v>1368</v>
      </c>
      <c r="S159" s="44">
        <v>46</v>
      </c>
      <c r="T159" s="44">
        <v>46</v>
      </c>
      <c r="U159" s="12">
        <v>3</v>
      </c>
      <c r="V159" s="12"/>
      <c r="W159" s="47" t="s">
        <v>47</v>
      </c>
      <c r="X159" s="47" t="s">
        <v>425</v>
      </c>
      <c r="Y159" s="47" t="str">
        <f t="shared" ref="Y159" si="72">B159</f>
        <v>团团</v>
      </c>
      <c r="Z159" s="12"/>
      <c r="AA159" s="12"/>
      <c r="AB159" s="12" t="s">
        <v>424</v>
      </c>
      <c r="AC159" s="12">
        <v>2247</v>
      </c>
      <c r="AD159" s="12">
        <v>2247</v>
      </c>
      <c r="AE159" s="12">
        <v>2248</v>
      </c>
      <c r="AF159" s="12">
        <v>2248</v>
      </c>
      <c r="AG159" s="12"/>
      <c r="AH159" s="47" t="s">
        <v>52</v>
      </c>
      <c r="AI159" s="12">
        <v>1</v>
      </c>
      <c r="AJ159" s="12" t="s">
        <v>223</v>
      </c>
      <c r="AK159" s="12"/>
      <c r="AL159" s="12" t="s">
        <v>237</v>
      </c>
      <c r="AM159" s="12" t="s">
        <v>238</v>
      </c>
      <c r="AN159" s="47" t="s">
        <v>47</v>
      </c>
      <c r="AO159" s="12"/>
      <c r="AP159" s="12" t="s">
        <v>53</v>
      </c>
      <c r="AQ159" s="2">
        <v>0</v>
      </c>
    </row>
    <row r="160" s="2" customFormat="1" ht="12" spans="1:43">
      <c r="A160" s="61">
        <v>161414</v>
      </c>
      <c r="B160" s="11" t="s">
        <v>345</v>
      </c>
      <c r="C160" s="11"/>
      <c r="D160" s="11"/>
      <c r="E160" s="11"/>
      <c r="F160" s="11">
        <v>0</v>
      </c>
      <c r="G160" s="11" t="s">
        <v>47</v>
      </c>
      <c r="H160" s="11" t="s">
        <v>45</v>
      </c>
      <c r="I160" s="11">
        <v>1</v>
      </c>
      <c r="J160" s="11">
        <v>0</v>
      </c>
      <c r="K160" s="11" t="s">
        <v>46</v>
      </c>
      <c r="L160" s="47" t="s">
        <v>47</v>
      </c>
      <c r="M160" s="11">
        <v>1010131</v>
      </c>
      <c r="N160" s="11">
        <v>0</v>
      </c>
      <c r="O160" s="47" t="s">
        <v>48</v>
      </c>
      <c r="P160" s="11">
        <v>1614</v>
      </c>
      <c r="Q160" s="11">
        <v>830</v>
      </c>
      <c r="R160" s="11">
        <v>984</v>
      </c>
      <c r="S160" s="44">
        <v>94</v>
      </c>
      <c r="T160" s="44">
        <v>26</v>
      </c>
      <c r="U160" s="11">
        <v>3</v>
      </c>
      <c r="V160" s="11"/>
      <c r="W160" s="47" t="s">
        <v>47</v>
      </c>
      <c r="X160" s="47" t="s">
        <v>426</v>
      </c>
      <c r="Y160" s="47" t="str">
        <f t="shared" ref="Y160" si="73">B160</f>
        <v>元帅</v>
      </c>
      <c r="Z160" s="11"/>
      <c r="AA160" s="11"/>
      <c r="AB160" s="11" t="s">
        <v>345</v>
      </c>
      <c r="AC160" s="11">
        <v>2217</v>
      </c>
      <c r="AD160" s="11">
        <v>2218</v>
      </c>
      <c r="AE160" s="11">
        <v>2220</v>
      </c>
      <c r="AG160" s="11"/>
      <c r="AH160" s="47" t="s">
        <v>52</v>
      </c>
      <c r="AI160" s="11">
        <v>1</v>
      </c>
      <c r="AJ160" s="11" t="s">
        <v>223</v>
      </c>
      <c r="AK160" s="11"/>
      <c r="AL160" s="11" t="s">
        <v>237</v>
      </c>
      <c r="AM160" s="11" t="s">
        <v>238</v>
      </c>
      <c r="AN160" s="47" t="s">
        <v>47</v>
      </c>
      <c r="AO160" s="11"/>
      <c r="AP160" s="11" t="s">
        <v>53</v>
      </c>
      <c r="AQ160" s="2">
        <v>0</v>
      </c>
    </row>
    <row r="161" s="3" customFormat="1" ht="12.75" spans="1:43">
      <c r="A161" s="61">
        <v>161415</v>
      </c>
      <c r="B161" s="12" t="s">
        <v>427</v>
      </c>
      <c r="C161" s="12"/>
      <c r="D161" s="12"/>
      <c r="E161" s="12"/>
      <c r="F161" s="12">
        <v>0</v>
      </c>
      <c r="G161" s="12" t="s">
        <v>47</v>
      </c>
      <c r="H161" s="12" t="s">
        <v>45</v>
      </c>
      <c r="I161" s="12">
        <v>1</v>
      </c>
      <c r="J161" s="12">
        <v>0</v>
      </c>
      <c r="K161" s="12" t="s">
        <v>46</v>
      </c>
      <c r="L161" s="47" t="s">
        <v>47</v>
      </c>
      <c r="M161" s="64">
        <v>1030004</v>
      </c>
      <c r="N161" s="12">
        <v>0</v>
      </c>
      <c r="O161" s="47" t="s">
        <v>48</v>
      </c>
      <c r="P161" s="12">
        <v>1614</v>
      </c>
      <c r="Q161" s="12">
        <v>1685</v>
      </c>
      <c r="R161" s="12">
        <v>548</v>
      </c>
      <c r="S161" s="44">
        <v>16</v>
      </c>
      <c r="T161" s="44">
        <v>91</v>
      </c>
      <c r="U161" s="12">
        <v>5</v>
      </c>
      <c r="V161" s="12"/>
      <c r="W161" s="47" t="s">
        <v>47</v>
      </c>
      <c r="X161" s="47" t="s">
        <v>428</v>
      </c>
      <c r="Y161" s="47" t="str">
        <f t="shared" ref="Y161" si="74">B161</f>
        <v>苏小妹</v>
      </c>
      <c r="Z161" s="12"/>
      <c r="AA161" s="12"/>
      <c r="AB161" s="12" t="s">
        <v>429</v>
      </c>
      <c r="AC161" s="12">
        <v>2131</v>
      </c>
      <c r="AD161" s="12">
        <v>2132</v>
      </c>
      <c r="AE161" s="12">
        <v>2133</v>
      </c>
      <c r="AF161" s="12">
        <v>2133</v>
      </c>
      <c r="AG161" s="12"/>
      <c r="AH161" s="47" t="s">
        <v>52</v>
      </c>
      <c r="AI161" s="12">
        <v>1</v>
      </c>
      <c r="AJ161" s="12" t="s">
        <v>203</v>
      </c>
      <c r="AK161" s="12" t="s">
        <v>204</v>
      </c>
      <c r="AL161" s="12" t="s">
        <v>205</v>
      </c>
      <c r="AM161" s="12" t="s">
        <v>206</v>
      </c>
      <c r="AN161" s="47" t="s">
        <v>47</v>
      </c>
      <c r="AO161" s="12"/>
      <c r="AP161" s="12" t="s">
        <v>53</v>
      </c>
      <c r="AQ161" s="2">
        <v>0</v>
      </c>
    </row>
    <row r="162" s="2" customFormat="1" ht="12.75" spans="1:43">
      <c r="A162" s="61">
        <v>161416</v>
      </c>
      <c r="B162" s="11" t="s">
        <v>430</v>
      </c>
      <c r="C162" s="11"/>
      <c r="D162" s="11"/>
      <c r="E162" s="11"/>
      <c r="F162" s="11">
        <v>2</v>
      </c>
      <c r="G162" s="11" t="s">
        <v>47</v>
      </c>
      <c r="H162" s="11" t="s">
        <v>45</v>
      </c>
      <c r="I162" s="11" t="s">
        <v>45</v>
      </c>
      <c r="J162" s="11">
        <v>1</v>
      </c>
      <c r="K162" s="11" t="s">
        <v>46</v>
      </c>
      <c r="L162" s="47" t="s">
        <v>47</v>
      </c>
      <c r="M162" s="50">
        <v>1020101</v>
      </c>
      <c r="N162" s="11">
        <v>0</v>
      </c>
      <c r="O162" s="47" t="s">
        <v>48</v>
      </c>
      <c r="P162" s="11">
        <v>1614</v>
      </c>
      <c r="Q162" s="11">
        <v>1880</v>
      </c>
      <c r="R162" s="11">
        <v>566</v>
      </c>
      <c r="S162" s="44">
        <v>67</v>
      </c>
      <c r="T162" s="44">
        <v>85</v>
      </c>
      <c r="U162" s="11">
        <v>5</v>
      </c>
      <c r="V162" s="11"/>
      <c r="W162" s="47" t="s">
        <v>47</v>
      </c>
      <c r="X162" s="47" t="s">
        <v>431</v>
      </c>
      <c r="Y162" s="47" t="str">
        <f t="shared" ref="Y162" si="75">B162</f>
        <v>司命星君</v>
      </c>
      <c r="Z162" s="11"/>
      <c r="AA162" s="11"/>
      <c r="AB162" s="11" t="s">
        <v>432</v>
      </c>
      <c r="AC162" s="11">
        <v>2249</v>
      </c>
      <c r="AD162" s="11">
        <v>2250</v>
      </c>
      <c r="AE162" s="11">
        <v>2251</v>
      </c>
      <c r="AF162" s="11">
        <v>2252</v>
      </c>
      <c r="AG162" s="11"/>
      <c r="AH162" s="47" t="s">
        <v>52</v>
      </c>
      <c r="AI162" s="11">
        <v>0</v>
      </c>
      <c r="AJ162" s="11" t="s">
        <v>223</v>
      </c>
      <c r="AK162" s="11"/>
      <c r="AL162" s="11" t="s">
        <v>237</v>
      </c>
      <c r="AM162" s="11" t="s">
        <v>238</v>
      </c>
      <c r="AN162" s="47" t="s">
        <v>47</v>
      </c>
      <c r="AO162" s="11"/>
      <c r="AP162" s="11" t="s">
        <v>53</v>
      </c>
      <c r="AQ162" s="2">
        <v>0</v>
      </c>
    </row>
    <row r="163" s="3" customFormat="1" ht="12" spans="1:43">
      <c r="A163" s="61">
        <v>161417</v>
      </c>
      <c r="B163" s="12" t="s">
        <v>433</v>
      </c>
      <c r="C163" s="12"/>
      <c r="D163" s="12"/>
      <c r="E163" s="12"/>
      <c r="F163" s="12">
        <v>0</v>
      </c>
      <c r="G163" s="12" t="s">
        <v>47</v>
      </c>
      <c r="H163" s="12" t="s">
        <v>45</v>
      </c>
      <c r="I163" s="12">
        <v>1</v>
      </c>
      <c r="J163" s="12">
        <v>0</v>
      </c>
      <c r="K163" s="12" t="s">
        <v>46</v>
      </c>
      <c r="L163" s="47" t="s">
        <v>47</v>
      </c>
      <c r="M163" s="12">
        <v>1020118</v>
      </c>
      <c r="N163" s="12">
        <v>0</v>
      </c>
      <c r="O163" s="47" t="s">
        <v>48</v>
      </c>
      <c r="P163" s="12">
        <v>1614</v>
      </c>
      <c r="Q163" s="12">
        <v>2120</v>
      </c>
      <c r="R163" s="12">
        <v>1163</v>
      </c>
      <c r="S163" s="44">
        <v>105</v>
      </c>
      <c r="T163" s="44">
        <v>28</v>
      </c>
      <c r="U163" s="12">
        <v>7</v>
      </c>
      <c r="V163" s="12"/>
      <c r="W163" s="47" t="s">
        <v>47</v>
      </c>
      <c r="X163" s="47" t="s">
        <v>261</v>
      </c>
      <c r="Y163" s="47" t="str">
        <f t="shared" ref="Y163:Y168" si="76">B163</f>
        <v>战神山传送人</v>
      </c>
      <c r="Z163" s="12"/>
      <c r="AA163" s="12"/>
      <c r="AB163" s="12" t="s">
        <v>383</v>
      </c>
      <c r="AC163" s="12">
        <v>2080</v>
      </c>
      <c r="AD163" s="12">
        <v>2081</v>
      </c>
      <c r="AE163" s="12">
        <v>2082</v>
      </c>
      <c r="AF163" s="12">
        <v>2083</v>
      </c>
      <c r="AG163" s="12"/>
      <c r="AH163" s="47" t="s">
        <v>52</v>
      </c>
      <c r="AI163" s="12">
        <v>1</v>
      </c>
      <c r="AJ163" s="12" t="s">
        <v>262</v>
      </c>
      <c r="AK163" s="12" t="s">
        <v>263</v>
      </c>
      <c r="AL163" s="12" t="s">
        <v>264</v>
      </c>
      <c r="AM163" s="12" t="s">
        <v>265</v>
      </c>
      <c r="AN163" s="47" t="s">
        <v>47</v>
      </c>
      <c r="AO163" s="12"/>
      <c r="AP163" s="12" t="s">
        <v>53</v>
      </c>
      <c r="AQ163" s="2">
        <v>0</v>
      </c>
    </row>
    <row r="164" s="2" customFormat="1" ht="12" spans="1:43">
      <c r="A164" s="61">
        <v>161418</v>
      </c>
      <c r="B164" s="11" t="s">
        <v>434</v>
      </c>
      <c r="C164" s="11"/>
      <c r="D164" s="11"/>
      <c r="E164" s="11"/>
      <c r="F164" s="11">
        <v>0</v>
      </c>
      <c r="G164" s="11" t="s">
        <v>47</v>
      </c>
      <c r="H164" s="11" t="s">
        <v>45</v>
      </c>
      <c r="I164" s="11">
        <v>1</v>
      </c>
      <c r="J164" s="11">
        <v>0</v>
      </c>
      <c r="K164" s="11" t="s">
        <v>46</v>
      </c>
      <c r="L164" s="47" t="s">
        <v>47</v>
      </c>
      <c r="M164" s="11">
        <v>1030011</v>
      </c>
      <c r="N164" s="11">
        <v>0</v>
      </c>
      <c r="O164" s="47" t="s">
        <v>48</v>
      </c>
      <c r="P164" s="11">
        <v>1614</v>
      </c>
      <c r="Q164" s="11">
        <v>782</v>
      </c>
      <c r="R164" s="11">
        <v>477</v>
      </c>
      <c r="S164" s="44">
        <v>93</v>
      </c>
      <c r="T164" s="44">
        <f t="shared" ref="T164" si="77">FLOOR(R164/16,1)</f>
        <v>29</v>
      </c>
      <c r="U164" s="11">
        <v>5</v>
      </c>
      <c r="V164" s="11"/>
      <c r="W164" s="47" t="s">
        <v>47</v>
      </c>
      <c r="X164" s="47" t="s">
        <v>435</v>
      </c>
      <c r="Y164" s="47" t="str">
        <f t="shared" si="76"/>
        <v>卫兵</v>
      </c>
      <c r="Z164" s="11"/>
      <c r="AA164" s="11"/>
      <c r="AB164" s="11" t="s">
        <v>434</v>
      </c>
      <c r="AC164" s="11">
        <v>2031</v>
      </c>
      <c r="AD164" s="11">
        <v>2217</v>
      </c>
      <c r="AE164" s="11">
        <v>2220</v>
      </c>
      <c r="AF164" s="11">
        <v>2031</v>
      </c>
      <c r="AG164" s="11"/>
      <c r="AH164" s="47" t="s">
        <v>52</v>
      </c>
      <c r="AI164" s="11">
        <v>1</v>
      </c>
      <c r="AJ164" s="11" t="s">
        <v>223</v>
      </c>
      <c r="AK164" s="11"/>
      <c r="AL164" s="11" t="s">
        <v>237</v>
      </c>
      <c r="AM164" s="11" t="s">
        <v>238</v>
      </c>
      <c r="AN164" s="47" t="s">
        <v>47</v>
      </c>
      <c r="AO164" s="11"/>
      <c r="AP164" s="11" t="s">
        <v>53</v>
      </c>
      <c r="AQ164" s="2">
        <v>0</v>
      </c>
    </row>
    <row r="165" s="3" customFormat="1" ht="12" spans="1:43">
      <c r="A165" s="61">
        <v>161419</v>
      </c>
      <c r="B165" s="12" t="s">
        <v>434</v>
      </c>
      <c r="C165" s="12"/>
      <c r="D165" s="12"/>
      <c r="E165" s="12"/>
      <c r="F165" s="12">
        <v>0</v>
      </c>
      <c r="G165" s="12" t="s">
        <v>47</v>
      </c>
      <c r="H165" s="12" t="s">
        <v>45</v>
      </c>
      <c r="I165" s="12" t="s">
        <v>45</v>
      </c>
      <c r="J165" s="12">
        <v>0</v>
      </c>
      <c r="K165" s="12" t="s">
        <v>46</v>
      </c>
      <c r="L165" s="47" t="s">
        <v>47</v>
      </c>
      <c r="M165" s="11">
        <v>1030011</v>
      </c>
      <c r="N165" s="12">
        <v>0</v>
      </c>
      <c r="O165" s="47" t="s">
        <v>48</v>
      </c>
      <c r="P165" s="12">
        <v>1614</v>
      </c>
      <c r="Q165" s="12">
        <v>539</v>
      </c>
      <c r="R165" s="12">
        <v>501</v>
      </c>
      <c r="S165" s="44">
        <v>99</v>
      </c>
      <c r="T165" s="44">
        <v>28</v>
      </c>
      <c r="U165" s="12">
        <v>3</v>
      </c>
      <c r="V165" s="12"/>
      <c r="W165" s="47" t="s">
        <v>47</v>
      </c>
      <c r="X165" s="47" t="s">
        <v>435</v>
      </c>
      <c r="Y165" s="47" t="str">
        <f t="shared" si="76"/>
        <v>卫兵</v>
      </c>
      <c r="Z165" s="12"/>
      <c r="AA165" s="12"/>
      <c r="AB165" s="12" t="s">
        <v>434</v>
      </c>
      <c r="AC165" s="12">
        <v>2031</v>
      </c>
      <c r="AD165" s="12">
        <v>2217</v>
      </c>
      <c r="AE165" s="12">
        <v>2220</v>
      </c>
      <c r="AF165" s="12">
        <v>2031</v>
      </c>
      <c r="AG165" s="12"/>
      <c r="AH165" s="47" t="s">
        <v>52</v>
      </c>
      <c r="AI165" s="12">
        <v>1</v>
      </c>
      <c r="AJ165" s="12" t="s">
        <v>223</v>
      </c>
      <c r="AK165" s="12"/>
      <c r="AL165" s="12" t="s">
        <v>237</v>
      </c>
      <c r="AM165" s="12" t="s">
        <v>238</v>
      </c>
      <c r="AN165" s="47" t="s">
        <v>47</v>
      </c>
      <c r="AO165" s="12"/>
      <c r="AP165" s="12" t="s">
        <v>53</v>
      </c>
      <c r="AQ165" s="2">
        <v>0</v>
      </c>
    </row>
    <row r="166" s="2" customFormat="1" ht="12" spans="1:43">
      <c r="A166" s="61">
        <v>161420</v>
      </c>
      <c r="B166" s="11" t="s">
        <v>434</v>
      </c>
      <c r="C166" s="11"/>
      <c r="D166" s="11"/>
      <c r="E166" s="11"/>
      <c r="F166" s="11">
        <v>0</v>
      </c>
      <c r="G166" s="11" t="s">
        <v>47</v>
      </c>
      <c r="H166" s="11" t="s">
        <v>45</v>
      </c>
      <c r="I166" s="11">
        <v>1</v>
      </c>
      <c r="J166" s="11">
        <v>0</v>
      </c>
      <c r="K166" s="11" t="s">
        <v>46</v>
      </c>
      <c r="L166" s="47" t="s">
        <v>47</v>
      </c>
      <c r="M166" s="11">
        <v>1030011</v>
      </c>
      <c r="N166" s="11">
        <v>0</v>
      </c>
      <c r="O166" s="47" t="s">
        <v>48</v>
      </c>
      <c r="P166" s="11">
        <v>1614</v>
      </c>
      <c r="Q166" s="11">
        <v>775</v>
      </c>
      <c r="R166" s="11">
        <v>744</v>
      </c>
      <c r="S166" s="44">
        <v>93</v>
      </c>
      <c r="T166" s="44">
        <v>40</v>
      </c>
      <c r="U166" s="11">
        <v>7</v>
      </c>
      <c r="V166" s="11"/>
      <c r="W166" s="47" t="s">
        <v>47</v>
      </c>
      <c r="X166" s="47" t="s">
        <v>435</v>
      </c>
      <c r="Y166" s="47" t="str">
        <f t="shared" si="76"/>
        <v>卫兵</v>
      </c>
      <c r="Z166" s="11"/>
      <c r="AA166" s="11"/>
      <c r="AB166" s="11" t="s">
        <v>434</v>
      </c>
      <c r="AC166" s="11">
        <v>2031</v>
      </c>
      <c r="AD166" s="11">
        <v>2217</v>
      </c>
      <c r="AE166" s="11">
        <v>2220</v>
      </c>
      <c r="AF166" s="11">
        <v>2031</v>
      </c>
      <c r="AG166" s="11"/>
      <c r="AH166" s="47" t="s">
        <v>52</v>
      </c>
      <c r="AI166" s="11">
        <v>1</v>
      </c>
      <c r="AJ166" s="11" t="s">
        <v>223</v>
      </c>
      <c r="AK166" s="11"/>
      <c r="AL166" s="11" t="s">
        <v>237</v>
      </c>
      <c r="AM166" s="11" t="s">
        <v>238</v>
      </c>
      <c r="AN166" s="47" t="s">
        <v>47</v>
      </c>
      <c r="AO166" s="11"/>
      <c r="AP166" s="11" t="s">
        <v>53</v>
      </c>
      <c r="AQ166" s="2">
        <v>0</v>
      </c>
    </row>
    <row r="167" s="3" customFormat="1" ht="12" spans="1:43">
      <c r="A167" s="61">
        <v>161421</v>
      </c>
      <c r="B167" s="12" t="s">
        <v>434</v>
      </c>
      <c r="C167" s="12"/>
      <c r="D167" s="12"/>
      <c r="E167" s="12"/>
      <c r="F167" s="12">
        <v>0</v>
      </c>
      <c r="G167" s="12" t="s">
        <v>47</v>
      </c>
      <c r="H167" s="12" t="s">
        <v>45</v>
      </c>
      <c r="I167" s="12">
        <v>1</v>
      </c>
      <c r="J167" s="12">
        <v>0</v>
      </c>
      <c r="K167" s="12" t="s">
        <v>46</v>
      </c>
      <c r="L167" s="47" t="s">
        <v>47</v>
      </c>
      <c r="M167" s="11">
        <v>1030011</v>
      </c>
      <c r="N167" s="12">
        <v>0</v>
      </c>
      <c r="O167" s="47" t="s">
        <v>48</v>
      </c>
      <c r="P167" s="12">
        <v>1614</v>
      </c>
      <c r="Q167" s="12">
        <v>530</v>
      </c>
      <c r="R167" s="12">
        <v>747</v>
      </c>
      <c r="S167" s="44">
        <v>101</v>
      </c>
      <c r="T167" s="44">
        <v>37</v>
      </c>
      <c r="U167" s="12">
        <v>1</v>
      </c>
      <c r="V167" s="12"/>
      <c r="W167" s="47" t="s">
        <v>47</v>
      </c>
      <c r="X167" s="47" t="s">
        <v>435</v>
      </c>
      <c r="Y167" s="47" t="str">
        <f t="shared" si="76"/>
        <v>卫兵</v>
      </c>
      <c r="Z167" s="12"/>
      <c r="AA167" s="12"/>
      <c r="AB167" s="12" t="s">
        <v>434</v>
      </c>
      <c r="AC167" s="12">
        <v>2031</v>
      </c>
      <c r="AD167" s="12">
        <v>2217</v>
      </c>
      <c r="AE167" s="12">
        <v>2220</v>
      </c>
      <c r="AF167" s="12">
        <v>2031</v>
      </c>
      <c r="AG167" s="12"/>
      <c r="AH167" s="47" t="s">
        <v>52</v>
      </c>
      <c r="AI167" s="12">
        <v>1</v>
      </c>
      <c r="AJ167" s="12" t="s">
        <v>223</v>
      </c>
      <c r="AK167" s="12"/>
      <c r="AL167" s="12" t="s">
        <v>237</v>
      </c>
      <c r="AM167" s="12" t="s">
        <v>238</v>
      </c>
      <c r="AN167" s="47" t="s">
        <v>47</v>
      </c>
      <c r="AO167" s="12"/>
      <c r="AP167" s="12" t="s">
        <v>53</v>
      </c>
      <c r="AQ167" s="2">
        <v>0</v>
      </c>
    </row>
    <row r="168" s="2" customFormat="1" ht="12" spans="1:43">
      <c r="A168" s="61">
        <v>161422</v>
      </c>
      <c r="B168" s="11" t="s">
        <v>434</v>
      </c>
      <c r="C168" s="11"/>
      <c r="D168" s="11"/>
      <c r="E168" s="11"/>
      <c r="F168" s="11">
        <v>0</v>
      </c>
      <c r="G168" s="11" t="s">
        <v>47</v>
      </c>
      <c r="H168" s="11" t="s">
        <v>45</v>
      </c>
      <c r="I168" s="11" t="s">
        <v>45</v>
      </c>
      <c r="J168" s="11">
        <v>0</v>
      </c>
      <c r="K168" s="11" t="s">
        <v>46</v>
      </c>
      <c r="L168" s="47" t="s">
        <v>47</v>
      </c>
      <c r="M168" s="11">
        <v>1030011</v>
      </c>
      <c r="N168" s="11">
        <v>0</v>
      </c>
      <c r="O168" s="47" t="s">
        <v>48</v>
      </c>
      <c r="P168" s="11">
        <v>1614</v>
      </c>
      <c r="Q168" s="11">
        <v>1371</v>
      </c>
      <c r="R168" s="11">
        <v>784</v>
      </c>
      <c r="S168" s="44">
        <v>99</v>
      </c>
      <c r="T168" s="44">
        <v>50</v>
      </c>
      <c r="U168" s="11">
        <v>5</v>
      </c>
      <c r="V168" s="11"/>
      <c r="W168" s="47" t="s">
        <v>47</v>
      </c>
      <c r="X168" s="47" t="s">
        <v>436</v>
      </c>
      <c r="Y168" s="47" t="str">
        <f t="shared" si="76"/>
        <v>卫兵</v>
      </c>
      <c r="Z168" s="11"/>
      <c r="AA168" s="11"/>
      <c r="AB168" s="11" t="s">
        <v>434</v>
      </c>
      <c r="AC168" s="11">
        <v>2031</v>
      </c>
      <c r="AD168" s="11">
        <v>2217</v>
      </c>
      <c r="AE168" s="11">
        <v>2220</v>
      </c>
      <c r="AF168" s="11">
        <v>2031</v>
      </c>
      <c r="AG168" s="11"/>
      <c r="AH168" s="47" t="s">
        <v>52</v>
      </c>
      <c r="AI168" s="11">
        <v>1</v>
      </c>
      <c r="AJ168" s="11" t="s">
        <v>223</v>
      </c>
      <c r="AK168" s="11"/>
      <c r="AL168" s="11" t="s">
        <v>237</v>
      </c>
      <c r="AM168" s="11" t="s">
        <v>238</v>
      </c>
      <c r="AN168" s="47" t="s">
        <v>47</v>
      </c>
      <c r="AO168" s="11"/>
      <c r="AP168" s="11" t="s">
        <v>53</v>
      </c>
      <c r="AQ168" s="2">
        <v>0</v>
      </c>
    </row>
    <row r="169" s="3" customFormat="1" ht="12" spans="1:43">
      <c r="A169" s="61">
        <v>161423</v>
      </c>
      <c r="B169" s="12" t="s">
        <v>434</v>
      </c>
      <c r="C169" s="12"/>
      <c r="D169" s="12"/>
      <c r="E169" s="12"/>
      <c r="F169" s="12">
        <v>0</v>
      </c>
      <c r="G169" s="12" t="s">
        <v>47</v>
      </c>
      <c r="H169" s="12" t="s">
        <v>45</v>
      </c>
      <c r="I169" s="12">
        <v>1</v>
      </c>
      <c r="J169" s="12">
        <v>0</v>
      </c>
      <c r="K169" s="12" t="s">
        <v>46</v>
      </c>
      <c r="L169" s="47" t="s">
        <v>47</v>
      </c>
      <c r="M169" s="12">
        <v>1030011</v>
      </c>
      <c r="N169" s="12">
        <v>0</v>
      </c>
      <c r="O169" s="47" t="s">
        <v>48</v>
      </c>
      <c r="P169" s="12">
        <v>1614</v>
      </c>
      <c r="Q169" s="12">
        <v>1498</v>
      </c>
      <c r="R169" s="12">
        <v>892</v>
      </c>
      <c r="S169" s="44">
        <v>104</v>
      </c>
      <c r="T169" s="44">
        <v>48</v>
      </c>
      <c r="U169" s="12">
        <v>5</v>
      </c>
      <c r="V169" s="12"/>
      <c r="W169" s="47" t="s">
        <v>47</v>
      </c>
      <c r="X169" s="47" t="s">
        <v>436</v>
      </c>
      <c r="Y169" s="47" t="str">
        <f t="shared" ref="Y169" si="78">B169</f>
        <v>卫兵</v>
      </c>
      <c r="Z169" s="12"/>
      <c r="AA169" s="12"/>
      <c r="AB169" s="12" t="s">
        <v>434</v>
      </c>
      <c r="AC169" s="12">
        <v>2031</v>
      </c>
      <c r="AD169" s="12">
        <v>2217</v>
      </c>
      <c r="AE169" s="12">
        <v>2220</v>
      </c>
      <c r="AF169" s="12">
        <v>2031</v>
      </c>
      <c r="AG169" s="12"/>
      <c r="AH169" s="47" t="s">
        <v>52</v>
      </c>
      <c r="AI169" s="12">
        <v>1</v>
      </c>
      <c r="AJ169" s="12" t="s">
        <v>223</v>
      </c>
      <c r="AK169" s="12"/>
      <c r="AL169" s="12" t="s">
        <v>237</v>
      </c>
      <c r="AM169" s="12" t="s">
        <v>238</v>
      </c>
      <c r="AN169" s="47" t="s">
        <v>47</v>
      </c>
      <c r="AO169" s="12"/>
      <c r="AP169" s="12" t="s">
        <v>53</v>
      </c>
      <c r="AQ169" s="2">
        <v>0</v>
      </c>
    </row>
    <row r="170" s="2" customFormat="1" ht="12.75" spans="1:43">
      <c r="A170" s="61">
        <v>161424</v>
      </c>
      <c r="B170" s="11" t="s">
        <v>235</v>
      </c>
      <c r="C170" s="11"/>
      <c r="D170" s="11"/>
      <c r="E170" s="11"/>
      <c r="F170" s="11">
        <v>0</v>
      </c>
      <c r="G170" s="11" t="s">
        <v>47</v>
      </c>
      <c r="H170" s="11" t="s">
        <v>45</v>
      </c>
      <c r="I170" s="11">
        <v>1</v>
      </c>
      <c r="J170" s="11">
        <v>0</v>
      </c>
      <c r="K170" s="11" t="s">
        <v>46</v>
      </c>
      <c r="L170" s="47" t="s">
        <v>47</v>
      </c>
      <c r="M170" s="50">
        <v>1020106</v>
      </c>
      <c r="N170" s="11">
        <v>0</v>
      </c>
      <c r="O170" s="47" t="s">
        <v>48</v>
      </c>
      <c r="P170" s="11">
        <v>1614</v>
      </c>
      <c r="Q170" s="11">
        <v>1242</v>
      </c>
      <c r="R170" s="11">
        <v>852</v>
      </c>
      <c r="S170" s="44">
        <v>16</v>
      </c>
      <c r="T170" s="44">
        <v>49</v>
      </c>
      <c r="U170" s="11">
        <v>3</v>
      </c>
      <c r="V170" s="11"/>
      <c r="W170" s="47" t="s">
        <v>47</v>
      </c>
      <c r="X170" s="47"/>
      <c r="Y170" s="47" t="str">
        <f t="shared" ref="Y170" si="79">B170</f>
        <v>猴王</v>
      </c>
      <c r="Z170" s="11"/>
      <c r="AA170" s="11"/>
      <c r="AB170" s="11" t="s">
        <v>235</v>
      </c>
      <c r="AC170" s="11">
        <v>2249</v>
      </c>
      <c r="AD170" s="11">
        <v>2250</v>
      </c>
      <c r="AE170" s="11">
        <v>2252</v>
      </c>
      <c r="AF170" s="11">
        <v>2250</v>
      </c>
      <c r="AG170" s="11"/>
      <c r="AH170" s="47" t="s">
        <v>52</v>
      </c>
      <c r="AI170" s="11">
        <v>1</v>
      </c>
      <c r="AJ170" s="11" t="s">
        <v>223</v>
      </c>
      <c r="AK170" s="11"/>
      <c r="AL170" s="11" t="s">
        <v>237</v>
      </c>
      <c r="AM170" s="11" t="s">
        <v>238</v>
      </c>
      <c r="AN170" s="47" t="s">
        <v>47</v>
      </c>
      <c r="AO170" s="11"/>
      <c r="AP170" s="11" t="s">
        <v>53</v>
      </c>
      <c r="AQ170" s="2">
        <v>0</v>
      </c>
    </row>
    <row r="171" s="3" customFormat="1" ht="12" spans="1:43">
      <c r="A171" s="61">
        <v>161425</v>
      </c>
      <c r="B171" s="12" t="s">
        <v>437</v>
      </c>
      <c r="C171" s="12"/>
      <c r="D171" s="12"/>
      <c r="E171" s="12"/>
      <c r="F171" s="12">
        <v>0</v>
      </c>
      <c r="G171" s="12" t="s">
        <v>47</v>
      </c>
      <c r="H171" s="12" t="s">
        <v>45</v>
      </c>
      <c r="I171" s="12">
        <v>1</v>
      </c>
      <c r="J171" s="12">
        <v>0</v>
      </c>
      <c r="K171" s="12" t="s">
        <v>46</v>
      </c>
      <c r="L171" s="47" t="s">
        <v>47</v>
      </c>
      <c r="M171" s="12">
        <v>1020108</v>
      </c>
      <c r="N171" s="12">
        <v>0</v>
      </c>
      <c r="O171" s="47" t="s">
        <v>48</v>
      </c>
      <c r="P171" s="12">
        <v>1614</v>
      </c>
      <c r="Q171" s="12">
        <v>1874</v>
      </c>
      <c r="R171" s="12">
        <v>1033</v>
      </c>
      <c r="S171" s="44">
        <v>80</v>
      </c>
      <c r="T171" s="44">
        <v>84</v>
      </c>
      <c r="U171" s="12">
        <v>5</v>
      </c>
      <c r="V171" s="12"/>
      <c r="W171" s="47" t="s">
        <v>47</v>
      </c>
      <c r="X171" s="47" t="s">
        <v>259</v>
      </c>
      <c r="Y171" s="47" t="str">
        <f t="shared" ref="Y171" si="80">B171</f>
        <v>路不平</v>
      </c>
      <c r="Z171" s="12"/>
      <c r="AA171" s="12"/>
      <c r="AB171" s="12" t="s">
        <v>413</v>
      </c>
      <c r="AC171" s="12">
        <v>2084</v>
      </c>
      <c r="AD171" s="12">
        <v>2085</v>
      </c>
      <c r="AE171" s="12">
        <v>2086</v>
      </c>
      <c r="AF171" s="12">
        <v>2087</v>
      </c>
      <c r="AG171" s="12"/>
      <c r="AH171" s="47" t="s">
        <v>52</v>
      </c>
      <c r="AI171" s="12">
        <v>1</v>
      </c>
      <c r="AJ171" s="12" t="s">
        <v>132</v>
      </c>
      <c r="AK171" s="12" t="s">
        <v>133</v>
      </c>
      <c r="AL171" s="12" t="s">
        <v>134</v>
      </c>
      <c r="AM171" s="12" t="s">
        <v>135</v>
      </c>
      <c r="AN171" s="47" t="s">
        <v>47</v>
      </c>
      <c r="AO171" s="12"/>
      <c r="AP171" s="12" t="s">
        <v>53</v>
      </c>
      <c r="AQ171" s="2">
        <v>0</v>
      </c>
    </row>
    <row r="172" s="2" customFormat="1" ht="12" spans="1:43">
      <c r="A172" s="61">
        <v>161426</v>
      </c>
      <c r="B172" s="11" t="s">
        <v>413</v>
      </c>
      <c r="C172" s="11"/>
      <c r="D172" s="11"/>
      <c r="E172" s="11"/>
      <c r="F172" s="11">
        <v>0</v>
      </c>
      <c r="G172" s="11" t="s">
        <v>47</v>
      </c>
      <c r="H172" s="11" t="s">
        <v>45</v>
      </c>
      <c r="I172" s="11">
        <v>1</v>
      </c>
      <c r="J172" s="11">
        <v>0</v>
      </c>
      <c r="K172" s="11" t="s">
        <v>46</v>
      </c>
      <c r="L172" s="47" t="s">
        <v>47</v>
      </c>
      <c r="M172" s="11">
        <v>1020108</v>
      </c>
      <c r="N172" s="11">
        <v>0</v>
      </c>
      <c r="O172" s="47" t="s">
        <v>48</v>
      </c>
      <c r="P172" s="11">
        <v>1614</v>
      </c>
      <c r="Q172" s="11">
        <v>2060</v>
      </c>
      <c r="R172" s="11">
        <v>1089</v>
      </c>
      <c r="S172" s="44">
        <v>30</v>
      </c>
      <c r="T172" s="44">
        <v>78</v>
      </c>
      <c r="U172" s="11">
        <v>3</v>
      </c>
      <c r="V172" s="11"/>
      <c r="W172" s="47" t="s">
        <v>47</v>
      </c>
      <c r="X172" s="47" t="s">
        <v>259</v>
      </c>
      <c r="Y172" s="47" t="str">
        <f t="shared" ref="Y172" si="81">B172</f>
        <v>鬼将</v>
      </c>
      <c r="Z172" s="11"/>
      <c r="AA172" s="11"/>
      <c r="AB172" s="11" t="s">
        <v>413</v>
      </c>
      <c r="AC172" s="11">
        <v>2084</v>
      </c>
      <c r="AD172" s="11">
        <v>2085</v>
      </c>
      <c r="AE172" s="11">
        <v>2086</v>
      </c>
      <c r="AF172" s="11">
        <v>2087</v>
      </c>
      <c r="AG172" s="11"/>
      <c r="AH172" s="47" t="s">
        <v>52</v>
      </c>
      <c r="AI172" s="11">
        <v>1</v>
      </c>
      <c r="AJ172" s="11" t="s">
        <v>132</v>
      </c>
      <c r="AK172" s="11" t="s">
        <v>133</v>
      </c>
      <c r="AL172" s="11" t="s">
        <v>134</v>
      </c>
      <c r="AM172" s="11" t="s">
        <v>135</v>
      </c>
      <c r="AN172" s="47" t="s">
        <v>47</v>
      </c>
      <c r="AO172" s="11"/>
      <c r="AP172" s="11" t="s">
        <v>53</v>
      </c>
      <c r="AQ172" s="2">
        <v>0</v>
      </c>
    </row>
    <row r="173" s="3" customFormat="1" ht="12" spans="1:43">
      <c r="A173" s="61">
        <v>161427</v>
      </c>
      <c r="B173" s="12" t="s">
        <v>438</v>
      </c>
      <c r="C173" s="12"/>
      <c r="D173" s="12"/>
      <c r="E173" s="12"/>
      <c r="F173" s="12">
        <v>0</v>
      </c>
      <c r="G173" s="12" t="s">
        <v>47</v>
      </c>
      <c r="H173" s="12" t="s">
        <v>45</v>
      </c>
      <c r="I173" s="12">
        <v>1</v>
      </c>
      <c r="J173" s="12">
        <v>0</v>
      </c>
      <c r="K173" s="12" t="s">
        <v>46</v>
      </c>
      <c r="L173" s="47" t="s">
        <v>47</v>
      </c>
      <c r="M173" s="12">
        <v>1030010</v>
      </c>
      <c r="N173" s="12">
        <v>0</v>
      </c>
      <c r="O173" s="47" t="s">
        <v>48</v>
      </c>
      <c r="P173" s="12">
        <v>1614</v>
      </c>
      <c r="Q173" s="12">
        <v>665</v>
      </c>
      <c r="R173" s="12">
        <v>243</v>
      </c>
      <c r="S173" s="44">
        <v>90</v>
      </c>
      <c r="T173" s="44">
        <v>91</v>
      </c>
      <c r="U173" s="12">
        <v>3</v>
      </c>
      <c r="V173" s="12"/>
      <c r="W173" s="47" t="s">
        <v>47</v>
      </c>
      <c r="X173" s="47" t="s">
        <v>259</v>
      </c>
      <c r="Y173" s="47" t="str">
        <f t="shared" ref="Y173" si="82">B173</f>
        <v>时空守护者</v>
      </c>
      <c r="Z173" s="12"/>
      <c r="AA173" s="12"/>
      <c r="AB173" s="12" t="s">
        <v>438</v>
      </c>
      <c r="AC173" s="12">
        <v>2296</v>
      </c>
      <c r="AD173" s="12">
        <v>2297</v>
      </c>
      <c r="AE173" s="12" t="s">
        <v>51</v>
      </c>
      <c r="AF173" s="12" t="s">
        <v>51</v>
      </c>
      <c r="AG173" s="12"/>
      <c r="AH173" s="47" t="s">
        <v>52</v>
      </c>
      <c r="AI173" s="12">
        <v>1</v>
      </c>
      <c r="AJ173" s="12" t="s">
        <v>223</v>
      </c>
      <c r="AK173" s="12"/>
      <c r="AL173" s="12"/>
      <c r="AM173" s="12"/>
      <c r="AN173" s="47" t="s">
        <v>47</v>
      </c>
      <c r="AO173" s="12"/>
      <c r="AP173" s="12" t="s">
        <v>53</v>
      </c>
      <c r="AQ173" s="2">
        <v>0</v>
      </c>
    </row>
    <row r="174" s="3" customFormat="1" ht="12" spans="1:43">
      <c r="A174" s="61">
        <v>161428</v>
      </c>
      <c r="B174" s="12" t="s">
        <v>413</v>
      </c>
      <c r="C174" s="12"/>
      <c r="D174" s="12"/>
      <c r="E174" s="12"/>
      <c r="F174" s="12">
        <v>0</v>
      </c>
      <c r="G174" s="12" t="s">
        <v>47</v>
      </c>
      <c r="H174" s="12" t="s">
        <v>45</v>
      </c>
      <c r="I174" s="12">
        <v>1</v>
      </c>
      <c r="J174" s="12">
        <v>1</v>
      </c>
      <c r="K174" s="12" t="s">
        <v>46</v>
      </c>
      <c r="L174" s="47" t="s">
        <v>47</v>
      </c>
      <c r="M174" s="12">
        <v>1020108</v>
      </c>
      <c r="N174" s="12">
        <v>0</v>
      </c>
      <c r="O174" s="47" t="s">
        <v>48</v>
      </c>
      <c r="P174" s="12">
        <v>1614</v>
      </c>
      <c r="Q174" s="12">
        <v>674</v>
      </c>
      <c r="R174" s="12">
        <v>258</v>
      </c>
      <c r="S174" s="44">
        <v>59</v>
      </c>
      <c r="T174" s="44">
        <v>349</v>
      </c>
      <c r="U174" s="12">
        <v>3</v>
      </c>
      <c r="V174" s="12"/>
      <c r="W174" s="47" t="s">
        <v>47</v>
      </c>
      <c r="X174" s="47" t="s">
        <v>259</v>
      </c>
      <c r="Y174" s="47" t="str">
        <f t="shared" ref="Y174" si="83">B174</f>
        <v>鬼将</v>
      </c>
      <c r="Z174" s="12"/>
      <c r="AA174" s="12"/>
      <c r="AB174" s="12" t="s">
        <v>413</v>
      </c>
      <c r="AC174" s="12">
        <v>2084</v>
      </c>
      <c r="AD174" s="12">
        <v>2085</v>
      </c>
      <c r="AE174" s="12">
        <v>2086</v>
      </c>
      <c r="AF174" s="12">
        <v>2087</v>
      </c>
      <c r="AG174" s="12"/>
      <c r="AH174" s="47" t="s">
        <v>52</v>
      </c>
      <c r="AI174" s="12">
        <v>0</v>
      </c>
      <c r="AJ174" s="12" t="s">
        <v>132</v>
      </c>
      <c r="AK174" s="12" t="s">
        <v>133</v>
      </c>
      <c r="AL174" s="12" t="s">
        <v>134</v>
      </c>
      <c r="AM174" s="12" t="s">
        <v>135</v>
      </c>
      <c r="AN174" s="47" t="s">
        <v>47</v>
      </c>
      <c r="AO174" s="12"/>
      <c r="AP174" s="12" t="s">
        <v>53</v>
      </c>
      <c r="AQ174" s="2">
        <v>0</v>
      </c>
    </row>
    <row r="175" s="3" customFormat="1" ht="12" spans="1:43">
      <c r="A175" s="61">
        <v>161429</v>
      </c>
      <c r="B175" s="12" t="s">
        <v>383</v>
      </c>
      <c r="C175" s="12"/>
      <c r="D175" s="12"/>
      <c r="E175" s="12"/>
      <c r="F175" s="12">
        <v>0</v>
      </c>
      <c r="G175" s="12" t="s">
        <v>47</v>
      </c>
      <c r="H175" s="12" t="s">
        <v>45</v>
      </c>
      <c r="I175" s="12">
        <v>1</v>
      </c>
      <c r="J175" s="12">
        <v>1</v>
      </c>
      <c r="K175" s="12" t="s">
        <v>46</v>
      </c>
      <c r="L175" s="47" t="s">
        <v>47</v>
      </c>
      <c r="M175" s="12">
        <v>1020118</v>
      </c>
      <c r="N175" s="12">
        <v>0</v>
      </c>
      <c r="O175" s="47" t="s">
        <v>48</v>
      </c>
      <c r="P175" s="12">
        <v>1614</v>
      </c>
      <c r="Q175" s="12">
        <v>812</v>
      </c>
      <c r="R175" s="12">
        <v>299</v>
      </c>
      <c r="S175" s="44">
        <f t="shared" ref="S175" si="84">FLOOR(Q175/16,1)</f>
        <v>50</v>
      </c>
      <c r="T175" s="44">
        <f t="shared" ref="T175" si="85">FLOOR(R175/16,1)</f>
        <v>18</v>
      </c>
      <c r="U175" s="12">
        <v>5</v>
      </c>
      <c r="V175" s="12"/>
      <c r="W175" s="47" t="s">
        <v>47</v>
      </c>
      <c r="X175" s="47" t="s">
        <v>261</v>
      </c>
      <c r="Y175" s="47" t="str">
        <f t="shared" ref="Y175" si="86">B175</f>
        <v>唐唐</v>
      </c>
      <c r="Z175" s="12"/>
      <c r="AA175" s="12"/>
      <c r="AB175" s="12" t="s">
        <v>383</v>
      </c>
      <c r="AC175" s="12">
        <v>2080</v>
      </c>
      <c r="AD175" s="12">
        <v>2081</v>
      </c>
      <c r="AE175" s="12">
        <v>2082</v>
      </c>
      <c r="AF175" s="12">
        <v>2083</v>
      </c>
      <c r="AG175" s="12"/>
      <c r="AH175" s="47" t="s">
        <v>52</v>
      </c>
      <c r="AI175" s="12">
        <v>0</v>
      </c>
      <c r="AJ175" s="12" t="s">
        <v>262</v>
      </c>
      <c r="AK175" s="12" t="s">
        <v>263</v>
      </c>
      <c r="AL175" s="12" t="s">
        <v>264</v>
      </c>
      <c r="AM175" s="12" t="s">
        <v>265</v>
      </c>
      <c r="AN175" s="47" t="s">
        <v>47</v>
      </c>
      <c r="AO175" s="12"/>
      <c r="AP175" s="12" t="s">
        <v>53</v>
      </c>
      <c r="AQ175" s="2">
        <v>0</v>
      </c>
    </row>
    <row r="176" s="10" customFormat="1" ht="12" spans="1:43">
      <c r="A176" s="61">
        <v>161430</v>
      </c>
      <c r="B176" s="63" t="s">
        <v>439</v>
      </c>
      <c r="C176" s="63"/>
      <c r="D176" s="63"/>
      <c r="E176" s="63"/>
      <c r="F176" s="63">
        <v>0</v>
      </c>
      <c r="G176" s="63">
        <v>0</v>
      </c>
      <c r="H176" s="63">
        <v>1</v>
      </c>
      <c r="I176" s="63">
        <v>1</v>
      </c>
      <c r="J176" s="12">
        <v>1</v>
      </c>
      <c r="K176" s="63" t="s">
        <v>46</v>
      </c>
      <c r="L176" s="47">
        <v>0</v>
      </c>
      <c r="M176" s="63">
        <v>1020119</v>
      </c>
      <c r="N176" s="63">
        <v>0</v>
      </c>
      <c r="O176" s="47">
        <v>-1</v>
      </c>
      <c r="P176" s="63">
        <v>1614</v>
      </c>
      <c r="Q176" s="63">
        <v>1434</v>
      </c>
      <c r="R176" s="63">
        <v>1509</v>
      </c>
      <c r="S176" s="44">
        <v>87</v>
      </c>
      <c r="T176" s="44">
        <v>45</v>
      </c>
      <c r="U176" s="63">
        <v>3</v>
      </c>
      <c r="V176" s="63"/>
      <c r="W176" s="47">
        <v>0</v>
      </c>
      <c r="X176" s="47"/>
      <c r="Y176" s="47" t="str">
        <f t="shared" ref="Y176" si="87">B176</f>
        <v>大大姐</v>
      </c>
      <c r="Z176" s="63"/>
      <c r="AA176" s="63"/>
      <c r="AB176" s="63"/>
      <c r="AC176" s="63">
        <v>2371</v>
      </c>
      <c r="AD176" s="63">
        <v>2372</v>
      </c>
      <c r="AE176" s="63">
        <v>2373</v>
      </c>
      <c r="AF176" s="63">
        <v>2374</v>
      </c>
      <c r="AG176" s="63"/>
      <c r="AH176" s="47" t="s">
        <v>52</v>
      </c>
      <c r="AI176" s="63">
        <v>0</v>
      </c>
      <c r="AJ176" s="63" t="s">
        <v>203</v>
      </c>
      <c r="AK176" s="63" t="s">
        <v>204</v>
      </c>
      <c r="AL176" s="63" t="s">
        <v>205</v>
      </c>
      <c r="AM176" s="63" t="s">
        <v>206</v>
      </c>
      <c r="AN176" s="47">
        <v>0</v>
      </c>
      <c r="AO176" s="63"/>
      <c r="AP176" s="63" t="s">
        <v>53</v>
      </c>
      <c r="AQ176" s="2">
        <v>0</v>
      </c>
    </row>
    <row r="177" s="15" customFormat="1" spans="1:43">
      <c r="A177" s="69">
        <v>161431</v>
      </c>
      <c r="B177" s="70" t="s">
        <v>440</v>
      </c>
      <c r="C177" s="69"/>
      <c r="D177" s="69"/>
      <c r="E177" s="69"/>
      <c r="F177" s="69">
        <v>0</v>
      </c>
      <c r="G177" s="69" t="s">
        <v>47</v>
      </c>
      <c r="H177" s="69" t="s">
        <v>45</v>
      </c>
      <c r="I177" s="69" t="s">
        <v>45</v>
      </c>
      <c r="J177" s="69">
        <v>0</v>
      </c>
      <c r="K177" s="69" t="s">
        <v>46</v>
      </c>
      <c r="L177" s="69" t="s">
        <v>47</v>
      </c>
      <c r="M177" s="69">
        <v>1030024</v>
      </c>
      <c r="N177" s="69" t="s">
        <v>45</v>
      </c>
      <c r="O177" s="69" t="s">
        <v>48</v>
      </c>
      <c r="P177" s="69">
        <v>1692</v>
      </c>
      <c r="Q177" s="69">
        <v>534</v>
      </c>
      <c r="R177" s="69">
        <v>2133</v>
      </c>
      <c r="S177" s="69">
        <v>147</v>
      </c>
      <c r="T177" s="69">
        <v>237</v>
      </c>
      <c r="U177" s="69">
        <v>3</v>
      </c>
      <c r="V177" s="69"/>
      <c r="W177" s="69" t="s">
        <v>47</v>
      </c>
      <c r="X177" s="69" t="s">
        <v>441</v>
      </c>
      <c r="Y177" s="69" t="s">
        <v>440</v>
      </c>
      <c r="Z177" s="69" t="s">
        <v>442</v>
      </c>
      <c r="AA177" s="69"/>
      <c r="AB177" s="69" t="s">
        <v>442</v>
      </c>
      <c r="AC177" s="69">
        <v>2800</v>
      </c>
      <c r="AD177" s="69"/>
      <c r="AE177" s="69"/>
      <c r="AF177" s="69"/>
      <c r="AG177" s="69"/>
      <c r="AH177" s="69" t="s">
        <v>52</v>
      </c>
      <c r="AI177" s="69" t="s">
        <v>47</v>
      </c>
      <c r="AJ177" s="69" t="s">
        <v>177</v>
      </c>
      <c r="AK177" s="69" t="s">
        <v>178</v>
      </c>
      <c r="AL177" s="69" t="s">
        <v>179</v>
      </c>
      <c r="AM177" s="69" t="s">
        <v>180</v>
      </c>
      <c r="AN177" s="72">
        <v>0</v>
      </c>
      <c r="AO177" s="69"/>
      <c r="AP177" s="69" t="s">
        <v>53</v>
      </c>
      <c r="AQ177" s="15">
        <v>0</v>
      </c>
    </row>
    <row r="178" s="2" customFormat="1" ht="12.75" spans="1:43">
      <c r="A178" s="53">
        <v>161501</v>
      </c>
      <c r="B178" s="11" t="s">
        <v>443</v>
      </c>
      <c r="C178" s="11"/>
      <c r="D178" s="11"/>
      <c r="E178" s="11"/>
      <c r="F178" s="11">
        <v>0</v>
      </c>
      <c r="G178" s="11" t="s">
        <v>47</v>
      </c>
      <c r="H178" s="11">
        <v>1.2</v>
      </c>
      <c r="I178" s="11" t="s">
        <v>45</v>
      </c>
      <c r="J178" s="11">
        <v>1</v>
      </c>
      <c r="K178" s="11" t="s">
        <v>46</v>
      </c>
      <c r="L178" s="47" t="s">
        <v>47</v>
      </c>
      <c r="M178" s="50">
        <v>1020108</v>
      </c>
      <c r="N178" s="11">
        <v>0</v>
      </c>
      <c r="O178" s="47" t="s">
        <v>48</v>
      </c>
      <c r="P178" s="11">
        <v>1615</v>
      </c>
      <c r="Q178" s="11">
        <v>1609</v>
      </c>
      <c r="R178" s="11">
        <v>2120</v>
      </c>
      <c r="S178" s="44">
        <v>260</v>
      </c>
      <c r="T178" s="44">
        <v>197</v>
      </c>
      <c r="U178" s="11">
        <v>3</v>
      </c>
      <c r="V178" s="11"/>
      <c r="W178" s="47" t="s">
        <v>47</v>
      </c>
      <c r="X178" s="47" t="s">
        <v>444</v>
      </c>
      <c r="Y178" s="47" t="str">
        <f t="shared" ref="Y178" si="88">B178</f>
        <v>钟馗</v>
      </c>
      <c r="Z178" s="11"/>
      <c r="AA178" s="11" t="s">
        <v>445</v>
      </c>
      <c r="AB178" s="11" t="s">
        <v>446</v>
      </c>
      <c r="AC178" s="11">
        <v>2140</v>
      </c>
      <c r="AD178" s="11" t="s">
        <v>51</v>
      </c>
      <c r="AE178" s="11" t="s">
        <v>51</v>
      </c>
      <c r="AF178" s="11" t="s">
        <v>51</v>
      </c>
      <c r="AG178" s="11"/>
      <c r="AH178" s="47" t="s">
        <v>52</v>
      </c>
      <c r="AI178" s="11" t="s">
        <v>47</v>
      </c>
      <c r="AJ178" s="11" t="s">
        <v>223</v>
      </c>
      <c r="AK178" s="11"/>
      <c r="AL178" s="11" t="s">
        <v>237</v>
      </c>
      <c r="AM178" s="11" t="s">
        <v>238</v>
      </c>
      <c r="AN178" s="47" t="s">
        <v>47</v>
      </c>
      <c r="AO178" s="11"/>
      <c r="AP178" s="11" t="s">
        <v>53</v>
      </c>
      <c r="AQ178" s="2">
        <v>0</v>
      </c>
    </row>
    <row r="179" s="3" customFormat="1" ht="12.75" spans="1:43">
      <c r="A179" s="53">
        <v>161502</v>
      </c>
      <c r="B179" s="12" t="s">
        <v>447</v>
      </c>
      <c r="C179" s="12"/>
      <c r="D179" s="12"/>
      <c r="E179" s="12"/>
      <c r="F179" s="12">
        <v>0</v>
      </c>
      <c r="G179" s="12" t="s">
        <v>47</v>
      </c>
      <c r="H179" s="12" t="s">
        <v>45</v>
      </c>
      <c r="I179" s="12" t="s">
        <v>45</v>
      </c>
      <c r="J179" s="12">
        <v>1</v>
      </c>
      <c r="K179" s="12" t="s">
        <v>295</v>
      </c>
      <c r="L179" s="47" t="s">
        <v>47</v>
      </c>
      <c r="M179" s="64">
        <v>1030009</v>
      </c>
      <c r="N179" s="12">
        <v>0</v>
      </c>
      <c r="O179" s="47" t="s">
        <v>48</v>
      </c>
      <c r="P179" s="12">
        <v>1615</v>
      </c>
      <c r="Q179" s="12">
        <v>964</v>
      </c>
      <c r="R179" s="12">
        <v>1072</v>
      </c>
      <c r="S179" s="44">
        <v>561</v>
      </c>
      <c r="T179" s="44">
        <v>209</v>
      </c>
      <c r="U179" s="12">
        <v>3</v>
      </c>
      <c r="V179" s="12"/>
      <c r="W179" s="47" t="s">
        <v>47</v>
      </c>
      <c r="X179" s="47" t="s">
        <v>448</v>
      </c>
      <c r="Y179" s="47" t="str">
        <f t="shared" ref="Y179:Y200" si="89">B179</f>
        <v>药店老板</v>
      </c>
      <c r="Z179" s="12"/>
      <c r="AA179" s="12"/>
      <c r="AB179" s="12" t="s">
        <v>447</v>
      </c>
      <c r="AC179" s="12">
        <v>2253</v>
      </c>
      <c r="AD179" s="12">
        <v>2254</v>
      </c>
      <c r="AE179" s="12">
        <v>2255</v>
      </c>
      <c r="AF179" s="12">
        <v>2255</v>
      </c>
      <c r="AG179" s="12"/>
      <c r="AH179" s="47" t="s">
        <v>52</v>
      </c>
      <c r="AI179" s="12" t="s">
        <v>47</v>
      </c>
      <c r="AJ179" s="12" t="s">
        <v>223</v>
      </c>
      <c r="AK179" s="12"/>
      <c r="AL179" s="12" t="s">
        <v>237</v>
      </c>
      <c r="AM179" s="12" t="s">
        <v>238</v>
      </c>
      <c r="AN179" s="47" t="s">
        <v>47</v>
      </c>
      <c r="AO179" s="12"/>
      <c r="AP179" s="12" t="s">
        <v>298</v>
      </c>
      <c r="AQ179" s="2">
        <v>0</v>
      </c>
    </row>
    <row r="180" s="7" customFormat="1" ht="12.75" spans="1:43">
      <c r="A180" s="53">
        <v>161503</v>
      </c>
      <c r="B180" s="44" t="s">
        <v>449</v>
      </c>
      <c r="C180" s="44"/>
      <c r="D180" s="44"/>
      <c r="E180" s="44"/>
      <c r="F180" s="44">
        <v>0</v>
      </c>
      <c r="G180" s="44" t="s">
        <v>47</v>
      </c>
      <c r="H180" s="44" t="s">
        <v>45</v>
      </c>
      <c r="I180" s="44" t="s">
        <v>45</v>
      </c>
      <c r="J180" s="44">
        <v>1</v>
      </c>
      <c r="K180" s="44" t="s">
        <v>295</v>
      </c>
      <c r="L180" s="47" t="s">
        <v>47</v>
      </c>
      <c r="M180" s="50">
        <v>1020141</v>
      </c>
      <c r="N180" s="44">
        <v>0</v>
      </c>
      <c r="O180" s="47" t="s">
        <v>48</v>
      </c>
      <c r="P180" s="44">
        <v>1615</v>
      </c>
      <c r="Q180" s="44">
        <v>3394</v>
      </c>
      <c r="R180" s="44">
        <v>2503</v>
      </c>
      <c r="S180" s="44">
        <v>536</v>
      </c>
      <c r="T180" s="44">
        <v>196</v>
      </c>
      <c r="U180" s="44">
        <v>5</v>
      </c>
      <c r="V180" s="44"/>
      <c r="W180" s="47" t="s">
        <v>47</v>
      </c>
      <c r="X180" s="47" t="s">
        <v>450</v>
      </c>
      <c r="Y180" s="47" t="str">
        <f t="shared" si="89"/>
        <v>酒店老板</v>
      </c>
      <c r="Z180" s="44"/>
      <c r="AA180" s="44"/>
      <c r="AB180" s="44" t="s">
        <v>451</v>
      </c>
      <c r="AC180" s="44">
        <v>2256</v>
      </c>
      <c r="AD180" s="44">
        <v>2257</v>
      </c>
      <c r="AE180" s="44">
        <v>2258</v>
      </c>
      <c r="AF180" s="44">
        <v>2258</v>
      </c>
      <c r="AG180" s="44"/>
      <c r="AH180" s="47" t="s">
        <v>52</v>
      </c>
      <c r="AI180" s="44" t="s">
        <v>47</v>
      </c>
      <c r="AJ180" s="44" t="s">
        <v>203</v>
      </c>
      <c r="AK180" s="44" t="s">
        <v>204</v>
      </c>
      <c r="AL180" s="44" t="s">
        <v>205</v>
      </c>
      <c r="AM180" s="44" t="s">
        <v>206</v>
      </c>
      <c r="AN180" s="47" t="s">
        <v>47</v>
      </c>
      <c r="AO180" s="44"/>
      <c r="AP180" s="44" t="s">
        <v>298</v>
      </c>
      <c r="AQ180" s="2">
        <v>0</v>
      </c>
    </row>
    <row r="181" s="7" customFormat="1" ht="12.75" spans="1:43">
      <c r="A181" s="53">
        <v>161504</v>
      </c>
      <c r="B181" s="44" t="s">
        <v>452</v>
      </c>
      <c r="C181" s="44"/>
      <c r="D181" s="44"/>
      <c r="E181" s="44"/>
      <c r="F181" s="44">
        <v>0</v>
      </c>
      <c r="G181" s="44" t="s">
        <v>47</v>
      </c>
      <c r="H181" s="44" t="s">
        <v>45</v>
      </c>
      <c r="I181" s="44" t="s">
        <v>45</v>
      </c>
      <c r="J181" s="44">
        <v>1</v>
      </c>
      <c r="K181" s="44" t="s">
        <v>295</v>
      </c>
      <c r="L181" s="47" t="s">
        <v>47</v>
      </c>
      <c r="M181" s="50">
        <v>1020141</v>
      </c>
      <c r="N181" s="44">
        <v>0</v>
      </c>
      <c r="O181" s="47" t="s">
        <v>48</v>
      </c>
      <c r="P181" s="44">
        <v>1615</v>
      </c>
      <c r="Q181" s="44">
        <v>3368</v>
      </c>
      <c r="R181" s="44">
        <v>3994</v>
      </c>
      <c r="S181" s="44">
        <v>552</v>
      </c>
      <c r="T181" s="44">
        <v>412</v>
      </c>
      <c r="U181" s="44">
        <v>5</v>
      </c>
      <c r="V181" s="44"/>
      <c r="W181" s="47" t="s">
        <v>47</v>
      </c>
      <c r="X181" s="47" t="s">
        <v>453</v>
      </c>
      <c r="Y181" s="47" t="str">
        <f t="shared" si="89"/>
        <v>兵器铺老板</v>
      </c>
      <c r="Z181" s="44"/>
      <c r="AA181" s="44"/>
      <c r="AB181" s="44" t="s">
        <v>454</v>
      </c>
      <c r="AC181" s="44">
        <v>2259</v>
      </c>
      <c r="AD181" s="44">
        <v>2260</v>
      </c>
      <c r="AE181" s="44">
        <v>2261</v>
      </c>
      <c r="AF181" s="44">
        <v>2259</v>
      </c>
      <c r="AG181" s="44"/>
      <c r="AH181" s="47" t="s">
        <v>52</v>
      </c>
      <c r="AI181" s="44" t="s">
        <v>47</v>
      </c>
      <c r="AJ181" s="44" t="s">
        <v>223</v>
      </c>
      <c r="AK181" s="44"/>
      <c r="AL181" s="44" t="s">
        <v>237</v>
      </c>
      <c r="AM181" s="44" t="s">
        <v>238</v>
      </c>
      <c r="AN181" s="47" t="s">
        <v>47</v>
      </c>
      <c r="AO181" s="44"/>
      <c r="AP181" s="44" t="s">
        <v>298</v>
      </c>
      <c r="AQ181" s="2">
        <v>0</v>
      </c>
    </row>
    <row r="182" s="7" customFormat="1" ht="12.75" spans="1:43">
      <c r="A182" s="53">
        <v>161505</v>
      </c>
      <c r="B182" s="44" t="s">
        <v>455</v>
      </c>
      <c r="C182" s="44"/>
      <c r="D182" s="44"/>
      <c r="E182" s="44"/>
      <c r="F182" s="44">
        <v>0</v>
      </c>
      <c r="G182" s="44" t="s">
        <v>47</v>
      </c>
      <c r="H182" s="44" t="s">
        <v>45</v>
      </c>
      <c r="I182" s="44" t="s">
        <v>45</v>
      </c>
      <c r="J182" s="44">
        <v>1</v>
      </c>
      <c r="K182" s="44" t="s">
        <v>295</v>
      </c>
      <c r="L182" s="47" t="s">
        <v>47</v>
      </c>
      <c r="M182" s="66">
        <v>530052</v>
      </c>
      <c r="N182" s="44">
        <v>0</v>
      </c>
      <c r="O182" s="47" t="s">
        <v>48</v>
      </c>
      <c r="P182" s="44">
        <v>1615</v>
      </c>
      <c r="Q182" s="44">
        <v>1290</v>
      </c>
      <c r="R182" s="44">
        <v>2651</v>
      </c>
      <c r="S182" s="44">
        <v>289</v>
      </c>
      <c r="T182" s="44">
        <v>182</v>
      </c>
      <c r="U182" s="44">
        <v>3</v>
      </c>
      <c r="V182" s="44"/>
      <c r="W182" s="47" t="s">
        <v>47</v>
      </c>
      <c r="X182" s="47" t="s">
        <v>456</v>
      </c>
      <c r="Y182" s="47" t="str">
        <f t="shared" si="89"/>
        <v>花香香</v>
      </c>
      <c r="Z182" s="44"/>
      <c r="AA182" s="44" t="s">
        <v>457</v>
      </c>
      <c r="AB182" s="44" t="s">
        <v>458</v>
      </c>
      <c r="AC182" s="44">
        <v>2262</v>
      </c>
      <c r="AD182" s="44">
        <v>2263</v>
      </c>
      <c r="AE182" s="44">
        <v>2264</v>
      </c>
      <c r="AF182" s="44">
        <v>2264</v>
      </c>
      <c r="AG182" s="44"/>
      <c r="AH182" s="47" t="s">
        <v>52</v>
      </c>
      <c r="AI182" s="44" t="s">
        <v>47</v>
      </c>
      <c r="AJ182" s="44" t="s">
        <v>203</v>
      </c>
      <c r="AK182" s="44" t="s">
        <v>204</v>
      </c>
      <c r="AL182" s="44" t="s">
        <v>205</v>
      </c>
      <c r="AM182" s="44" t="s">
        <v>206</v>
      </c>
      <c r="AN182" s="47" t="s">
        <v>47</v>
      </c>
      <c r="AO182" s="44"/>
      <c r="AP182" s="44" t="s">
        <v>298</v>
      </c>
      <c r="AQ182" s="2">
        <v>0</v>
      </c>
    </row>
    <row r="183" s="7" customFormat="1" ht="12.75" spans="1:43">
      <c r="A183" s="53">
        <v>161506</v>
      </c>
      <c r="B183" s="44" t="s">
        <v>459</v>
      </c>
      <c r="C183" s="44"/>
      <c r="D183" s="44"/>
      <c r="E183" s="44"/>
      <c r="F183" s="44">
        <v>0</v>
      </c>
      <c r="G183" s="44" t="s">
        <v>47</v>
      </c>
      <c r="H183" s="44" t="s">
        <v>45</v>
      </c>
      <c r="I183" s="44" t="s">
        <v>45</v>
      </c>
      <c r="J183" s="44">
        <v>1</v>
      </c>
      <c r="K183" s="44" t="s">
        <v>295</v>
      </c>
      <c r="L183" s="47" t="s">
        <v>47</v>
      </c>
      <c r="M183" s="64">
        <v>1030001</v>
      </c>
      <c r="N183" s="44">
        <v>0</v>
      </c>
      <c r="O183" s="47" t="s">
        <v>48</v>
      </c>
      <c r="P183" s="44">
        <v>1615</v>
      </c>
      <c r="Q183" s="44">
        <v>3115</v>
      </c>
      <c r="R183" s="44">
        <v>1277</v>
      </c>
      <c r="S183" s="44">
        <v>400</v>
      </c>
      <c r="T183" s="44">
        <v>438</v>
      </c>
      <c r="U183" s="44">
        <v>3</v>
      </c>
      <c r="V183" s="44"/>
      <c r="W183" s="47" t="s">
        <v>47</v>
      </c>
      <c r="X183" s="47" t="s">
        <v>460</v>
      </c>
      <c r="Y183" s="47" t="str">
        <f t="shared" si="89"/>
        <v>商会</v>
      </c>
      <c r="Z183" s="44"/>
      <c r="AA183" s="44" t="s">
        <v>461</v>
      </c>
      <c r="AB183" s="44" t="s">
        <v>462</v>
      </c>
      <c r="AC183" s="44">
        <v>2266</v>
      </c>
      <c r="AD183" s="44">
        <v>2267</v>
      </c>
      <c r="AE183" s="44">
        <v>2268</v>
      </c>
      <c r="AF183" s="7" t="s">
        <v>51</v>
      </c>
      <c r="AG183" s="44"/>
      <c r="AH183" s="47" t="s">
        <v>52</v>
      </c>
      <c r="AI183" s="44" t="s">
        <v>47</v>
      </c>
      <c r="AJ183" s="44" t="s">
        <v>223</v>
      </c>
      <c r="AK183" s="44"/>
      <c r="AL183" s="44" t="s">
        <v>237</v>
      </c>
      <c r="AM183" s="44" t="s">
        <v>238</v>
      </c>
      <c r="AN183" s="47" t="s">
        <v>47</v>
      </c>
      <c r="AO183" s="44"/>
      <c r="AP183" s="44" t="s">
        <v>298</v>
      </c>
      <c r="AQ183" s="2">
        <v>0</v>
      </c>
    </row>
    <row r="184" s="7" customFormat="1" ht="12" spans="1:43">
      <c r="A184" s="53">
        <v>161507</v>
      </c>
      <c r="B184" s="44" t="s">
        <v>209</v>
      </c>
      <c r="C184" s="44"/>
      <c r="D184" s="44"/>
      <c r="E184" s="44"/>
      <c r="F184" s="44">
        <v>0</v>
      </c>
      <c r="G184" s="44" t="s">
        <v>47</v>
      </c>
      <c r="H184" s="44" t="s">
        <v>45</v>
      </c>
      <c r="I184" s="44" t="s">
        <v>45</v>
      </c>
      <c r="J184" s="44">
        <v>1</v>
      </c>
      <c r="K184" s="44" t="s">
        <v>46</v>
      </c>
      <c r="L184" s="47" t="s">
        <v>47</v>
      </c>
      <c r="M184" s="44">
        <v>1020131</v>
      </c>
      <c r="N184" s="44">
        <v>0</v>
      </c>
      <c r="O184" s="47" t="s">
        <v>48</v>
      </c>
      <c r="P184" s="44">
        <v>1615</v>
      </c>
      <c r="Q184" s="44">
        <v>1762</v>
      </c>
      <c r="R184" s="44">
        <v>713</v>
      </c>
      <c r="S184" s="44">
        <v>263</v>
      </c>
      <c r="T184" s="44">
        <v>178</v>
      </c>
      <c r="U184" s="44">
        <v>3</v>
      </c>
      <c r="V184" s="44"/>
      <c r="W184" s="47" t="s">
        <v>47</v>
      </c>
      <c r="X184" s="47" t="s">
        <v>210</v>
      </c>
      <c r="Y184" s="47" t="str">
        <f t="shared" si="89"/>
        <v>袁守城</v>
      </c>
      <c r="Z184" s="44" t="s">
        <v>463</v>
      </c>
      <c r="AA184" s="44"/>
      <c r="AB184" s="44" t="s">
        <v>209</v>
      </c>
      <c r="AC184" s="44">
        <v>2166</v>
      </c>
      <c r="AD184" s="44">
        <v>2167</v>
      </c>
      <c r="AE184" s="44">
        <v>2168</v>
      </c>
      <c r="AF184" s="44">
        <v>2169</v>
      </c>
      <c r="AG184" s="44"/>
      <c r="AH184" s="47" t="s">
        <v>52</v>
      </c>
      <c r="AI184" s="44" t="s">
        <v>47</v>
      </c>
      <c r="AJ184" s="44" t="s">
        <v>211</v>
      </c>
      <c r="AK184" s="44" t="s">
        <v>212</v>
      </c>
      <c r="AL184" s="44" t="s">
        <v>213</v>
      </c>
      <c r="AM184" s="44" t="s">
        <v>214</v>
      </c>
      <c r="AN184" s="47" t="s">
        <v>47</v>
      </c>
      <c r="AO184" s="44"/>
      <c r="AP184" s="44" t="s">
        <v>53</v>
      </c>
      <c r="AQ184" s="2">
        <v>0</v>
      </c>
    </row>
    <row r="185" s="7" customFormat="1" ht="12" spans="1:43">
      <c r="A185" s="53">
        <v>161508</v>
      </c>
      <c r="B185" s="44" t="s">
        <v>256</v>
      </c>
      <c r="C185" s="44"/>
      <c r="D185" s="44"/>
      <c r="E185" s="44"/>
      <c r="F185" s="44">
        <v>0</v>
      </c>
      <c r="G185" s="44" t="s">
        <v>47</v>
      </c>
      <c r="H185" s="44" t="s">
        <v>45</v>
      </c>
      <c r="I185" s="44" t="s">
        <v>45</v>
      </c>
      <c r="J185" s="44">
        <v>1</v>
      </c>
      <c r="K185" s="44" t="s">
        <v>46</v>
      </c>
      <c r="L185" s="47" t="s">
        <v>47</v>
      </c>
      <c r="M185" s="44">
        <v>1020131</v>
      </c>
      <c r="N185" s="44">
        <v>0</v>
      </c>
      <c r="O185" s="47" t="s">
        <v>48</v>
      </c>
      <c r="P185" s="44">
        <v>1615</v>
      </c>
      <c r="Q185" s="44">
        <v>2176</v>
      </c>
      <c r="R185" s="44">
        <v>562</v>
      </c>
      <c r="S185" s="44">
        <v>89</v>
      </c>
      <c r="T185" s="44">
        <v>262</v>
      </c>
      <c r="U185" s="44">
        <v>3</v>
      </c>
      <c r="V185" s="44"/>
      <c r="W185" s="47" t="s">
        <v>47</v>
      </c>
      <c r="X185" s="47" t="s">
        <v>464</v>
      </c>
      <c r="Y185" s="47" t="str">
        <f t="shared" si="89"/>
        <v>罗道人</v>
      </c>
      <c r="Z185" s="44"/>
      <c r="AA185" s="44"/>
      <c r="AB185" s="44" t="s">
        <v>465</v>
      </c>
      <c r="AC185" s="44">
        <v>2162</v>
      </c>
      <c r="AD185" s="44">
        <v>2163</v>
      </c>
      <c r="AE185" s="44">
        <v>2164</v>
      </c>
      <c r="AF185" s="44">
        <v>2165</v>
      </c>
      <c r="AG185" s="44"/>
      <c r="AH185" s="47" t="s">
        <v>52</v>
      </c>
      <c r="AI185" s="44" t="s">
        <v>47</v>
      </c>
      <c r="AJ185" s="44" t="s">
        <v>466</v>
      </c>
      <c r="AK185" s="44" t="s">
        <v>467</v>
      </c>
      <c r="AL185" s="44" t="s">
        <v>468</v>
      </c>
      <c r="AM185" s="44" t="s">
        <v>469</v>
      </c>
      <c r="AN185" s="47" t="s">
        <v>47</v>
      </c>
      <c r="AO185" s="44"/>
      <c r="AP185" s="44" t="s">
        <v>53</v>
      </c>
      <c r="AQ185" s="2">
        <v>0</v>
      </c>
    </row>
    <row r="186" s="7" customFormat="1" ht="12.75" spans="1:43">
      <c r="A186" s="53">
        <v>161509</v>
      </c>
      <c r="B186" s="68" t="s">
        <v>470</v>
      </c>
      <c r="C186" s="44"/>
      <c r="D186" s="44"/>
      <c r="E186" s="44"/>
      <c r="F186" s="44">
        <v>0</v>
      </c>
      <c r="G186" s="44" t="s">
        <v>47</v>
      </c>
      <c r="H186" s="44" t="s">
        <v>45</v>
      </c>
      <c r="I186" s="44" t="s">
        <v>45</v>
      </c>
      <c r="J186" s="44">
        <v>1</v>
      </c>
      <c r="K186" s="44" t="s">
        <v>46</v>
      </c>
      <c r="L186" s="47" t="s">
        <v>47</v>
      </c>
      <c r="M186" s="71">
        <v>540025</v>
      </c>
      <c r="N186" s="44">
        <v>0</v>
      </c>
      <c r="O186" s="47" t="s">
        <v>48</v>
      </c>
      <c r="P186" s="44">
        <v>1615</v>
      </c>
      <c r="Q186" s="44">
        <v>2688</v>
      </c>
      <c r="R186" s="44">
        <v>950</v>
      </c>
      <c r="S186" s="44">
        <v>139</v>
      </c>
      <c r="T186" s="44">
        <v>142</v>
      </c>
      <c r="U186" s="44">
        <v>3</v>
      </c>
      <c r="V186" s="44"/>
      <c r="W186" s="47" t="s">
        <v>47</v>
      </c>
      <c r="X186" s="47" t="s">
        <v>227</v>
      </c>
      <c r="Y186" s="47" t="str">
        <f t="shared" si="89"/>
        <v>神兽商店</v>
      </c>
      <c r="Z186" s="68" t="s">
        <v>470</v>
      </c>
      <c r="AA186" s="44"/>
      <c r="AB186" s="44" t="s">
        <v>471</v>
      </c>
      <c r="AC186" s="11">
        <v>2040</v>
      </c>
      <c r="AD186" s="11">
        <v>2041</v>
      </c>
      <c r="AE186" s="11">
        <v>2042</v>
      </c>
      <c r="AF186" s="11">
        <v>2043</v>
      </c>
      <c r="AG186" s="11"/>
      <c r="AH186" s="47" t="s">
        <v>52</v>
      </c>
      <c r="AI186" s="11" t="s">
        <v>47</v>
      </c>
      <c r="AJ186" s="11" t="s">
        <v>90</v>
      </c>
      <c r="AK186" s="11" t="s">
        <v>228</v>
      </c>
      <c r="AL186" s="11" t="s">
        <v>91</v>
      </c>
      <c r="AM186" s="11" t="s">
        <v>93</v>
      </c>
      <c r="AN186" s="47" t="s">
        <v>47</v>
      </c>
      <c r="AO186" s="44"/>
      <c r="AP186" s="44" t="s">
        <v>53</v>
      </c>
      <c r="AQ186" s="2">
        <v>0</v>
      </c>
    </row>
    <row r="187" s="7" customFormat="1" ht="12.75" spans="1:44">
      <c r="A187" s="53">
        <v>161510</v>
      </c>
      <c r="B187" s="44" t="s">
        <v>472</v>
      </c>
      <c r="C187" s="44"/>
      <c r="D187" s="44"/>
      <c r="E187" s="44"/>
      <c r="F187" s="44">
        <v>0</v>
      </c>
      <c r="G187" s="44" t="s">
        <v>47</v>
      </c>
      <c r="H187" s="44" t="s">
        <v>45</v>
      </c>
      <c r="I187" s="44" t="s">
        <v>45</v>
      </c>
      <c r="J187" s="44">
        <v>1</v>
      </c>
      <c r="K187" s="44" t="s">
        <v>295</v>
      </c>
      <c r="L187" s="47" t="s">
        <v>47</v>
      </c>
      <c r="M187" s="64">
        <v>1030011</v>
      </c>
      <c r="N187" s="44">
        <v>0</v>
      </c>
      <c r="O187" s="47" t="s">
        <v>48</v>
      </c>
      <c r="P187" s="44">
        <v>1615</v>
      </c>
      <c r="Q187" s="44">
        <v>475</v>
      </c>
      <c r="R187" s="44">
        <v>1423</v>
      </c>
      <c r="S187" s="44">
        <v>530</v>
      </c>
      <c r="T187" s="44">
        <v>192</v>
      </c>
      <c r="U187" s="44">
        <v>3</v>
      </c>
      <c r="V187" s="44"/>
      <c r="W187" s="47" t="s">
        <v>47</v>
      </c>
      <c r="X187" s="47" t="s">
        <v>473</v>
      </c>
      <c r="Y187" s="47" t="str">
        <f t="shared" si="89"/>
        <v>店小二</v>
      </c>
      <c r="Z187" s="44" t="s">
        <v>474</v>
      </c>
      <c r="AA187" s="44" t="s">
        <v>475</v>
      </c>
      <c r="AB187" s="44" t="s">
        <v>476</v>
      </c>
      <c r="AC187" s="44">
        <v>2690</v>
      </c>
      <c r="AD187" s="44">
        <v>2691</v>
      </c>
      <c r="AE187" s="44">
        <v>2692</v>
      </c>
      <c r="AF187" s="44">
        <v>2693</v>
      </c>
      <c r="AG187" s="44"/>
      <c r="AH187" s="47" t="s">
        <v>52</v>
      </c>
      <c r="AI187" s="44" t="s">
        <v>47</v>
      </c>
      <c r="AJ187" s="44"/>
      <c r="AK187" s="44"/>
      <c r="AL187" s="44"/>
      <c r="AM187" s="44"/>
      <c r="AN187" s="47" t="s">
        <v>47</v>
      </c>
      <c r="AO187" s="44"/>
      <c r="AP187" s="44" t="s">
        <v>298</v>
      </c>
      <c r="AQ187" s="2">
        <v>0</v>
      </c>
      <c r="AR187" s="7">
        <v>2</v>
      </c>
    </row>
    <row r="188" s="7" customFormat="1" ht="12.75" spans="1:43">
      <c r="A188" s="53">
        <v>161511</v>
      </c>
      <c r="B188" s="44" t="s">
        <v>477</v>
      </c>
      <c r="C188" s="44"/>
      <c r="D188" s="44"/>
      <c r="E188" s="44"/>
      <c r="F188" s="44">
        <v>1</v>
      </c>
      <c r="G188" s="44" t="s">
        <v>47</v>
      </c>
      <c r="H188" s="44" t="s">
        <v>45</v>
      </c>
      <c r="I188" s="44" t="s">
        <v>45</v>
      </c>
      <c r="J188" s="44">
        <v>1</v>
      </c>
      <c r="K188" s="44" t="s">
        <v>295</v>
      </c>
      <c r="L188" s="47" t="s">
        <v>47</v>
      </c>
      <c r="M188" s="64">
        <v>1030010</v>
      </c>
      <c r="N188" s="44">
        <v>0</v>
      </c>
      <c r="O188" s="47" t="s">
        <v>48</v>
      </c>
      <c r="P188" s="44">
        <v>1615</v>
      </c>
      <c r="Q188" s="44">
        <v>2266</v>
      </c>
      <c r="R188" s="44">
        <v>1609</v>
      </c>
      <c r="S188" s="44">
        <v>199</v>
      </c>
      <c r="T188" s="44">
        <v>236</v>
      </c>
      <c r="U188" s="44">
        <v>3</v>
      </c>
      <c r="V188" s="44"/>
      <c r="W188" s="47" t="s">
        <v>47</v>
      </c>
      <c r="X188" s="47" t="s">
        <v>478</v>
      </c>
      <c r="Y188" s="47" t="str">
        <f t="shared" si="89"/>
        <v>副本管理员</v>
      </c>
      <c r="Z188" s="44"/>
      <c r="AA188" s="44" t="s">
        <v>479</v>
      </c>
      <c r="AB188" s="44" t="s">
        <v>477</v>
      </c>
      <c r="AC188" s="44">
        <v>2269</v>
      </c>
      <c r="AD188" s="44">
        <v>2270</v>
      </c>
      <c r="AE188" s="44">
        <v>2271</v>
      </c>
      <c r="AF188" s="44">
        <v>2271</v>
      </c>
      <c r="AG188" s="44"/>
      <c r="AH188" s="47" t="s">
        <v>52</v>
      </c>
      <c r="AI188" s="44" t="s">
        <v>47</v>
      </c>
      <c r="AJ188" s="44" t="s">
        <v>223</v>
      </c>
      <c r="AK188" s="44"/>
      <c r="AL188" s="44" t="s">
        <v>237</v>
      </c>
      <c r="AM188" s="44" t="s">
        <v>238</v>
      </c>
      <c r="AN188" s="47" t="s">
        <v>47</v>
      </c>
      <c r="AO188" s="44"/>
      <c r="AP188" s="44" t="s">
        <v>298</v>
      </c>
      <c r="AQ188" s="2">
        <v>0</v>
      </c>
    </row>
    <row r="189" s="7" customFormat="1" ht="12" spans="1:43">
      <c r="A189" s="53">
        <v>161512</v>
      </c>
      <c r="B189" s="44" t="s">
        <v>480</v>
      </c>
      <c r="C189" s="44"/>
      <c r="D189" s="44"/>
      <c r="E189" s="44"/>
      <c r="F189" s="44">
        <v>0</v>
      </c>
      <c r="G189" s="44" t="s">
        <v>47</v>
      </c>
      <c r="H189" s="44" t="s">
        <v>45</v>
      </c>
      <c r="I189" s="44" t="s">
        <v>45</v>
      </c>
      <c r="J189" s="44">
        <v>1</v>
      </c>
      <c r="K189" s="44" t="s">
        <v>295</v>
      </c>
      <c r="L189" s="47" t="s">
        <v>47</v>
      </c>
      <c r="M189" s="44">
        <v>1030010</v>
      </c>
      <c r="N189" s="44">
        <v>0</v>
      </c>
      <c r="O189" s="47" t="s">
        <v>48</v>
      </c>
      <c r="P189" s="44">
        <v>1615</v>
      </c>
      <c r="Q189" s="44">
        <v>888</v>
      </c>
      <c r="R189" s="44">
        <v>3157</v>
      </c>
      <c r="S189" s="44">
        <v>115</v>
      </c>
      <c r="T189" s="44">
        <v>89</v>
      </c>
      <c r="U189" s="44">
        <v>3</v>
      </c>
      <c r="V189" s="44"/>
      <c r="W189" s="47" t="s">
        <v>47</v>
      </c>
      <c r="X189" s="47" t="s">
        <v>478</v>
      </c>
      <c r="Y189" s="47" t="str">
        <f t="shared" si="89"/>
        <v>擂台管理员</v>
      </c>
      <c r="Z189" s="44"/>
      <c r="AA189" s="44"/>
      <c r="AB189" s="44" t="s">
        <v>481</v>
      </c>
      <c r="AC189" s="44">
        <v>2269</v>
      </c>
      <c r="AD189" s="44">
        <v>2285</v>
      </c>
      <c r="AE189" s="44">
        <v>2286</v>
      </c>
      <c r="AF189" s="44" t="s">
        <v>51</v>
      </c>
      <c r="AG189" s="44"/>
      <c r="AH189" s="47" t="s">
        <v>52</v>
      </c>
      <c r="AI189" s="44" t="s">
        <v>47</v>
      </c>
      <c r="AJ189" s="44" t="s">
        <v>223</v>
      </c>
      <c r="AK189" s="44"/>
      <c r="AL189" s="44" t="s">
        <v>237</v>
      </c>
      <c r="AM189" s="44" t="s">
        <v>238</v>
      </c>
      <c r="AN189" s="47" t="s">
        <v>47</v>
      </c>
      <c r="AO189" s="44"/>
      <c r="AP189" s="44" t="s">
        <v>298</v>
      </c>
      <c r="AQ189" s="2">
        <v>0</v>
      </c>
    </row>
    <row r="190" s="7" customFormat="1" ht="12" spans="1:43">
      <c r="A190" s="53">
        <v>161513</v>
      </c>
      <c r="B190" s="44" t="s">
        <v>482</v>
      </c>
      <c r="C190" s="44"/>
      <c r="D190" s="44"/>
      <c r="E190" s="44"/>
      <c r="F190" s="44">
        <v>0</v>
      </c>
      <c r="G190" s="44" t="s">
        <v>47</v>
      </c>
      <c r="H190" s="44" t="s">
        <v>45</v>
      </c>
      <c r="I190" s="44" t="s">
        <v>45</v>
      </c>
      <c r="J190" s="44">
        <v>1</v>
      </c>
      <c r="K190" s="44" t="s">
        <v>295</v>
      </c>
      <c r="L190" s="47" t="s">
        <v>47</v>
      </c>
      <c r="M190" s="44">
        <v>1020124</v>
      </c>
      <c r="N190" s="44">
        <v>0</v>
      </c>
      <c r="O190" s="47" t="s">
        <v>48</v>
      </c>
      <c r="P190" s="44">
        <v>1615</v>
      </c>
      <c r="Q190" s="44">
        <v>2894</v>
      </c>
      <c r="R190" s="44">
        <v>2107</v>
      </c>
      <c r="S190" s="44">
        <v>117</v>
      </c>
      <c r="T190" s="44">
        <v>81</v>
      </c>
      <c r="U190" s="44">
        <v>3</v>
      </c>
      <c r="V190" s="44"/>
      <c r="W190" s="47" t="s">
        <v>47</v>
      </c>
      <c r="X190" s="47" t="s">
        <v>306</v>
      </c>
      <c r="Y190" s="47" t="str">
        <f t="shared" si="89"/>
        <v>合成强化重铸</v>
      </c>
      <c r="Z190" s="44"/>
      <c r="AA190" s="44" t="s">
        <v>483</v>
      </c>
      <c r="AB190" s="44" t="s">
        <v>484</v>
      </c>
      <c r="AC190" s="44">
        <v>2294</v>
      </c>
      <c r="AD190" s="44">
        <v>2295</v>
      </c>
      <c r="AE190" s="44" t="s">
        <v>51</v>
      </c>
      <c r="AF190" s="44" t="s">
        <v>51</v>
      </c>
      <c r="AG190" s="44"/>
      <c r="AH190" s="47" t="s">
        <v>52</v>
      </c>
      <c r="AI190" s="44" t="s">
        <v>47</v>
      </c>
      <c r="AJ190" s="44" t="s">
        <v>203</v>
      </c>
      <c r="AK190" s="44" t="s">
        <v>204</v>
      </c>
      <c r="AL190" s="44" t="s">
        <v>205</v>
      </c>
      <c r="AM190" s="44" t="s">
        <v>206</v>
      </c>
      <c r="AN190" s="47" t="s">
        <v>47</v>
      </c>
      <c r="AO190" s="44"/>
      <c r="AP190" s="44" t="s">
        <v>298</v>
      </c>
      <c r="AQ190" s="2">
        <v>0</v>
      </c>
    </row>
    <row r="191" s="7" customFormat="1" ht="12" spans="1:43">
      <c r="A191" s="53">
        <v>161515</v>
      </c>
      <c r="B191" s="44" t="s">
        <v>485</v>
      </c>
      <c r="C191" s="44"/>
      <c r="D191" s="44"/>
      <c r="E191" s="44"/>
      <c r="F191" s="44">
        <v>0</v>
      </c>
      <c r="G191" s="44" t="s">
        <v>47</v>
      </c>
      <c r="H191" s="44" t="s">
        <v>45</v>
      </c>
      <c r="I191" s="44" t="s">
        <v>45</v>
      </c>
      <c r="J191" s="44">
        <v>1</v>
      </c>
      <c r="K191" s="44" t="s">
        <v>295</v>
      </c>
      <c r="L191" s="47" t="s">
        <v>47</v>
      </c>
      <c r="M191" s="44">
        <v>1030011</v>
      </c>
      <c r="N191" s="44">
        <v>0</v>
      </c>
      <c r="O191" s="47" t="s">
        <v>48</v>
      </c>
      <c r="P191" s="44">
        <v>1615</v>
      </c>
      <c r="Q191" s="44">
        <f>S191*16</f>
        <v>6144</v>
      </c>
      <c r="R191" s="44">
        <f>T191*16</f>
        <v>2256</v>
      </c>
      <c r="S191" s="44">
        <v>384</v>
      </c>
      <c r="T191" s="44">
        <v>141</v>
      </c>
      <c r="U191" s="44">
        <v>5</v>
      </c>
      <c r="V191" s="44"/>
      <c r="W191" s="47" t="s">
        <v>47</v>
      </c>
      <c r="X191" s="47" t="s">
        <v>486</v>
      </c>
      <c r="Y191" s="47" t="str">
        <f t="shared" si="89"/>
        <v>门派闯关使者</v>
      </c>
      <c r="Z191" s="44" t="s">
        <v>485</v>
      </c>
      <c r="AA191" s="44"/>
      <c r="AB191" s="44" t="str">
        <f t="shared" ref="AB191:AB193" si="90">Y191</f>
        <v>门派闯关使者</v>
      </c>
      <c r="AC191" s="44">
        <v>2348</v>
      </c>
      <c r="AD191" s="44" t="s">
        <v>51</v>
      </c>
      <c r="AE191" s="44" t="s">
        <v>51</v>
      </c>
      <c r="AF191" s="44" t="s">
        <v>51</v>
      </c>
      <c r="AG191" s="44"/>
      <c r="AH191" s="47" t="s">
        <v>52</v>
      </c>
      <c r="AI191" s="44" t="s">
        <v>47</v>
      </c>
      <c r="AJ191" s="44" t="s">
        <v>203</v>
      </c>
      <c r="AK191" s="44" t="s">
        <v>204</v>
      </c>
      <c r="AL191" s="44" t="s">
        <v>205</v>
      </c>
      <c r="AM191" s="44" t="s">
        <v>206</v>
      </c>
      <c r="AN191" s="47" t="s">
        <v>47</v>
      </c>
      <c r="AO191" s="44"/>
      <c r="AP191" s="44" t="s">
        <v>298</v>
      </c>
      <c r="AQ191" s="2">
        <v>0</v>
      </c>
    </row>
    <row r="192" s="7" customFormat="1" ht="12.75" spans="1:43">
      <c r="A192" s="53">
        <v>161516</v>
      </c>
      <c r="B192" s="44" t="s">
        <v>487</v>
      </c>
      <c r="C192" s="44"/>
      <c r="D192" s="44"/>
      <c r="E192" s="44"/>
      <c r="F192" s="44">
        <v>0</v>
      </c>
      <c r="G192" s="44" t="s">
        <v>47</v>
      </c>
      <c r="H192" s="44" t="s">
        <v>45</v>
      </c>
      <c r="I192" s="44" t="s">
        <v>45</v>
      </c>
      <c r="J192" s="44">
        <v>1</v>
      </c>
      <c r="K192" s="44" t="s">
        <v>295</v>
      </c>
      <c r="L192" s="47" t="s">
        <v>47</v>
      </c>
      <c r="M192" s="50">
        <v>530060</v>
      </c>
      <c r="N192" s="44">
        <v>0</v>
      </c>
      <c r="O192" s="47" t="s">
        <v>48</v>
      </c>
      <c r="P192" s="44">
        <v>1694</v>
      </c>
      <c r="Q192" s="44">
        <v>1016</v>
      </c>
      <c r="R192" s="44">
        <v>1723</v>
      </c>
      <c r="S192" s="44">
        <v>337</v>
      </c>
      <c r="T192" s="44">
        <v>449</v>
      </c>
      <c r="U192" s="44">
        <v>3</v>
      </c>
      <c r="V192" s="44"/>
      <c r="W192" s="47" t="s">
        <v>47</v>
      </c>
      <c r="X192" s="47" t="s">
        <v>488</v>
      </c>
      <c r="Y192" s="47" t="str">
        <f t="shared" si="89"/>
        <v>染色师</v>
      </c>
      <c r="Z192" s="44" t="s">
        <v>489</v>
      </c>
      <c r="AA192" s="44" t="s">
        <v>490</v>
      </c>
      <c r="AB192" s="44" t="str">
        <f t="shared" si="90"/>
        <v>染色师</v>
      </c>
      <c r="AC192" s="44">
        <v>2344</v>
      </c>
      <c r="AD192" s="44">
        <v>2345</v>
      </c>
      <c r="AE192" s="44" t="s">
        <v>51</v>
      </c>
      <c r="AF192" s="44" t="s">
        <v>51</v>
      </c>
      <c r="AG192" s="44"/>
      <c r="AH192" s="47" t="s">
        <v>52</v>
      </c>
      <c r="AI192" s="44" t="s">
        <v>47</v>
      </c>
      <c r="AJ192" s="44" t="s">
        <v>203</v>
      </c>
      <c r="AK192" s="44"/>
      <c r="AL192" s="44" t="s">
        <v>204</v>
      </c>
      <c r="AM192" s="44" t="s">
        <v>205</v>
      </c>
      <c r="AN192" s="47" t="s">
        <v>47</v>
      </c>
      <c r="AO192" s="44"/>
      <c r="AP192" s="44" t="s">
        <v>298</v>
      </c>
      <c r="AQ192" s="2">
        <v>0</v>
      </c>
    </row>
    <row r="193" s="7" customFormat="1" ht="12.75" spans="1:43">
      <c r="A193" s="53">
        <v>161517</v>
      </c>
      <c r="B193" s="44" t="s">
        <v>242</v>
      </c>
      <c r="C193" s="44"/>
      <c r="D193" s="44"/>
      <c r="E193" s="44"/>
      <c r="F193" s="44">
        <v>0</v>
      </c>
      <c r="G193" s="44" t="s">
        <v>47</v>
      </c>
      <c r="H193" s="44" t="s">
        <v>45</v>
      </c>
      <c r="I193" s="44" t="s">
        <v>45</v>
      </c>
      <c r="J193" s="44">
        <v>1</v>
      </c>
      <c r="K193" s="44" t="s">
        <v>295</v>
      </c>
      <c r="L193" s="47" t="s">
        <v>47</v>
      </c>
      <c r="M193" s="64">
        <v>1030001</v>
      </c>
      <c r="N193" s="44">
        <v>0</v>
      </c>
      <c r="O193" s="47" t="s">
        <v>48</v>
      </c>
      <c r="P193" s="44">
        <v>1615</v>
      </c>
      <c r="Q193" s="44">
        <v>3676</v>
      </c>
      <c r="R193" s="44">
        <v>2688</v>
      </c>
      <c r="S193" s="44">
        <v>182</v>
      </c>
      <c r="T193" s="44">
        <v>421</v>
      </c>
      <c r="U193" s="44">
        <v>5</v>
      </c>
      <c r="V193" s="44"/>
      <c r="W193" s="47" t="s">
        <v>47</v>
      </c>
      <c r="X193" s="47" t="s">
        <v>243</v>
      </c>
      <c r="Y193" s="47" t="str">
        <f t="shared" si="89"/>
        <v>陈员外</v>
      </c>
      <c r="Z193" s="44"/>
      <c r="AA193" s="44"/>
      <c r="AB193" s="44" t="str">
        <f t="shared" si="90"/>
        <v>陈员外</v>
      </c>
      <c r="AC193" s="44">
        <v>2048</v>
      </c>
      <c r="AD193" s="44">
        <v>2049</v>
      </c>
      <c r="AE193" s="44">
        <v>2050</v>
      </c>
      <c r="AF193" s="44">
        <v>2051</v>
      </c>
      <c r="AG193" s="44"/>
      <c r="AH193" s="47" t="s">
        <v>52</v>
      </c>
      <c r="AI193" s="44" t="s">
        <v>47</v>
      </c>
      <c r="AJ193" s="44" t="s">
        <v>117</v>
      </c>
      <c r="AK193" s="44" t="s">
        <v>118</v>
      </c>
      <c r="AL193" s="44" t="s">
        <v>119</v>
      </c>
      <c r="AM193" s="44" t="s">
        <v>120</v>
      </c>
      <c r="AN193" s="47" t="s">
        <v>47</v>
      </c>
      <c r="AO193" s="44"/>
      <c r="AP193" s="44" t="s">
        <v>298</v>
      </c>
      <c r="AQ193" s="2">
        <v>0</v>
      </c>
    </row>
    <row r="194" s="3" customFormat="1" ht="12" spans="1:43">
      <c r="A194" s="53">
        <v>161518</v>
      </c>
      <c r="B194" s="73" t="s">
        <v>491</v>
      </c>
      <c r="C194" s="12"/>
      <c r="D194" s="12"/>
      <c r="E194" s="12"/>
      <c r="F194" s="12">
        <v>0</v>
      </c>
      <c r="G194" s="12" t="s">
        <v>47</v>
      </c>
      <c r="H194" s="12" t="s">
        <v>45</v>
      </c>
      <c r="I194" s="12" t="s">
        <v>45</v>
      </c>
      <c r="J194" s="12">
        <v>1</v>
      </c>
      <c r="K194" s="12" t="s">
        <v>295</v>
      </c>
      <c r="L194" s="47" t="s">
        <v>47</v>
      </c>
      <c r="M194" s="12">
        <v>1030010</v>
      </c>
      <c r="N194" s="12">
        <v>0</v>
      </c>
      <c r="O194" s="47" t="s">
        <v>48</v>
      </c>
      <c r="P194" s="12">
        <v>1615</v>
      </c>
      <c r="Q194" s="12">
        <v>2000</v>
      </c>
      <c r="R194" s="12">
        <v>2368</v>
      </c>
      <c r="S194" s="44">
        <v>73</v>
      </c>
      <c r="T194" s="44">
        <v>126</v>
      </c>
      <c r="U194" s="12">
        <v>3</v>
      </c>
      <c r="V194" s="12"/>
      <c r="W194" s="47" t="s">
        <v>47</v>
      </c>
      <c r="X194" s="47" t="s">
        <v>486</v>
      </c>
      <c r="Y194" s="47" t="str">
        <f t="shared" si="89"/>
        <v>单人竞技场</v>
      </c>
      <c r="Z194" s="12"/>
      <c r="AA194" s="12" t="s">
        <v>486</v>
      </c>
      <c r="AB194" s="12" t="s">
        <v>492</v>
      </c>
      <c r="AC194" s="12">
        <v>2298</v>
      </c>
      <c r="AD194" s="12">
        <v>2789</v>
      </c>
      <c r="AE194" s="12" t="s">
        <v>51</v>
      </c>
      <c r="AF194" s="12" t="s">
        <v>51</v>
      </c>
      <c r="AG194" s="12"/>
      <c r="AH194" s="47" t="s">
        <v>52</v>
      </c>
      <c r="AI194" s="12" t="s">
        <v>47</v>
      </c>
      <c r="AJ194" s="12" t="s">
        <v>223</v>
      </c>
      <c r="AK194" s="12"/>
      <c r="AL194" s="12" t="s">
        <v>237</v>
      </c>
      <c r="AM194" s="12" t="s">
        <v>238</v>
      </c>
      <c r="AN194" s="47" t="s">
        <v>47</v>
      </c>
      <c r="AO194" s="12"/>
      <c r="AP194" s="12" t="s">
        <v>298</v>
      </c>
      <c r="AQ194" s="2">
        <v>0</v>
      </c>
    </row>
    <row r="195" s="3" customFormat="1" ht="12" spans="1:43">
      <c r="A195" s="53">
        <v>161519</v>
      </c>
      <c r="B195" s="73" t="s">
        <v>493</v>
      </c>
      <c r="C195" s="12"/>
      <c r="D195" s="12"/>
      <c r="E195" s="12"/>
      <c r="F195" s="12">
        <v>0</v>
      </c>
      <c r="G195" s="12" t="s">
        <v>47</v>
      </c>
      <c r="H195" s="12" t="s">
        <v>45</v>
      </c>
      <c r="I195" s="12" t="s">
        <v>45</v>
      </c>
      <c r="J195" s="12">
        <v>1</v>
      </c>
      <c r="K195" s="12" t="s">
        <v>295</v>
      </c>
      <c r="L195" s="47" t="s">
        <v>47</v>
      </c>
      <c r="M195" s="12">
        <v>1030010</v>
      </c>
      <c r="N195" s="12">
        <v>0</v>
      </c>
      <c r="O195" s="47" t="s">
        <v>48</v>
      </c>
      <c r="P195" s="12">
        <v>1615</v>
      </c>
      <c r="Q195" s="12">
        <v>2000</v>
      </c>
      <c r="R195" s="12">
        <v>2368</v>
      </c>
      <c r="S195" s="44">
        <v>230</v>
      </c>
      <c r="T195" s="44">
        <v>205</v>
      </c>
      <c r="U195" s="12">
        <v>3</v>
      </c>
      <c r="V195" s="12"/>
      <c r="W195" s="47" t="s">
        <v>47</v>
      </c>
      <c r="X195" s="47" t="s">
        <v>486</v>
      </c>
      <c r="Y195" s="47" t="str">
        <f t="shared" si="89"/>
        <v>决战华山</v>
      </c>
      <c r="Z195" s="12"/>
      <c r="AA195" s="12" t="s">
        <v>486</v>
      </c>
      <c r="AB195" s="12" t="s">
        <v>492</v>
      </c>
      <c r="AC195" s="12">
        <v>2298</v>
      </c>
      <c r="AD195" s="12">
        <v>2789</v>
      </c>
      <c r="AE195" s="12" t="s">
        <v>51</v>
      </c>
      <c r="AF195" s="12" t="s">
        <v>51</v>
      </c>
      <c r="AG195" s="12"/>
      <c r="AH195" s="47" t="s">
        <v>52</v>
      </c>
      <c r="AI195" s="12" t="s">
        <v>47</v>
      </c>
      <c r="AJ195" s="12" t="s">
        <v>223</v>
      </c>
      <c r="AK195" s="12"/>
      <c r="AL195" s="12" t="s">
        <v>237</v>
      </c>
      <c r="AM195" s="12" t="s">
        <v>238</v>
      </c>
      <c r="AN195" s="47" t="s">
        <v>47</v>
      </c>
      <c r="AO195" s="12"/>
      <c r="AP195" s="12" t="s">
        <v>298</v>
      </c>
      <c r="AQ195" s="2">
        <v>0</v>
      </c>
    </row>
    <row r="196" s="3" customFormat="1" ht="12" spans="1:43">
      <c r="A196" s="53">
        <v>161520</v>
      </c>
      <c r="B196" s="73" t="s">
        <v>494</v>
      </c>
      <c r="C196" s="12"/>
      <c r="D196" s="12"/>
      <c r="E196" s="12"/>
      <c r="F196" s="12">
        <v>0</v>
      </c>
      <c r="G196" s="12" t="s">
        <v>47</v>
      </c>
      <c r="H196" s="12" t="s">
        <v>45</v>
      </c>
      <c r="I196" s="12" t="s">
        <v>45</v>
      </c>
      <c r="J196" s="12">
        <v>1</v>
      </c>
      <c r="K196" s="12" t="s">
        <v>295</v>
      </c>
      <c r="L196" s="47" t="s">
        <v>47</v>
      </c>
      <c r="M196" s="12">
        <v>1030010</v>
      </c>
      <c r="N196" s="12">
        <v>0</v>
      </c>
      <c r="O196" s="47" t="s">
        <v>48</v>
      </c>
      <c r="P196" s="12">
        <v>1615</v>
      </c>
      <c r="Q196" s="12">
        <v>2000</v>
      </c>
      <c r="R196" s="12">
        <v>2368</v>
      </c>
      <c r="S196" s="44">
        <v>230</v>
      </c>
      <c r="T196" s="44">
        <v>205</v>
      </c>
      <c r="U196" s="12">
        <v>3</v>
      </c>
      <c r="V196" s="12"/>
      <c r="W196" s="47" t="s">
        <v>47</v>
      </c>
      <c r="X196" s="47" t="s">
        <v>486</v>
      </c>
      <c r="Y196" s="47" t="str">
        <f t="shared" si="89"/>
        <v>天下比武大会</v>
      </c>
      <c r="Z196" s="12"/>
      <c r="AA196" s="12" t="s">
        <v>486</v>
      </c>
      <c r="AB196" s="12" t="s">
        <v>492</v>
      </c>
      <c r="AC196" s="12">
        <v>2298</v>
      </c>
      <c r="AD196" s="12">
        <v>2789</v>
      </c>
      <c r="AE196" s="12" t="s">
        <v>51</v>
      </c>
      <c r="AF196" s="12" t="s">
        <v>51</v>
      </c>
      <c r="AG196" s="12"/>
      <c r="AH196" s="47" t="s">
        <v>52</v>
      </c>
      <c r="AI196" s="12" t="s">
        <v>47</v>
      </c>
      <c r="AJ196" s="12" t="s">
        <v>223</v>
      </c>
      <c r="AK196" s="12"/>
      <c r="AL196" s="12" t="s">
        <v>237</v>
      </c>
      <c r="AM196" s="12" t="s">
        <v>238</v>
      </c>
      <c r="AN196" s="47" t="s">
        <v>47</v>
      </c>
      <c r="AO196" s="12"/>
      <c r="AP196" s="12" t="s">
        <v>298</v>
      </c>
      <c r="AQ196" s="2">
        <v>0</v>
      </c>
    </row>
    <row r="197" s="10" customFormat="1" ht="12.75" spans="1:43">
      <c r="A197" s="53">
        <v>161521</v>
      </c>
      <c r="B197" s="63" t="s">
        <v>495</v>
      </c>
      <c r="C197" s="63"/>
      <c r="D197" s="63"/>
      <c r="E197" s="63"/>
      <c r="F197" s="63">
        <v>0</v>
      </c>
      <c r="G197" s="63" t="s">
        <v>47</v>
      </c>
      <c r="H197" s="63" t="s">
        <v>45</v>
      </c>
      <c r="I197" s="63" t="s">
        <v>45</v>
      </c>
      <c r="J197" s="63">
        <v>1</v>
      </c>
      <c r="K197" s="63" t="s">
        <v>295</v>
      </c>
      <c r="L197" s="47" t="s">
        <v>47</v>
      </c>
      <c r="M197" s="64">
        <v>1030011</v>
      </c>
      <c r="N197" s="63">
        <v>0</v>
      </c>
      <c r="O197" s="47" t="s">
        <v>48</v>
      </c>
      <c r="P197" s="63">
        <v>1615</v>
      </c>
      <c r="Q197" s="63">
        <v>1214</v>
      </c>
      <c r="R197" s="63">
        <v>2129</v>
      </c>
      <c r="S197" s="44">
        <v>40</v>
      </c>
      <c r="T197" s="44">
        <v>218</v>
      </c>
      <c r="U197" s="63">
        <v>7</v>
      </c>
      <c r="V197" s="63"/>
      <c r="W197" s="47" t="s">
        <v>47</v>
      </c>
      <c r="X197" s="47" t="s">
        <v>297</v>
      </c>
      <c r="Y197" s="47" t="str">
        <f t="shared" si="89"/>
        <v>秘境降妖</v>
      </c>
      <c r="Z197" s="37"/>
      <c r="AA197" s="63" t="s">
        <v>496</v>
      </c>
      <c r="AB197" s="63" t="str">
        <f>Y197</f>
        <v>秘境降妖</v>
      </c>
      <c r="AC197" s="63">
        <v>2296</v>
      </c>
      <c r="AD197" s="63">
        <v>2297</v>
      </c>
      <c r="AE197" s="63" t="s">
        <v>51</v>
      </c>
      <c r="AF197" s="63" t="s">
        <v>51</v>
      </c>
      <c r="AG197" s="63"/>
      <c r="AH197" s="47" t="s">
        <v>52</v>
      </c>
      <c r="AI197" s="63" t="s">
        <v>47</v>
      </c>
      <c r="AJ197" s="63" t="s">
        <v>223</v>
      </c>
      <c r="AK197" s="63"/>
      <c r="AL197" s="63" t="s">
        <v>237</v>
      </c>
      <c r="AM197" s="63" t="s">
        <v>238</v>
      </c>
      <c r="AN197" s="47" t="s">
        <v>47</v>
      </c>
      <c r="AO197" s="63"/>
      <c r="AP197" s="63" t="s">
        <v>298</v>
      </c>
      <c r="AQ197" s="2">
        <v>0</v>
      </c>
    </row>
    <row r="198" s="10" customFormat="1" ht="12.75" spans="1:43">
      <c r="A198" s="53">
        <v>161522</v>
      </c>
      <c r="B198" s="63" t="s">
        <v>497</v>
      </c>
      <c r="C198" s="63"/>
      <c r="D198" s="63"/>
      <c r="E198" s="63"/>
      <c r="F198" s="63">
        <v>0</v>
      </c>
      <c r="G198" s="63" t="s">
        <v>47</v>
      </c>
      <c r="H198" s="63" t="s">
        <v>45</v>
      </c>
      <c r="I198" s="63" t="s">
        <v>45</v>
      </c>
      <c r="J198" s="63">
        <v>1</v>
      </c>
      <c r="K198" s="63" t="s">
        <v>295</v>
      </c>
      <c r="L198" s="47" t="s">
        <v>47</v>
      </c>
      <c r="M198" s="66">
        <v>1020136</v>
      </c>
      <c r="N198" s="63">
        <v>0</v>
      </c>
      <c r="O198" s="47" t="s">
        <v>48</v>
      </c>
      <c r="P198" s="63">
        <v>1615</v>
      </c>
      <c r="Q198" s="63"/>
      <c r="R198" s="63"/>
      <c r="S198" s="44">
        <v>276</v>
      </c>
      <c r="T198" s="44">
        <v>176</v>
      </c>
      <c r="U198" s="63">
        <v>3</v>
      </c>
      <c r="V198" s="63"/>
      <c r="W198" s="47" t="s">
        <v>47</v>
      </c>
      <c r="X198" s="47" t="s">
        <v>498</v>
      </c>
      <c r="Y198" s="47" t="str">
        <f t="shared" si="89"/>
        <v>家园管理员</v>
      </c>
      <c r="Z198" s="37" t="s">
        <v>497</v>
      </c>
      <c r="AA198" s="63"/>
      <c r="AB198" s="63"/>
      <c r="AC198" s="63">
        <v>2396</v>
      </c>
      <c r="AD198" s="63">
        <v>2397</v>
      </c>
      <c r="AE198" s="63" t="s">
        <v>51</v>
      </c>
      <c r="AF198" s="63" t="s">
        <v>51</v>
      </c>
      <c r="AG198" s="63"/>
      <c r="AH198" s="47" t="s">
        <v>52</v>
      </c>
      <c r="AI198" s="63" t="s">
        <v>47</v>
      </c>
      <c r="AJ198" s="63" t="s">
        <v>223</v>
      </c>
      <c r="AK198" s="63"/>
      <c r="AL198" s="63" t="s">
        <v>237</v>
      </c>
      <c r="AM198" s="63" t="s">
        <v>238</v>
      </c>
      <c r="AN198" s="47" t="s">
        <v>47</v>
      </c>
      <c r="AO198" s="63"/>
      <c r="AP198" s="63" t="s">
        <v>298</v>
      </c>
      <c r="AQ198" s="2">
        <v>0</v>
      </c>
    </row>
    <row r="199" s="3" customFormat="1" ht="12" spans="1:43">
      <c r="A199" s="53">
        <v>161523</v>
      </c>
      <c r="B199" s="12" t="s">
        <v>71</v>
      </c>
      <c r="C199" s="12"/>
      <c r="D199" s="12"/>
      <c r="E199" s="12"/>
      <c r="F199" s="12">
        <v>0</v>
      </c>
      <c r="G199" s="12" t="s">
        <v>47</v>
      </c>
      <c r="H199" s="12" t="s">
        <v>45</v>
      </c>
      <c r="I199" s="12" t="s">
        <v>45</v>
      </c>
      <c r="J199" s="12">
        <v>1</v>
      </c>
      <c r="K199" s="12" t="s">
        <v>46</v>
      </c>
      <c r="L199" s="47" t="s">
        <v>47</v>
      </c>
      <c r="M199" s="12">
        <v>1010117</v>
      </c>
      <c r="N199" s="12">
        <v>0</v>
      </c>
      <c r="O199" s="47" t="s">
        <v>48</v>
      </c>
      <c r="P199" s="12">
        <v>1615</v>
      </c>
      <c r="Q199" s="11">
        <v>2832</v>
      </c>
      <c r="R199" s="11">
        <v>3343</v>
      </c>
      <c r="S199" s="44">
        <v>252</v>
      </c>
      <c r="T199" s="44">
        <v>262</v>
      </c>
      <c r="U199" s="12">
        <v>5</v>
      </c>
      <c r="V199" s="12"/>
      <c r="W199" s="47" t="s">
        <v>47</v>
      </c>
      <c r="X199" s="47" t="s">
        <v>70</v>
      </c>
      <c r="Y199" s="47" t="str">
        <f t="shared" si="89"/>
        <v>传送妖精</v>
      </c>
      <c r="Z199" s="12"/>
      <c r="AA199" s="12"/>
      <c r="AB199" s="12" t="s">
        <v>189</v>
      </c>
      <c r="AC199" s="13">
        <v>2470</v>
      </c>
      <c r="AD199" s="13">
        <v>2360</v>
      </c>
      <c r="AE199" s="12" t="s">
        <v>51</v>
      </c>
      <c r="AF199" s="12" t="s">
        <v>51</v>
      </c>
      <c r="AG199" s="12"/>
      <c r="AH199" s="47" t="s">
        <v>52</v>
      </c>
      <c r="AI199" s="12">
        <v>0</v>
      </c>
      <c r="AJ199" s="13" t="s">
        <v>72</v>
      </c>
      <c r="AK199" s="12"/>
      <c r="AL199" s="12"/>
      <c r="AM199" s="12"/>
      <c r="AN199" s="47" t="s">
        <v>47</v>
      </c>
      <c r="AO199" s="12"/>
      <c r="AP199" s="12" t="s">
        <v>53</v>
      </c>
      <c r="AQ199" s="2">
        <v>0</v>
      </c>
    </row>
    <row r="200" s="14" customFormat="1" ht="12" spans="1:43">
      <c r="A200" s="53">
        <v>161524</v>
      </c>
      <c r="B200" s="68" t="s">
        <v>327</v>
      </c>
      <c r="C200" s="68"/>
      <c r="D200" s="68"/>
      <c r="E200" s="68"/>
      <c r="F200" s="68">
        <v>0</v>
      </c>
      <c r="G200" s="68" t="s">
        <v>47</v>
      </c>
      <c r="H200" s="68" t="s">
        <v>45</v>
      </c>
      <c r="I200" s="68" t="s">
        <v>45</v>
      </c>
      <c r="J200" s="68">
        <v>0</v>
      </c>
      <c r="K200" s="68" t="s">
        <v>46</v>
      </c>
      <c r="L200" s="47" t="s">
        <v>47</v>
      </c>
      <c r="M200" s="44">
        <v>1020131</v>
      </c>
      <c r="N200" s="68">
        <v>0</v>
      </c>
      <c r="O200" s="47" t="s">
        <v>48</v>
      </c>
      <c r="P200" s="68">
        <v>1615</v>
      </c>
      <c r="Q200" s="68">
        <v>3751</v>
      </c>
      <c r="R200" s="68">
        <v>2775</v>
      </c>
      <c r="S200" s="44">
        <v>187</v>
      </c>
      <c r="T200" s="44">
        <v>39</v>
      </c>
      <c r="U200" s="68">
        <v>7</v>
      </c>
      <c r="V200" s="68"/>
      <c r="W200" s="47" t="s">
        <v>47</v>
      </c>
      <c r="X200" s="47" t="s">
        <v>227</v>
      </c>
      <c r="Y200" s="47" t="str">
        <f t="shared" si="89"/>
        <v>袁天罡</v>
      </c>
      <c r="AB200" s="68" t="s">
        <v>327</v>
      </c>
      <c r="AC200" s="11">
        <v>2040</v>
      </c>
      <c r="AD200" s="11">
        <v>2041</v>
      </c>
      <c r="AE200" s="11">
        <v>2042</v>
      </c>
      <c r="AF200" s="11">
        <v>2043</v>
      </c>
      <c r="AG200" s="11"/>
      <c r="AH200" s="47" t="s">
        <v>52</v>
      </c>
      <c r="AI200" s="11">
        <v>1</v>
      </c>
      <c r="AJ200" s="11" t="s">
        <v>90</v>
      </c>
      <c r="AK200" s="11" t="s">
        <v>228</v>
      </c>
      <c r="AL200" s="11" t="s">
        <v>91</v>
      </c>
      <c r="AM200" s="11" t="s">
        <v>93</v>
      </c>
      <c r="AN200" s="47" t="s">
        <v>47</v>
      </c>
      <c r="AO200" s="68"/>
      <c r="AP200" s="68" t="s">
        <v>53</v>
      </c>
      <c r="AQ200" s="2">
        <v>0</v>
      </c>
    </row>
    <row r="201" s="14" customFormat="1" ht="12.75" spans="1:43">
      <c r="A201" s="53">
        <v>161525</v>
      </c>
      <c r="B201" s="68" t="s">
        <v>499</v>
      </c>
      <c r="C201" s="68"/>
      <c r="D201" s="68"/>
      <c r="E201" s="68"/>
      <c r="F201" s="68">
        <v>0</v>
      </c>
      <c r="G201" s="68" t="s">
        <v>47</v>
      </c>
      <c r="H201" s="68" t="s">
        <v>45</v>
      </c>
      <c r="I201" s="68" t="s">
        <v>45</v>
      </c>
      <c r="J201" s="68">
        <v>1</v>
      </c>
      <c r="K201" s="68" t="s">
        <v>46</v>
      </c>
      <c r="L201" s="47" t="s">
        <v>47</v>
      </c>
      <c r="M201" s="64">
        <v>1030011</v>
      </c>
      <c r="N201" s="68">
        <v>0</v>
      </c>
      <c r="O201" s="47" t="s">
        <v>48</v>
      </c>
      <c r="P201" s="68">
        <v>1615</v>
      </c>
      <c r="Q201" s="68">
        <v>394</v>
      </c>
      <c r="R201" s="68">
        <v>801</v>
      </c>
      <c r="S201" s="44">
        <v>501</v>
      </c>
      <c r="T201" s="44">
        <v>298</v>
      </c>
      <c r="U201" s="68">
        <v>3</v>
      </c>
      <c r="V201" s="68"/>
      <c r="W201" s="47">
        <v>0</v>
      </c>
      <c r="X201" s="47" t="s">
        <v>500</v>
      </c>
      <c r="Y201" s="47" t="s">
        <v>501</v>
      </c>
      <c r="Z201" s="68" t="s">
        <v>502</v>
      </c>
      <c r="AA201" s="68"/>
      <c r="AB201" s="68" t="s">
        <v>502</v>
      </c>
      <c r="AC201" s="11">
        <v>2696</v>
      </c>
      <c r="AD201" s="11">
        <v>2697</v>
      </c>
      <c r="AE201" s="11"/>
      <c r="AF201" s="11"/>
      <c r="AG201" s="11"/>
      <c r="AH201" s="47" t="s">
        <v>52</v>
      </c>
      <c r="AI201" s="11">
        <v>0</v>
      </c>
      <c r="AJ201" s="11"/>
      <c r="AK201" s="11"/>
      <c r="AL201" s="11"/>
      <c r="AM201" s="11"/>
      <c r="AN201" s="47" t="s">
        <v>47</v>
      </c>
      <c r="AO201" s="68"/>
      <c r="AP201" s="68" t="s">
        <v>53</v>
      </c>
      <c r="AQ201" s="2">
        <v>0</v>
      </c>
    </row>
    <row r="202" s="14" customFormat="1" ht="12.75" spans="1:43">
      <c r="A202" s="53">
        <v>161526</v>
      </c>
      <c r="B202" s="68" t="s">
        <v>503</v>
      </c>
      <c r="C202" s="68"/>
      <c r="D202" s="68"/>
      <c r="E202" s="68"/>
      <c r="F202" s="68">
        <v>0</v>
      </c>
      <c r="G202" s="68" t="s">
        <v>47</v>
      </c>
      <c r="H202" s="68" t="s">
        <v>45</v>
      </c>
      <c r="I202" s="68" t="s">
        <v>45</v>
      </c>
      <c r="J202" s="68">
        <v>1</v>
      </c>
      <c r="K202" s="68" t="s">
        <v>46</v>
      </c>
      <c r="L202" s="47" t="s">
        <v>47</v>
      </c>
      <c r="M202" s="64">
        <v>1030001</v>
      </c>
      <c r="N202" s="68">
        <v>0</v>
      </c>
      <c r="O202" s="47" t="s">
        <v>48</v>
      </c>
      <c r="P202" s="68">
        <v>1615</v>
      </c>
      <c r="Q202" s="68">
        <v>2872</v>
      </c>
      <c r="R202" s="68">
        <v>1206</v>
      </c>
      <c r="S202" s="44">
        <v>157</v>
      </c>
      <c r="T202" s="44">
        <f>FLOOR(R202/16,1)</f>
        <v>75</v>
      </c>
      <c r="U202" s="68">
        <v>5</v>
      </c>
      <c r="V202" s="68"/>
      <c r="W202" s="47">
        <v>0</v>
      </c>
      <c r="X202" s="47" t="s">
        <v>504</v>
      </c>
      <c r="Y202" s="47"/>
      <c r="Z202" s="68"/>
      <c r="AA202" s="68"/>
      <c r="AB202" s="68" t="s">
        <v>503</v>
      </c>
      <c r="AC202" s="11">
        <v>2685</v>
      </c>
      <c r="AD202" s="11">
        <v>2789</v>
      </c>
      <c r="AE202" s="11"/>
      <c r="AF202" s="11"/>
      <c r="AG202" s="11"/>
      <c r="AH202" s="47" t="s">
        <v>52</v>
      </c>
      <c r="AI202" s="11">
        <v>0</v>
      </c>
      <c r="AJ202" s="11"/>
      <c r="AK202" s="11"/>
      <c r="AL202" s="11"/>
      <c r="AM202" s="11"/>
      <c r="AN202" s="47">
        <v>0</v>
      </c>
      <c r="AO202" s="68"/>
      <c r="AP202" s="68" t="s">
        <v>53</v>
      </c>
      <c r="AQ202" s="2">
        <v>0</v>
      </c>
    </row>
    <row r="203" s="4" customFormat="1" spans="1:43">
      <c r="A203" s="53">
        <v>161527</v>
      </c>
      <c r="B203" t="s">
        <v>505</v>
      </c>
      <c r="C203" s="37"/>
      <c r="D203" s="37"/>
      <c r="E203" s="37"/>
      <c r="F203" s="37">
        <v>0</v>
      </c>
      <c r="G203" s="37" t="s">
        <v>47</v>
      </c>
      <c r="H203" s="37">
        <v>1</v>
      </c>
      <c r="I203" s="37" t="s">
        <v>45</v>
      </c>
      <c r="J203" s="37">
        <v>1</v>
      </c>
      <c r="K203" s="37" t="s">
        <v>46</v>
      </c>
      <c r="L203" s="37" t="s">
        <v>47</v>
      </c>
      <c r="M203" s="76">
        <v>540012</v>
      </c>
      <c r="N203" s="37">
        <v>0</v>
      </c>
      <c r="O203" s="37" t="s">
        <v>48</v>
      </c>
      <c r="P203" s="37">
        <v>1693</v>
      </c>
      <c r="Q203" s="37">
        <v>2240</v>
      </c>
      <c r="R203" s="37">
        <v>2624</v>
      </c>
      <c r="S203" s="37">
        <v>135</v>
      </c>
      <c r="T203" s="37">
        <v>128</v>
      </c>
      <c r="U203" s="37">
        <v>7</v>
      </c>
      <c r="V203" s="37"/>
      <c r="W203" s="37">
        <v>0</v>
      </c>
      <c r="X203" s="37" t="s">
        <v>504</v>
      </c>
      <c r="Y203" s="37" t="str">
        <f t="shared" ref="Y203:Y205" si="91">B203</f>
        <v>孩子孕育</v>
      </c>
      <c r="Z203" t="s">
        <v>505</v>
      </c>
      <c r="AA203" s="37"/>
      <c r="AB203" s="75" t="s">
        <v>471</v>
      </c>
      <c r="AC203" s="37">
        <v>2786</v>
      </c>
      <c r="AD203" s="37">
        <v>2788</v>
      </c>
      <c r="AE203" s="37">
        <v>2789</v>
      </c>
      <c r="AF203" s="37"/>
      <c r="AG203" s="37"/>
      <c r="AH203" s="37" t="s">
        <v>52</v>
      </c>
      <c r="AI203" s="37">
        <v>0</v>
      </c>
      <c r="AJ203" s="37"/>
      <c r="AK203" s="37"/>
      <c r="AL203" s="37"/>
      <c r="AM203" s="37"/>
      <c r="AN203" s="37">
        <v>0</v>
      </c>
      <c r="AO203" s="37"/>
      <c r="AP203" s="37" t="s">
        <v>53</v>
      </c>
      <c r="AQ203" s="4">
        <v>0</v>
      </c>
    </row>
    <row r="204" s="4" customFormat="1" spans="1:43">
      <c r="A204" s="53">
        <v>161528</v>
      </c>
      <c r="B204" t="s">
        <v>506</v>
      </c>
      <c r="C204" s="37"/>
      <c r="D204" s="37"/>
      <c r="E204" s="37"/>
      <c r="F204" s="37">
        <v>0</v>
      </c>
      <c r="G204" s="37" t="s">
        <v>47</v>
      </c>
      <c r="H204" s="37">
        <v>1</v>
      </c>
      <c r="I204" s="37" t="s">
        <v>45</v>
      </c>
      <c r="J204" s="37">
        <v>0</v>
      </c>
      <c r="K204" s="37" t="s">
        <v>46</v>
      </c>
      <c r="L204" s="37" t="s">
        <v>47</v>
      </c>
      <c r="M204" s="77">
        <v>540013</v>
      </c>
      <c r="N204" s="37">
        <v>0</v>
      </c>
      <c r="O204" s="37" t="s">
        <v>48</v>
      </c>
      <c r="P204" s="37">
        <v>1693</v>
      </c>
      <c r="Q204" s="37">
        <v>2130</v>
      </c>
      <c r="R204" s="37">
        <v>2553</v>
      </c>
      <c r="S204" s="37">
        <v>129</v>
      </c>
      <c r="T204" s="37">
        <v>136</v>
      </c>
      <c r="U204" s="37">
        <v>3</v>
      </c>
      <c r="V204" s="37"/>
      <c r="W204" s="37">
        <v>0</v>
      </c>
      <c r="X204" s="37" t="s">
        <v>504</v>
      </c>
      <c r="Y204" s="37" t="str">
        <f t="shared" si="91"/>
        <v>孩子技能书兑换</v>
      </c>
      <c r="Z204" t="s">
        <v>507</v>
      </c>
      <c r="AA204" s="37"/>
      <c r="AB204" s="74" t="s">
        <v>508</v>
      </c>
      <c r="AC204" s="37">
        <v>2787</v>
      </c>
      <c r="AD204" s="37">
        <v>2788</v>
      </c>
      <c r="AE204" s="37">
        <v>2789</v>
      </c>
      <c r="AF204" s="37"/>
      <c r="AG204" s="37"/>
      <c r="AH204" s="37" t="s">
        <v>52</v>
      </c>
      <c r="AI204" s="37">
        <v>0</v>
      </c>
      <c r="AJ204" s="37"/>
      <c r="AK204" s="37"/>
      <c r="AL204" s="37"/>
      <c r="AM204" s="37"/>
      <c r="AN204" s="37">
        <v>0</v>
      </c>
      <c r="AO204" s="37"/>
      <c r="AP204" s="37" t="s">
        <v>53</v>
      </c>
      <c r="AQ204" s="4">
        <v>0</v>
      </c>
    </row>
    <row r="205" s="4" customFormat="1" spans="1:43">
      <c r="A205" s="53">
        <v>161529</v>
      </c>
      <c r="B205" t="s">
        <v>509</v>
      </c>
      <c r="C205" s="37"/>
      <c r="D205" s="37"/>
      <c r="E205" s="37"/>
      <c r="F205" s="37">
        <v>0</v>
      </c>
      <c r="G205" s="37" t="s">
        <v>47</v>
      </c>
      <c r="H205" s="37">
        <v>1</v>
      </c>
      <c r="I205" s="37" t="s">
        <v>45</v>
      </c>
      <c r="J205" s="37">
        <v>0</v>
      </c>
      <c r="K205" s="37" t="s">
        <v>46</v>
      </c>
      <c r="L205" s="37" t="s">
        <v>47</v>
      </c>
      <c r="M205" s="76">
        <v>1040117</v>
      </c>
      <c r="N205" s="37">
        <v>0</v>
      </c>
      <c r="O205" s="37" t="s">
        <v>48</v>
      </c>
      <c r="P205" s="37">
        <v>1615</v>
      </c>
      <c r="Q205" s="37">
        <v>2331</v>
      </c>
      <c r="R205" s="37">
        <v>2548</v>
      </c>
      <c r="S205" s="37">
        <v>121</v>
      </c>
      <c r="T205" s="37">
        <v>142</v>
      </c>
      <c r="U205" s="37">
        <v>5</v>
      </c>
      <c r="V205" s="37"/>
      <c r="W205" s="37">
        <v>0</v>
      </c>
      <c r="X205" s="37" t="s">
        <v>504</v>
      </c>
      <c r="Y205" s="37" t="str">
        <f t="shared" si="91"/>
        <v>武神坛冠军雕塑</v>
      </c>
      <c r="Z205" s="79" t="s">
        <v>510</v>
      </c>
      <c r="AA205" s="37"/>
      <c r="AB205" s="75" t="s">
        <v>511</v>
      </c>
      <c r="AC205" s="37">
        <v>2783</v>
      </c>
      <c r="AD205" s="37">
        <v>2784</v>
      </c>
      <c r="AE205" s="37">
        <v>2785</v>
      </c>
      <c r="AF205" s="37"/>
      <c r="AG205" s="37"/>
      <c r="AH205" s="37" t="s">
        <v>52</v>
      </c>
      <c r="AI205" s="37">
        <v>0</v>
      </c>
      <c r="AJ205" s="37"/>
      <c r="AK205" s="37"/>
      <c r="AL205" s="37"/>
      <c r="AM205" s="37"/>
      <c r="AN205" s="37">
        <v>0</v>
      </c>
      <c r="AO205" s="37"/>
      <c r="AP205" s="37" t="s">
        <v>53</v>
      </c>
      <c r="AQ205" s="4">
        <v>0</v>
      </c>
    </row>
    <row r="206" s="4" customFormat="1" spans="1:43">
      <c r="A206" s="53">
        <v>161540</v>
      </c>
      <c r="B206" s="74" t="s">
        <v>512</v>
      </c>
      <c r="C206" s="37"/>
      <c r="D206" s="37"/>
      <c r="E206" s="37"/>
      <c r="F206" s="37">
        <v>0</v>
      </c>
      <c r="G206" s="37" t="s">
        <v>47</v>
      </c>
      <c r="H206" s="37">
        <v>1</v>
      </c>
      <c r="I206" s="37" t="s">
        <v>45</v>
      </c>
      <c r="J206" s="37">
        <v>1</v>
      </c>
      <c r="K206" s="37" t="s">
        <v>46</v>
      </c>
      <c r="L206" s="37" t="s">
        <v>47</v>
      </c>
      <c r="M206" s="78" t="s">
        <v>513</v>
      </c>
      <c r="N206" s="37">
        <v>0</v>
      </c>
      <c r="O206" s="37" t="s">
        <v>48</v>
      </c>
      <c r="P206" s="37">
        <v>1615</v>
      </c>
      <c r="Q206" s="37">
        <v>2240</v>
      </c>
      <c r="R206" s="37">
        <v>2624</v>
      </c>
      <c r="S206" s="37">
        <f t="shared" ref="S206:S212" si="92">FLOOR(Q206/16,1)</f>
        <v>140</v>
      </c>
      <c r="T206" s="37">
        <f t="shared" ref="T206:T212" si="93">FLOOR(R206/16,1)</f>
        <v>164</v>
      </c>
      <c r="U206" s="37">
        <v>7</v>
      </c>
      <c r="V206" s="37"/>
      <c r="W206" s="37">
        <v>0</v>
      </c>
      <c r="X206" s="37" t="s">
        <v>504</v>
      </c>
      <c r="Y206" s="37" t="str">
        <f t="shared" ref="Y206:Y207" si="94">B206</f>
        <v>超级神猴</v>
      </c>
      <c r="Z206" s="68" t="s">
        <v>514</v>
      </c>
      <c r="AA206" s="44"/>
      <c r="AB206" s="74" t="s">
        <v>512</v>
      </c>
      <c r="AC206" s="37">
        <v>2725</v>
      </c>
      <c r="AD206" s="37">
        <v>2726</v>
      </c>
      <c r="AE206" s="37">
        <v>2727</v>
      </c>
      <c r="AF206" s="37">
        <v>2728</v>
      </c>
      <c r="AG206" s="37"/>
      <c r="AH206" s="37" t="s">
        <v>52</v>
      </c>
      <c r="AI206" s="37">
        <v>0</v>
      </c>
      <c r="AJ206" s="37"/>
      <c r="AK206" s="37"/>
      <c r="AL206" s="37"/>
      <c r="AM206" s="37"/>
      <c r="AN206" s="37">
        <v>0</v>
      </c>
      <c r="AO206" s="37"/>
      <c r="AP206" s="37" t="s">
        <v>53</v>
      </c>
      <c r="AQ206" s="4">
        <v>0</v>
      </c>
    </row>
    <row r="207" s="4" customFormat="1" spans="1:43">
      <c r="A207" s="53">
        <v>161541</v>
      </c>
      <c r="B207" s="75" t="s">
        <v>515</v>
      </c>
      <c r="C207" s="37"/>
      <c r="D207" s="37"/>
      <c r="E207" s="37"/>
      <c r="F207" s="37">
        <v>0</v>
      </c>
      <c r="G207" s="37" t="s">
        <v>47</v>
      </c>
      <c r="H207" s="37">
        <v>1</v>
      </c>
      <c r="I207" s="37" t="s">
        <v>45</v>
      </c>
      <c r="J207" s="37">
        <v>0</v>
      </c>
      <c r="K207" s="37" t="s">
        <v>46</v>
      </c>
      <c r="L207" s="37" t="s">
        <v>47</v>
      </c>
      <c r="M207" s="78" t="s">
        <v>516</v>
      </c>
      <c r="N207" s="37">
        <v>0</v>
      </c>
      <c r="O207" s="37" t="s">
        <v>48</v>
      </c>
      <c r="P207" s="37">
        <v>1615</v>
      </c>
      <c r="Q207" s="37">
        <v>2130</v>
      </c>
      <c r="R207" s="37">
        <v>2553</v>
      </c>
      <c r="S207" s="37">
        <f t="shared" si="92"/>
        <v>133</v>
      </c>
      <c r="T207" s="37">
        <f t="shared" si="93"/>
        <v>159</v>
      </c>
      <c r="U207" s="37">
        <v>3</v>
      </c>
      <c r="V207" s="37"/>
      <c r="W207" s="37">
        <v>0</v>
      </c>
      <c r="X207" s="37" t="s">
        <v>504</v>
      </c>
      <c r="Y207" s="37" t="s">
        <v>515</v>
      </c>
      <c r="Z207" s="68" t="s">
        <v>470</v>
      </c>
      <c r="AA207" s="44" t="s">
        <v>457</v>
      </c>
      <c r="AB207" s="75" t="s">
        <v>517</v>
      </c>
      <c r="AC207" s="37">
        <v>2730</v>
      </c>
      <c r="AD207" s="37">
        <v>2731</v>
      </c>
      <c r="AE207" s="37">
        <v>2789</v>
      </c>
      <c r="AF207" s="37"/>
      <c r="AG207" s="37"/>
      <c r="AH207" s="37" t="s">
        <v>52</v>
      </c>
      <c r="AI207" s="37">
        <v>0</v>
      </c>
      <c r="AJ207" s="37"/>
      <c r="AK207" s="37"/>
      <c r="AL207" s="37"/>
      <c r="AM207" s="37"/>
      <c r="AN207" s="37">
        <v>0</v>
      </c>
      <c r="AO207" s="37"/>
      <c r="AP207" s="37" t="s">
        <v>53</v>
      </c>
      <c r="AQ207" s="4">
        <v>0</v>
      </c>
    </row>
    <row r="208" s="4" customFormat="1" spans="1:43">
      <c r="A208" s="53">
        <v>161542</v>
      </c>
      <c r="B208" s="74" t="s">
        <v>518</v>
      </c>
      <c r="C208" s="37"/>
      <c r="D208" s="37"/>
      <c r="E208" s="37"/>
      <c r="F208" s="37">
        <v>0</v>
      </c>
      <c r="G208" s="37" t="s">
        <v>47</v>
      </c>
      <c r="H208" s="37">
        <v>1</v>
      </c>
      <c r="I208" s="37" t="s">
        <v>45</v>
      </c>
      <c r="J208" s="37">
        <v>1</v>
      </c>
      <c r="K208" s="37" t="s">
        <v>46</v>
      </c>
      <c r="L208" s="37" t="s">
        <v>47</v>
      </c>
      <c r="M208" s="78" t="s">
        <v>519</v>
      </c>
      <c r="N208" s="37">
        <v>0</v>
      </c>
      <c r="O208" s="37" t="s">
        <v>48</v>
      </c>
      <c r="P208" s="37">
        <v>1615</v>
      </c>
      <c r="Q208" s="37">
        <v>2240</v>
      </c>
      <c r="R208" s="37">
        <v>2624</v>
      </c>
      <c r="S208" s="37">
        <f t="shared" si="92"/>
        <v>140</v>
      </c>
      <c r="T208" s="37">
        <f t="shared" si="93"/>
        <v>164</v>
      </c>
      <c r="U208" s="37">
        <v>7</v>
      </c>
      <c r="V208" s="37"/>
      <c r="W208" s="37">
        <v>0</v>
      </c>
      <c r="X208" s="37" t="s">
        <v>504</v>
      </c>
      <c r="Y208" s="37" t="str">
        <f t="shared" ref="Y207:Y216" si="95">B208</f>
        <v>超级神羊</v>
      </c>
      <c r="Z208" s="37"/>
      <c r="AA208" s="37"/>
      <c r="AB208" s="74" t="s">
        <v>518</v>
      </c>
      <c r="AC208" s="37">
        <v>2725</v>
      </c>
      <c r="AD208" s="37">
        <v>2726</v>
      </c>
      <c r="AE208" s="37">
        <v>2727</v>
      </c>
      <c r="AF208" s="37">
        <v>2728</v>
      </c>
      <c r="AG208" s="37"/>
      <c r="AH208" s="37" t="s">
        <v>52</v>
      </c>
      <c r="AI208" s="37">
        <v>0</v>
      </c>
      <c r="AJ208" s="37"/>
      <c r="AK208" s="37"/>
      <c r="AL208" s="37"/>
      <c r="AM208" s="37"/>
      <c r="AN208" s="37">
        <v>0</v>
      </c>
      <c r="AO208" s="37"/>
      <c r="AP208" s="37" t="s">
        <v>53</v>
      </c>
      <c r="AQ208" s="4">
        <v>0</v>
      </c>
    </row>
    <row r="209" s="4" customFormat="1" spans="1:43">
      <c r="A209" s="53">
        <v>161543</v>
      </c>
      <c r="B209" s="75" t="s">
        <v>520</v>
      </c>
      <c r="C209" s="37"/>
      <c r="D209" s="37"/>
      <c r="E209" s="37"/>
      <c r="F209" s="37">
        <v>0</v>
      </c>
      <c r="G209" s="37" t="s">
        <v>47</v>
      </c>
      <c r="H209" s="37">
        <v>1</v>
      </c>
      <c r="I209" s="37" t="s">
        <v>45</v>
      </c>
      <c r="J209" s="37">
        <v>0</v>
      </c>
      <c r="K209" s="37" t="s">
        <v>46</v>
      </c>
      <c r="L209" s="37" t="s">
        <v>47</v>
      </c>
      <c r="M209" s="54">
        <v>1010163</v>
      </c>
      <c r="N209" s="37">
        <v>0</v>
      </c>
      <c r="O209" s="37" t="s">
        <v>48</v>
      </c>
      <c r="P209" s="37">
        <v>1615</v>
      </c>
      <c r="Q209" s="37">
        <v>2130</v>
      </c>
      <c r="R209" s="37">
        <v>2553</v>
      </c>
      <c r="S209" s="37">
        <f t="shared" si="92"/>
        <v>133</v>
      </c>
      <c r="T209" s="37">
        <f t="shared" si="93"/>
        <v>159</v>
      </c>
      <c r="U209" s="37">
        <v>3</v>
      </c>
      <c r="V209" s="37"/>
      <c r="W209" s="37">
        <v>0</v>
      </c>
      <c r="X209" s="37" t="s">
        <v>504</v>
      </c>
      <c r="Y209" s="37" t="str">
        <f t="shared" si="95"/>
        <v>超级神鸡</v>
      </c>
      <c r="Z209" s="37"/>
      <c r="AA209" s="37"/>
      <c r="AB209" s="75" t="s">
        <v>520</v>
      </c>
      <c r="AC209" s="37">
        <v>2730</v>
      </c>
      <c r="AD209" s="37">
        <v>2731</v>
      </c>
      <c r="AE209" s="37">
        <v>2789</v>
      </c>
      <c r="AF209" s="37"/>
      <c r="AG209" s="37"/>
      <c r="AH209" s="37" t="s">
        <v>52</v>
      </c>
      <c r="AI209" s="37">
        <v>0</v>
      </c>
      <c r="AJ209" s="37"/>
      <c r="AK209" s="37"/>
      <c r="AL209" s="37"/>
      <c r="AM209" s="37"/>
      <c r="AN209" s="37">
        <v>0</v>
      </c>
      <c r="AO209" s="37"/>
      <c r="AP209" s="37" t="s">
        <v>53</v>
      </c>
      <c r="AQ209" s="4">
        <v>0</v>
      </c>
    </row>
    <row r="210" s="4" customFormat="1" spans="1:43">
      <c r="A210" s="53">
        <v>161544</v>
      </c>
      <c r="B210" s="74" t="s">
        <v>521</v>
      </c>
      <c r="C210" s="37"/>
      <c r="D210" s="37"/>
      <c r="E210" s="37"/>
      <c r="F210" s="37">
        <v>0</v>
      </c>
      <c r="G210" s="37" t="s">
        <v>47</v>
      </c>
      <c r="H210" s="37">
        <v>1</v>
      </c>
      <c r="I210" s="37" t="s">
        <v>45</v>
      </c>
      <c r="J210" s="37">
        <v>0</v>
      </c>
      <c r="K210" s="37" t="s">
        <v>46</v>
      </c>
      <c r="L210" s="37" t="s">
        <v>47</v>
      </c>
      <c r="M210" s="78">
        <v>1010123</v>
      </c>
      <c r="N210" s="37">
        <v>0</v>
      </c>
      <c r="O210" s="37" t="s">
        <v>48</v>
      </c>
      <c r="P210" s="37">
        <v>1615</v>
      </c>
      <c r="Q210" s="37">
        <v>2331</v>
      </c>
      <c r="R210" s="37">
        <v>2548</v>
      </c>
      <c r="S210" s="37">
        <f t="shared" si="92"/>
        <v>145</v>
      </c>
      <c r="T210" s="37">
        <f t="shared" si="93"/>
        <v>159</v>
      </c>
      <c r="U210" s="37">
        <v>5</v>
      </c>
      <c r="V210" s="37"/>
      <c r="W210" s="37">
        <v>0</v>
      </c>
      <c r="X210" s="37" t="s">
        <v>504</v>
      </c>
      <c r="Y210" s="37" t="str">
        <f t="shared" si="95"/>
        <v>超级神猪</v>
      </c>
      <c r="Z210" s="37"/>
      <c r="AA210" s="37"/>
      <c r="AB210" s="74" t="s">
        <v>521</v>
      </c>
      <c r="AC210" s="37">
        <v>2735</v>
      </c>
      <c r="AD210" s="37">
        <v>2736</v>
      </c>
      <c r="AE210" s="37">
        <v>2789</v>
      </c>
      <c r="AF210" s="37"/>
      <c r="AG210" s="37"/>
      <c r="AH210" s="37" t="s">
        <v>52</v>
      </c>
      <c r="AI210" s="37">
        <v>0</v>
      </c>
      <c r="AJ210" s="37"/>
      <c r="AK210" s="37"/>
      <c r="AL210" s="37"/>
      <c r="AM210" s="37"/>
      <c r="AN210" s="37">
        <v>0</v>
      </c>
      <c r="AO210" s="37"/>
      <c r="AP210" s="37" t="s">
        <v>53</v>
      </c>
      <c r="AQ210" s="4">
        <v>0</v>
      </c>
    </row>
    <row r="211" s="4" customFormat="1" spans="1:43">
      <c r="A211" s="53">
        <v>161545</v>
      </c>
      <c r="B211" t="s">
        <v>522</v>
      </c>
      <c r="C211" s="37"/>
      <c r="D211" s="37"/>
      <c r="E211" s="37"/>
      <c r="F211" s="37">
        <v>0</v>
      </c>
      <c r="G211" s="37" t="s">
        <v>47</v>
      </c>
      <c r="H211" s="37">
        <v>1.2</v>
      </c>
      <c r="I211" s="37" t="s">
        <v>45</v>
      </c>
      <c r="J211" s="37">
        <v>1</v>
      </c>
      <c r="K211" s="37" t="s">
        <v>46</v>
      </c>
      <c r="L211" s="37" t="s">
        <v>47</v>
      </c>
      <c r="M211" s="77">
        <v>1040126</v>
      </c>
      <c r="N211" s="37">
        <v>0</v>
      </c>
      <c r="O211" s="37" t="s">
        <v>48</v>
      </c>
      <c r="P211" s="37">
        <v>1615</v>
      </c>
      <c r="Q211" s="37">
        <v>2240</v>
      </c>
      <c r="R211" s="37">
        <v>2624</v>
      </c>
      <c r="S211" s="37">
        <f t="shared" si="92"/>
        <v>140</v>
      </c>
      <c r="T211" s="37">
        <f t="shared" si="93"/>
        <v>164</v>
      </c>
      <c r="U211" s="37">
        <v>7</v>
      </c>
      <c r="V211" s="37"/>
      <c r="W211" s="37">
        <v>0</v>
      </c>
      <c r="X211" s="37" t="s">
        <v>504</v>
      </c>
      <c r="Y211" s="37" t="str">
        <f t="shared" si="95"/>
        <v>房屋管理员废弃</v>
      </c>
      <c r="Z211" s="79" t="s">
        <v>523</v>
      </c>
      <c r="AA211" s="37"/>
      <c r="AB211" s="75" t="s">
        <v>524</v>
      </c>
      <c r="AC211" s="37">
        <v>2783</v>
      </c>
      <c r="AD211" s="37">
        <v>2784</v>
      </c>
      <c r="AE211" s="37">
        <v>2785</v>
      </c>
      <c r="AF211" s="37"/>
      <c r="AG211" s="37"/>
      <c r="AH211" s="37" t="s">
        <v>52</v>
      </c>
      <c r="AI211" s="37">
        <v>0</v>
      </c>
      <c r="AJ211" s="37"/>
      <c r="AK211" s="37"/>
      <c r="AL211" s="37"/>
      <c r="AM211" s="37"/>
      <c r="AN211" s="37">
        <v>0</v>
      </c>
      <c r="AO211" s="37"/>
      <c r="AP211" s="37" t="s">
        <v>53</v>
      </c>
      <c r="AQ211" s="4">
        <v>0</v>
      </c>
    </row>
    <row r="212" s="4" customFormat="1" spans="1:43">
      <c r="A212" s="53">
        <v>161546</v>
      </c>
      <c r="B212" t="s">
        <v>509</v>
      </c>
      <c r="C212" s="37"/>
      <c r="D212" s="37"/>
      <c r="E212" s="37"/>
      <c r="F212" s="37">
        <v>0</v>
      </c>
      <c r="G212" s="37" t="s">
        <v>47</v>
      </c>
      <c r="H212" s="37">
        <v>1.2</v>
      </c>
      <c r="I212" s="37" t="s">
        <v>45</v>
      </c>
      <c r="J212" s="37">
        <v>0</v>
      </c>
      <c r="K212" s="37" t="s">
        <v>46</v>
      </c>
      <c r="L212" s="37" t="s">
        <v>47</v>
      </c>
      <c r="M212" s="77">
        <v>1040132</v>
      </c>
      <c r="N212" s="37">
        <v>0</v>
      </c>
      <c r="O212" s="37" t="s">
        <v>48</v>
      </c>
      <c r="P212" s="37">
        <v>1615</v>
      </c>
      <c r="Q212" s="37">
        <v>2331</v>
      </c>
      <c r="R212" s="37">
        <v>2548</v>
      </c>
      <c r="S212" s="37">
        <f t="shared" si="92"/>
        <v>145</v>
      </c>
      <c r="T212" s="37">
        <f t="shared" si="93"/>
        <v>159</v>
      </c>
      <c r="U212" s="37">
        <v>5</v>
      </c>
      <c r="V212" s="37"/>
      <c r="W212" s="37">
        <v>0</v>
      </c>
      <c r="X212" s="37" t="s">
        <v>504</v>
      </c>
      <c r="Y212" s="37" t="str">
        <f t="shared" si="95"/>
        <v>武神坛冠军雕塑</v>
      </c>
      <c r="Z212" s="79" t="s">
        <v>510</v>
      </c>
      <c r="AA212" s="37"/>
      <c r="AB212" s="74" t="s">
        <v>525</v>
      </c>
      <c r="AC212" s="37">
        <v>2783</v>
      </c>
      <c r="AD212" s="37">
        <v>2784</v>
      </c>
      <c r="AE212" s="37">
        <v>2785</v>
      </c>
      <c r="AF212" s="37"/>
      <c r="AG212" s="37"/>
      <c r="AH212" s="37" t="s">
        <v>52</v>
      </c>
      <c r="AI212" s="37">
        <v>0</v>
      </c>
      <c r="AJ212" s="37"/>
      <c r="AK212" s="37"/>
      <c r="AL212" s="37"/>
      <c r="AM212" s="37"/>
      <c r="AN212" s="37">
        <v>0</v>
      </c>
      <c r="AO212" s="37"/>
      <c r="AP212" s="37" t="s">
        <v>53</v>
      </c>
      <c r="AQ212" s="4">
        <v>0</v>
      </c>
    </row>
    <row r="213" s="7" customFormat="1" ht="12.75" spans="1:44">
      <c r="A213" s="53">
        <v>161530</v>
      </c>
      <c r="B213" s="44" t="s">
        <v>526</v>
      </c>
      <c r="C213" s="44"/>
      <c r="D213" s="44"/>
      <c r="E213" s="44"/>
      <c r="F213" s="44">
        <v>0</v>
      </c>
      <c r="G213" s="44" t="s">
        <v>47</v>
      </c>
      <c r="H213" s="44" t="s">
        <v>45</v>
      </c>
      <c r="I213" s="44" t="s">
        <v>45</v>
      </c>
      <c r="J213" s="44">
        <v>1</v>
      </c>
      <c r="K213" s="44" t="s">
        <v>295</v>
      </c>
      <c r="L213" s="47" t="s">
        <v>47</v>
      </c>
      <c r="M213" s="64">
        <v>1030001</v>
      </c>
      <c r="N213" s="44">
        <v>0</v>
      </c>
      <c r="O213" s="47" t="s">
        <v>48</v>
      </c>
      <c r="P213" s="44">
        <v>1615</v>
      </c>
      <c r="Q213" s="44">
        <v>3115</v>
      </c>
      <c r="R213" s="44">
        <v>1277</v>
      </c>
      <c r="S213" s="44">
        <v>166</v>
      </c>
      <c r="T213" s="44">
        <v>82</v>
      </c>
      <c r="U213" s="44">
        <v>5</v>
      </c>
      <c r="V213" s="44"/>
      <c r="W213" s="47" t="s">
        <v>47</v>
      </c>
      <c r="X213" s="47" t="s">
        <v>460</v>
      </c>
      <c r="Y213" s="47" t="str">
        <f t="shared" si="95"/>
        <v>交易所</v>
      </c>
      <c r="Z213" s="44"/>
      <c r="AA213" s="44"/>
      <c r="AB213" s="44" t="s">
        <v>526</v>
      </c>
      <c r="AC213" s="44">
        <v>2266</v>
      </c>
      <c r="AD213" s="44">
        <v>2267</v>
      </c>
      <c r="AE213" s="44">
        <v>2268</v>
      </c>
      <c r="AF213" s="7" t="s">
        <v>51</v>
      </c>
      <c r="AG213" s="44"/>
      <c r="AH213" s="47" t="s">
        <v>52</v>
      </c>
      <c r="AI213" s="44" t="s">
        <v>47</v>
      </c>
      <c r="AJ213" s="44" t="s">
        <v>223</v>
      </c>
      <c r="AK213" s="44"/>
      <c r="AL213" s="44" t="s">
        <v>237</v>
      </c>
      <c r="AM213" s="44" t="s">
        <v>238</v>
      </c>
      <c r="AN213" s="47" t="s">
        <v>47</v>
      </c>
      <c r="AO213" s="44"/>
      <c r="AP213" s="44" t="s">
        <v>298</v>
      </c>
      <c r="AQ213" s="2">
        <v>0</v>
      </c>
      <c r="AR213" s="7">
        <v>1</v>
      </c>
    </row>
    <row r="214" s="7" customFormat="1" ht="12.75" spans="1:43">
      <c r="A214" s="53">
        <v>161531</v>
      </c>
      <c r="B214" s="44" t="s">
        <v>527</v>
      </c>
      <c r="C214" s="44"/>
      <c r="D214" s="44"/>
      <c r="E214" s="44"/>
      <c r="F214" s="44">
        <v>0</v>
      </c>
      <c r="G214" s="44" t="s">
        <v>47</v>
      </c>
      <c r="H214" s="44" t="s">
        <v>45</v>
      </c>
      <c r="I214" s="44" t="s">
        <v>45</v>
      </c>
      <c r="J214" s="44">
        <v>1</v>
      </c>
      <c r="K214" s="44" t="s">
        <v>295</v>
      </c>
      <c r="L214" s="47" t="s">
        <v>47</v>
      </c>
      <c r="M214" s="64">
        <v>1030010</v>
      </c>
      <c r="N214" s="44">
        <v>0</v>
      </c>
      <c r="O214" s="47" t="s">
        <v>48</v>
      </c>
      <c r="P214" s="44">
        <v>1615</v>
      </c>
      <c r="Q214" s="44">
        <f>S214*16</f>
        <v>9440</v>
      </c>
      <c r="R214" s="44">
        <f>T214*16</f>
        <v>1520</v>
      </c>
      <c r="S214" s="44">
        <v>590</v>
      </c>
      <c r="T214" s="44">
        <v>95</v>
      </c>
      <c r="U214" s="44">
        <v>3</v>
      </c>
      <c r="V214" s="44"/>
      <c r="W214" s="47" t="s">
        <v>47</v>
      </c>
      <c r="X214" s="47" t="s">
        <v>460</v>
      </c>
      <c r="Y214" s="47" t="str">
        <f t="shared" si="95"/>
        <v>帮派竞赛接引人</v>
      </c>
      <c r="Z214" s="44"/>
      <c r="AA214" s="44"/>
      <c r="AB214" s="44" t="s">
        <v>528</v>
      </c>
      <c r="AC214" s="44">
        <v>2774</v>
      </c>
      <c r="AD214" s="44"/>
      <c r="AE214" s="44"/>
      <c r="AF214" s="7" t="s">
        <v>51</v>
      </c>
      <c r="AG214" s="44"/>
      <c r="AH214" s="47" t="s">
        <v>52</v>
      </c>
      <c r="AI214" s="44" t="s">
        <v>47</v>
      </c>
      <c r="AJ214" s="44" t="s">
        <v>223</v>
      </c>
      <c r="AK214" s="44"/>
      <c r="AL214" s="44" t="s">
        <v>237</v>
      </c>
      <c r="AM214" s="44" t="s">
        <v>238</v>
      </c>
      <c r="AN214" s="47" t="s">
        <v>47</v>
      </c>
      <c r="AO214" s="44"/>
      <c r="AP214" s="44" t="s">
        <v>298</v>
      </c>
      <c r="AQ214" s="2">
        <v>0</v>
      </c>
    </row>
    <row r="215" s="7" customFormat="1" ht="12" spans="1:44">
      <c r="A215" s="53">
        <v>161532</v>
      </c>
      <c r="B215" s="44" t="s">
        <v>529</v>
      </c>
      <c r="C215" s="44"/>
      <c r="D215" s="44"/>
      <c r="E215" s="44"/>
      <c r="F215" s="44">
        <v>0</v>
      </c>
      <c r="G215" s="44" t="s">
        <v>47</v>
      </c>
      <c r="H215" s="44" t="s">
        <v>45</v>
      </c>
      <c r="I215" s="44" t="s">
        <v>45</v>
      </c>
      <c r="J215" s="44">
        <v>1</v>
      </c>
      <c r="K215" s="44" t="s">
        <v>295</v>
      </c>
      <c r="L215" s="47" t="s">
        <v>47</v>
      </c>
      <c r="M215" s="44">
        <v>1010148</v>
      </c>
      <c r="N215" s="44">
        <v>0</v>
      </c>
      <c r="O215" s="47" t="s">
        <v>48</v>
      </c>
      <c r="P215" s="44">
        <v>1615</v>
      </c>
      <c r="Q215" s="44">
        <v>475</v>
      </c>
      <c r="R215" s="44">
        <v>1423</v>
      </c>
      <c r="S215" s="44">
        <v>180</v>
      </c>
      <c r="T215" s="44">
        <v>121</v>
      </c>
      <c r="U215" s="44">
        <v>3</v>
      </c>
      <c r="V215" s="44"/>
      <c r="W215" s="47" t="s">
        <v>47</v>
      </c>
      <c r="X215" s="47" t="s">
        <v>473</v>
      </c>
      <c r="Y215" s="47" t="str">
        <f t="shared" si="95"/>
        <v>布莱同需</v>
      </c>
      <c r="Z215" s="44" t="s">
        <v>476</v>
      </c>
      <c r="AA215" s="44" t="s">
        <v>475</v>
      </c>
      <c r="AB215" s="44" t="s">
        <v>476</v>
      </c>
      <c r="AC215" s="44">
        <v>2690</v>
      </c>
      <c r="AD215" s="44">
        <v>2691</v>
      </c>
      <c r="AE215" s="44">
        <v>2692</v>
      </c>
      <c r="AF215" s="44">
        <v>2693</v>
      </c>
      <c r="AG215" s="44"/>
      <c r="AH215" s="47" t="s">
        <v>52</v>
      </c>
      <c r="AI215" s="44" t="s">
        <v>47</v>
      </c>
      <c r="AJ215" s="44"/>
      <c r="AK215" s="44"/>
      <c r="AL215" s="44"/>
      <c r="AM215" s="44"/>
      <c r="AN215" s="47" t="s">
        <v>47</v>
      </c>
      <c r="AO215" s="44"/>
      <c r="AP215" s="44" t="s">
        <v>298</v>
      </c>
      <c r="AQ215" s="2">
        <v>0</v>
      </c>
      <c r="AR215" s="7">
        <v>1</v>
      </c>
    </row>
    <row r="216" s="7" customFormat="1" ht="12" spans="1:44">
      <c r="A216" s="53">
        <v>161533</v>
      </c>
      <c r="B216" s="44" t="s">
        <v>530</v>
      </c>
      <c r="C216" s="44"/>
      <c r="D216" s="44"/>
      <c r="E216" s="44"/>
      <c r="F216" s="44">
        <v>0</v>
      </c>
      <c r="G216" s="44" t="s">
        <v>47</v>
      </c>
      <c r="H216" s="44" t="s">
        <v>45</v>
      </c>
      <c r="I216" s="44" t="s">
        <v>45</v>
      </c>
      <c r="J216" s="44">
        <v>1</v>
      </c>
      <c r="K216" s="44" t="s">
        <v>295</v>
      </c>
      <c r="L216" s="47" t="s">
        <v>47</v>
      </c>
      <c r="M216" s="44">
        <v>1010117</v>
      </c>
      <c r="N216" s="44">
        <v>0</v>
      </c>
      <c r="O216" s="47" t="s">
        <v>48</v>
      </c>
      <c r="P216" s="44">
        <v>1615</v>
      </c>
      <c r="Q216" s="44">
        <v>654</v>
      </c>
      <c r="R216" s="44">
        <v>1244</v>
      </c>
      <c r="S216" s="44">
        <v>45</v>
      </c>
      <c r="T216" s="44">
        <v>70</v>
      </c>
      <c r="U216" s="44">
        <v>3</v>
      </c>
      <c r="V216" s="44"/>
      <c r="W216" s="47" t="s">
        <v>47</v>
      </c>
      <c r="X216" s="47" t="s">
        <v>531</v>
      </c>
      <c r="Y216" s="47" t="str">
        <f t="shared" si="95"/>
        <v>钱多多</v>
      </c>
      <c r="Z216" s="44" t="s">
        <v>474</v>
      </c>
      <c r="AA216" s="44" t="s">
        <v>532</v>
      </c>
      <c r="AB216" s="44" t="s">
        <v>533</v>
      </c>
      <c r="AC216" s="44">
        <v>2779</v>
      </c>
      <c r="AD216" s="44">
        <v>2780</v>
      </c>
      <c r="AE216" s="44">
        <v>2781</v>
      </c>
      <c r="AF216" s="7" t="s">
        <v>51</v>
      </c>
      <c r="AG216" s="44"/>
      <c r="AH216" s="47" t="s">
        <v>52</v>
      </c>
      <c r="AI216" s="44" t="s">
        <v>47</v>
      </c>
      <c r="AJ216" s="44" t="s">
        <v>223</v>
      </c>
      <c r="AK216" s="44"/>
      <c r="AL216" s="44" t="s">
        <v>237</v>
      </c>
      <c r="AM216" s="44" t="s">
        <v>238</v>
      </c>
      <c r="AN216" s="47" t="s">
        <v>47</v>
      </c>
      <c r="AO216" s="44"/>
      <c r="AP216" s="44" t="s">
        <v>298</v>
      </c>
      <c r="AQ216" s="2">
        <v>0</v>
      </c>
      <c r="AR216" s="7">
        <v>1</v>
      </c>
    </row>
    <row r="217" s="7" customFormat="1" ht="12" spans="1:44">
      <c r="A217" s="53">
        <v>161534</v>
      </c>
      <c r="B217" s="44" t="s">
        <v>534</v>
      </c>
      <c r="C217" s="44"/>
      <c r="D217" s="44"/>
      <c r="E217" s="44"/>
      <c r="F217" s="44">
        <v>0</v>
      </c>
      <c r="G217" s="44" t="s">
        <v>47</v>
      </c>
      <c r="H217" s="44" t="s">
        <v>45</v>
      </c>
      <c r="I217" s="44" t="s">
        <v>45</v>
      </c>
      <c r="J217" s="44">
        <v>1</v>
      </c>
      <c r="K217" s="44" t="s">
        <v>295</v>
      </c>
      <c r="L217" s="47" t="s">
        <v>47</v>
      </c>
      <c r="M217" s="44">
        <v>1010117</v>
      </c>
      <c r="N217" s="44">
        <v>0</v>
      </c>
      <c r="O217" s="47" t="s">
        <v>48</v>
      </c>
      <c r="P217" s="44">
        <v>1615</v>
      </c>
      <c r="Q217" s="44">
        <f>S217*16</f>
        <v>3424</v>
      </c>
      <c r="R217" s="44">
        <f>T217*16</f>
        <v>432</v>
      </c>
      <c r="S217" s="44">
        <v>214</v>
      </c>
      <c r="T217" s="44">
        <v>27</v>
      </c>
      <c r="U217" s="44">
        <v>3</v>
      </c>
      <c r="V217" s="44"/>
      <c r="W217" s="47" t="s">
        <v>47</v>
      </c>
      <c r="X217" s="47" t="s">
        <v>531</v>
      </c>
      <c r="Y217" s="47" t="str">
        <f t="shared" ref="Y217" si="96">B217</f>
        <v>地精市场</v>
      </c>
      <c r="Z217" s="44"/>
      <c r="AA217" s="44"/>
      <c r="AB217" s="44" t="s">
        <v>534</v>
      </c>
      <c r="AC217" s="44">
        <v>2266</v>
      </c>
      <c r="AD217" s="44">
        <v>2267</v>
      </c>
      <c r="AE217" s="44">
        <v>2268</v>
      </c>
      <c r="AF217" s="7" t="s">
        <v>51</v>
      </c>
      <c r="AG217" s="44"/>
      <c r="AH217" s="47" t="s">
        <v>52</v>
      </c>
      <c r="AI217" s="44" t="s">
        <v>47</v>
      </c>
      <c r="AJ217" s="44" t="s">
        <v>223</v>
      </c>
      <c r="AK217" s="44"/>
      <c r="AL217" s="44" t="s">
        <v>237</v>
      </c>
      <c r="AM217" s="44" t="s">
        <v>238</v>
      </c>
      <c r="AN217" s="47" t="s">
        <v>47</v>
      </c>
      <c r="AO217" s="44"/>
      <c r="AP217" s="44" t="s">
        <v>298</v>
      </c>
      <c r="AQ217" s="2">
        <v>0</v>
      </c>
      <c r="AR217" s="7">
        <v>1</v>
      </c>
    </row>
    <row r="218" s="7" customFormat="1" spans="1:43">
      <c r="A218" s="44">
        <v>161535</v>
      </c>
      <c r="B218" s="45" t="s">
        <v>535</v>
      </c>
      <c r="C218" s="44"/>
      <c r="D218" s="44"/>
      <c r="E218" s="44"/>
      <c r="F218" s="44">
        <v>0</v>
      </c>
      <c r="G218" s="44" t="s">
        <v>47</v>
      </c>
      <c r="H218" s="44" t="s">
        <v>45</v>
      </c>
      <c r="I218" s="44" t="s">
        <v>45</v>
      </c>
      <c r="J218" s="44">
        <v>1</v>
      </c>
      <c r="K218" s="44" t="s">
        <v>295</v>
      </c>
      <c r="L218" s="47" t="s">
        <v>47</v>
      </c>
      <c r="M218" s="44">
        <v>1030011</v>
      </c>
      <c r="N218" s="44">
        <v>0</v>
      </c>
      <c r="O218" s="47" t="s">
        <v>48</v>
      </c>
      <c r="P218" s="44">
        <v>1615</v>
      </c>
      <c r="Q218" s="44">
        <v>4571</v>
      </c>
      <c r="R218" s="44">
        <v>2016</v>
      </c>
      <c r="S218" s="11">
        <v>285</v>
      </c>
      <c r="T218" s="11">
        <v>126</v>
      </c>
      <c r="U218" s="44">
        <v>5</v>
      </c>
      <c r="V218" s="44"/>
      <c r="W218" s="47" t="s">
        <v>47</v>
      </c>
      <c r="X218" s="47" t="s">
        <v>486</v>
      </c>
      <c r="Y218" s="47" t="s">
        <v>535</v>
      </c>
      <c r="Z218" s="44"/>
      <c r="AA218" s="44"/>
      <c r="AB218" s="44" t="s">
        <v>535</v>
      </c>
      <c r="AC218" s="44">
        <v>2348</v>
      </c>
      <c r="AD218" s="44" t="s">
        <v>51</v>
      </c>
      <c r="AE218" s="44" t="s">
        <v>51</v>
      </c>
      <c r="AF218" s="44" t="s">
        <v>51</v>
      </c>
      <c r="AG218" s="44"/>
      <c r="AH218" s="47" t="s">
        <v>52</v>
      </c>
      <c r="AI218" s="44" t="s">
        <v>47</v>
      </c>
      <c r="AJ218" s="44" t="s">
        <v>203</v>
      </c>
      <c r="AK218" s="44" t="s">
        <v>204</v>
      </c>
      <c r="AL218" s="44" t="s">
        <v>205</v>
      </c>
      <c r="AM218" s="44" t="s">
        <v>206</v>
      </c>
      <c r="AN218" s="58">
        <v>0</v>
      </c>
      <c r="AO218" s="44"/>
      <c r="AP218" s="44" t="s">
        <v>298</v>
      </c>
      <c r="AQ218" s="2">
        <v>0</v>
      </c>
    </row>
    <row r="219" s="2" customFormat="1" ht="12" spans="1:43">
      <c r="A219" s="61">
        <v>161601</v>
      </c>
      <c r="B219" s="11" t="s">
        <v>536</v>
      </c>
      <c r="C219" s="11"/>
      <c r="D219" s="11"/>
      <c r="E219" s="11"/>
      <c r="F219" s="11">
        <v>0</v>
      </c>
      <c r="G219" s="11" t="s">
        <v>47</v>
      </c>
      <c r="H219" s="11" t="s">
        <v>45</v>
      </c>
      <c r="I219" s="11">
        <v>1</v>
      </c>
      <c r="J219" s="11">
        <v>0</v>
      </c>
      <c r="K219" s="11" t="s">
        <v>46</v>
      </c>
      <c r="L219" s="47" t="s">
        <v>47</v>
      </c>
      <c r="M219" s="11">
        <v>1010146</v>
      </c>
      <c r="N219" s="11">
        <v>0</v>
      </c>
      <c r="O219" s="47" t="s">
        <v>48</v>
      </c>
      <c r="P219" s="11">
        <v>1616</v>
      </c>
      <c r="Q219" s="11">
        <v>991</v>
      </c>
      <c r="R219" s="11">
        <v>946</v>
      </c>
      <c r="S219" s="44">
        <v>83</v>
      </c>
      <c r="T219" s="44">
        <v>95</v>
      </c>
      <c r="U219" s="11">
        <v>3</v>
      </c>
      <c r="V219" s="11"/>
      <c r="W219" s="47" t="s">
        <v>47</v>
      </c>
      <c r="X219" s="47" t="s">
        <v>537</v>
      </c>
      <c r="Y219" s="47" t="s">
        <v>538</v>
      </c>
      <c r="Z219" s="11" t="s">
        <v>539</v>
      </c>
      <c r="AA219" s="11"/>
      <c r="AB219" s="11" t="s">
        <v>540</v>
      </c>
      <c r="AC219" s="11">
        <v>2750</v>
      </c>
      <c r="AD219" s="11">
        <v>2751</v>
      </c>
      <c r="AE219" s="11">
        <v>2752</v>
      </c>
      <c r="AF219" s="11">
        <v>2753</v>
      </c>
      <c r="AG219" s="11"/>
      <c r="AH219" s="47" t="s">
        <v>52</v>
      </c>
      <c r="AI219" s="11">
        <v>1</v>
      </c>
      <c r="AJ219" s="11"/>
      <c r="AK219" s="11"/>
      <c r="AL219" s="11"/>
      <c r="AM219" s="11"/>
      <c r="AN219" s="47" t="s">
        <v>47</v>
      </c>
      <c r="AO219" s="11"/>
      <c r="AP219" s="11" t="s">
        <v>53</v>
      </c>
      <c r="AQ219" s="2">
        <v>0</v>
      </c>
    </row>
    <row r="220" s="3" customFormat="1" ht="12" spans="1:43">
      <c r="A220" s="61">
        <v>161602</v>
      </c>
      <c r="B220" s="12" t="s">
        <v>541</v>
      </c>
      <c r="C220" s="12"/>
      <c r="D220" s="12"/>
      <c r="E220" s="12"/>
      <c r="F220" s="12">
        <v>0</v>
      </c>
      <c r="G220" s="12" t="s">
        <v>47</v>
      </c>
      <c r="H220" s="12" t="s">
        <v>45</v>
      </c>
      <c r="I220" s="12">
        <v>1</v>
      </c>
      <c r="J220" s="12">
        <v>1</v>
      </c>
      <c r="K220" s="12" t="s">
        <v>46</v>
      </c>
      <c r="L220" s="47" t="s">
        <v>47</v>
      </c>
      <c r="M220" s="12">
        <v>1020101</v>
      </c>
      <c r="N220" s="12">
        <v>0</v>
      </c>
      <c r="O220" s="47" t="s">
        <v>48</v>
      </c>
      <c r="P220" s="12">
        <v>1616</v>
      </c>
      <c r="Q220" s="11">
        <v>1443</v>
      </c>
      <c r="R220" s="11">
        <v>762</v>
      </c>
      <c r="S220" s="44">
        <v>84</v>
      </c>
      <c r="T220" s="44">
        <v>232</v>
      </c>
      <c r="U220" s="11">
        <v>3</v>
      </c>
      <c r="V220" s="12"/>
      <c r="W220" s="47" t="s">
        <v>47</v>
      </c>
      <c r="X220" s="47" t="s">
        <v>227</v>
      </c>
      <c r="Y220" s="47" t="str">
        <f t="shared" ref="Y220:Y222" si="97">B220</f>
        <v>雷黑子</v>
      </c>
      <c r="Z220" s="12"/>
      <c r="AA220" s="12"/>
      <c r="AB220" s="12" t="s">
        <v>327</v>
      </c>
      <c r="AC220" s="11">
        <v>2040</v>
      </c>
      <c r="AD220" s="11">
        <v>2041</v>
      </c>
      <c r="AE220" s="11">
        <v>2042</v>
      </c>
      <c r="AF220" s="11">
        <v>2043</v>
      </c>
      <c r="AG220" s="11"/>
      <c r="AH220" s="47" t="s">
        <v>52</v>
      </c>
      <c r="AI220" s="11" t="s">
        <v>47</v>
      </c>
      <c r="AJ220" s="11" t="s">
        <v>90</v>
      </c>
      <c r="AK220" s="11" t="s">
        <v>228</v>
      </c>
      <c r="AL220" s="11" t="s">
        <v>91</v>
      </c>
      <c r="AM220" s="11" t="s">
        <v>93</v>
      </c>
      <c r="AN220" s="47" t="s">
        <v>47</v>
      </c>
      <c r="AO220" s="12"/>
      <c r="AP220" s="12" t="s">
        <v>53</v>
      </c>
      <c r="AQ220" s="2">
        <v>0</v>
      </c>
    </row>
    <row r="221" s="2" customFormat="1" ht="12.75" spans="1:43">
      <c r="A221" s="61">
        <v>161603</v>
      </c>
      <c r="B221" s="11" t="s">
        <v>542</v>
      </c>
      <c r="C221" s="11"/>
      <c r="D221" s="11"/>
      <c r="E221" s="11"/>
      <c r="F221" s="11">
        <v>0</v>
      </c>
      <c r="G221" s="11" t="s">
        <v>47</v>
      </c>
      <c r="H221" s="11" t="s">
        <v>45</v>
      </c>
      <c r="I221" s="11">
        <v>1</v>
      </c>
      <c r="J221" s="11">
        <v>1</v>
      </c>
      <c r="K221" s="11" t="s">
        <v>46</v>
      </c>
      <c r="L221" s="47" t="s">
        <v>47</v>
      </c>
      <c r="M221" s="64">
        <v>1030001</v>
      </c>
      <c r="N221" s="11">
        <v>0</v>
      </c>
      <c r="O221" s="47" t="s">
        <v>48</v>
      </c>
      <c r="P221" s="11">
        <v>1616</v>
      </c>
      <c r="Q221" s="11">
        <v>1532</v>
      </c>
      <c r="R221" s="11">
        <v>819</v>
      </c>
      <c r="S221" s="44">
        <v>7</v>
      </c>
      <c r="T221" s="44">
        <v>109</v>
      </c>
      <c r="U221" s="11">
        <v>5</v>
      </c>
      <c r="V221" s="11"/>
      <c r="W221" s="47" t="s">
        <v>47</v>
      </c>
      <c r="X221" s="47" t="s">
        <v>543</v>
      </c>
      <c r="Y221" s="47" t="str">
        <f t="shared" si="97"/>
        <v>李善人</v>
      </c>
      <c r="Z221" s="11"/>
      <c r="AA221" s="11"/>
      <c r="AB221" s="11" t="s">
        <v>291</v>
      </c>
      <c r="AC221" s="11">
        <v>2064</v>
      </c>
      <c r="AD221" s="11">
        <v>2065</v>
      </c>
      <c r="AE221" s="11">
        <v>2066</v>
      </c>
      <c r="AF221" s="11">
        <v>2067</v>
      </c>
      <c r="AG221" s="11"/>
      <c r="AH221" s="47" t="s">
        <v>52</v>
      </c>
      <c r="AI221" s="11">
        <v>0</v>
      </c>
      <c r="AJ221" s="11" t="s">
        <v>104</v>
      </c>
      <c r="AK221" s="11" t="s">
        <v>106</v>
      </c>
      <c r="AL221" s="11" t="s">
        <v>105</v>
      </c>
      <c r="AM221" s="11"/>
      <c r="AN221" s="47" t="s">
        <v>47</v>
      </c>
      <c r="AO221" s="11"/>
      <c r="AP221" s="11" t="s">
        <v>53</v>
      </c>
      <c r="AQ221" s="2">
        <v>0</v>
      </c>
    </row>
    <row r="222" s="3" customFormat="1" ht="12.75" spans="1:43">
      <c r="A222" s="61">
        <v>161605</v>
      </c>
      <c r="B222" s="12" t="s">
        <v>544</v>
      </c>
      <c r="C222" s="12"/>
      <c r="D222" s="12"/>
      <c r="E222" s="12"/>
      <c r="F222" s="12">
        <v>0</v>
      </c>
      <c r="G222" s="12" t="s">
        <v>47</v>
      </c>
      <c r="H222" s="12" t="s">
        <v>45</v>
      </c>
      <c r="I222" s="12" t="s">
        <v>45</v>
      </c>
      <c r="J222" s="12">
        <v>1</v>
      </c>
      <c r="K222" s="12" t="s">
        <v>46</v>
      </c>
      <c r="L222" s="47" t="s">
        <v>47</v>
      </c>
      <c r="M222" s="64">
        <v>1030009</v>
      </c>
      <c r="N222" s="12">
        <v>0</v>
      </c>
      <c r="O222" s="47" t="s">
        <v>48</v>
      </c>
      <c r="P222" s="12">
        <v>1616</v>
      </c>
      <c r="Q222" s="11">
        <v>3062</v>
      </c>
      <c r="R222" s="11">
        <v>923</v>
      </c>
      <c r="S222" s="44">
        <v>250</v>
      </c>
      <c r="T222" s="44">
        <v>33</v>
      </c>
      <c r="U222" s="12">
        <v>5</v>
      </c>
      <c r="V222" s="12"/>
      <c r="W222" s="47" t="s">
        <v>47</v>
      </c>
      <c r="X222" s="47" t="s">
        <v>545</v>
      </c>
      <c r="Y222" s="47" t="str">
        <f t="shared" si="97"/>
        <v>老孙头</v>
      </c>
      <c r="Z222" s="12"/>
      <c r="AA222" s="11"/>
      <c r="AB222" s="12" t="s">
        <v>546</v>
      </c>
      <c r="AC222" s="12">
        <v>2188</v>
      </c>
      <c r="AD222" s="12">
        <v>2189</v>
      </c>
      <c r="AE222" s="12">
        <v>2190</v>
      </c>
      <c r="AF222" s="12">
        <v>2191</v>
      </c>
      <c r="AG222" s="12"/>
      <c r="AH222" s="47" t="s">
        <v>52</v>
      </c>
      <c r="AI222" s="12" t="s">
        <v>47</v>
      </c>
      <c r="AJ222" s="12" t="s">
        <v>547</v>
      </c>
      <c r="AK222" s="12" t="s">
        <v>548</v>
      </c>
      <c r="AL222" s="12" t="s">
        <v>549</v>
      </c>
      <c r="AM222" s="12" t="s">
        <v>550</v>
      </c>
      <c r="AN222" s="47" t="s">
        <v>47</v>
      </c>
      <c r="AO222" s="12"/>
      <c r="AP222" s="12" t="s">
        <v>53</v>
      </c>
      <c r="AQ222" s="2">
        <v>0</v>
      </c>
    </row>
    <row r="223" s="2" customFormat="1" ht="12.75" spans="1:43">
      <c r="A223" s="61">
        <v>161606</v>
      </c>
      <c r="B223" s="11" t="s">
        <v>551</v>
      </c>
      <c r="C223" s="11"/>
      <c r="D223" s="11"/>
      <c r="E223" s="11"/>
      <c r="F223" s="11">
        <v>0</v>
      </c>
      <c r="G223" s="11" t="s">
        <v>47</v>
      </c>
      <c r="H223" s="11" t="s">
        <v>45</v>
      </c>
      <c r="I223" s="11" t="s">
        <v>45</v>
      </c>
      <c r="J223" s="11">
        <v>1</v>
      </c>
      <c r="K223" s="11" t="s">
        <v>295</v>
      </c>
      <c r="L223" s="47" t="s">
        <v>47</v>
      </c>
      <c r="M223" s="50">
        <v>1020117</v>
      </c>
      <c r="N223" s="11">
        <v>0</v>
      </c>
      <c r="O223" s="47" t="s">
        <v>48</v>
      </c>
      <c r="P223" s="11">
        <v>1616</v>
      </c>
      <c r="Q223" s="11">
        <v>858</v>
      </c>
      <c r="R223" s="11">
        <v>1512</v>
      </c>
      <c r="S223" s="44">
        <v>77</v>
      </c>
      <c r="T223" s="44">
        <v>54</v>
      </c>
      <c r="U223" s="12">
        <v>5</v>
      </c>
      <c r="V223" s="11"/>
      <c r="W223" s="47" t="s">
        <v>47</v>
      </c>
      <c r="X223" s="47" t="s">
        <v>552</v>
      </c>
      <c r="Y223" s="47" t="str">
        <f t="shared" ref="Y223" si="98">B223</f>
        <v>宠物仙子</v>
      </c>
      <c r="Z223" s="11" t="s">
        <v>553</v>
      </c>
      <c r="AA223" s="11"/>
      <c r="AB223" s="11" t="s">
        <v>458</v>
      </c>
      <c r="AC223" s="11">
        <v>2134</v>
      </c>
      <c r="AD223" s="11">
        <v>2135</v>
      </c>
      <c r="AE223" s="11">
        <v>2136</v>
      </c>
      <c r="AF223" s="11" t="s">
        <v>51</v>
      </c>
      <c r="AG223" s="11"/>
      <c r="AH223" s="47" t="s">
        <v>52</v>
      </c>
      <c r="AI223" s="11" t="s">
        <v>47</v>
      </c>
      <c r="AJ223" s="11" t="s">
        <v>554</v>
      </c>
      <c r="AK223" s="11" t="s">
        <v>555</v>
      </c>
      <c r="AL223" s="11" t="s">
        <v>556</v>
      </c>
      <c r="AM223" s="11" t="s">
        <v>557</v>
      </c>
      <c r="AN223" s="47" t="s">
        <v>47</v>
      </c>
      <c r="AO223" s="11"/>
      <c r="AP223" s="11" t="s">
        <v>298</v>
      </c>
      <c r="AQ223" s="2">
        <v>0</v>
      </c>
    </row>
    <row r="224" s="2" customFormat="1" ht="12" spans="1:43">
      <c r="A224" s="61">
        <v>161608</v>
      </c>
      <c r="B224" s="11" t="s">
        <v>288</v>
      </c>
      <c r="C224" s="11"/>
      <c r="D224" s="11"/>
      <c r="E224" s="11"/>
      <c r="F224" s="11">
        <v>0</v>
      </c>
      <c r="G224" s="11" t="s">
        <v>47</v>
      </c>
      <c r="H224" s="11" t="s">
        <v>45</v>
      </c>
      <c r="I224" s="11" t="s">
        <v>45</v>
      </c>
      <c r="J224" s="11">
        <v>0</v>
      </c>
      <c r="K224" s="11" t="s">
        <v>46</v>
      </c>
      <c r="L224" s="47" t="s">
        <v>47</v>
      </c>
      <c r="M224" s="11">
        <v>1020115</v>
      </c>
      <c r="N224" s="11">
        <v>0</v>
      </c>
      <c r="O224" s="47" t="s">
        <v>48</v>
      </c>
      <c r="P224" s="11">
        <v>1616</v>
      </c>
      <c r="Q224" s="11">
        <v>3058</v>
      </c>
      <c r="R224" s="11">
        <v>2982</v>
      </c>
      <c r="S224" s="44">
        <v>104</v>
      </c>
      <c r="T224" s="44">
        <v>156</v>
      </c>
      <c r="U224" s="11">
        <v>5</v>
      </c>
      <c r="V224" s="11"/>
      <c r="W224" s="47" t="s">
        <v>47</v>
      </c>
      <c r="X224" s="47" t="s">
        <v>225</v>
      </c>
      <c r="Y224" s="47" t="str">
        <f t="shared" ref="Y224" si="99">B224</f>
        <v>小德</v>
      </c>
      <c r="Z224" s="11"/>
      <c r="AA224" s="11"/>
      <c r="AB224" s="11" t="s">
        <v>288</v>
      </c>
      <c r="AC224" s="11">
        <v>2056</v>
      </c>
      <c r="AD224" s="11">
        <v>2057</v>
      </c>
      <c r="AE224" s="11">
        <v>2058</v>
      </c>
      <c r="AF224" s="11">
        <v>2059</v>
      </c>
      <c r="AG224" s="11"/>
      <c r="AH224" s="47" t="s">
        <v>52</v>
      </c>
      <c r="AI224" s="11">
        <v>1</v>
      </c>
      <c r="AJ224" s="11" t="s">
        <v>149</v>
      </c>
      <c r="AK224" s="11" t="s">
        <v>150</v>
      </c>
      <c r="AL224" s="11" t="s">
        <v>151</v>
      </c>
      <c r="AM224" s="11" t="s">
        <v>152</v>
      </c>
      <c r="AN224" s="47" t="s">
        <v>47</v>
      </c>
      <c r="AO224" s="11"/>
      <c r="AP224" s="11" t="s">
        <v>53</v>
      </c>
      <c r="AQ224" s="2">
        <v>0</v>
      </c>
    </row>
    <row r="225" s="3" customFormat="1" ht="12.75" spans="1:43">
      <c r="A225" s="61">
        <v>161609</v>
      </c>
      <c r="B225" s="12" t="s">
        <v>226</v>
      </c>
      <c r="C225" s="12"/>
      <c r="D225" s="12"/>
      <c r="E225" s="12"/>
      <c r="F225" s="12">
        <v>0</v>
      </c>
      <c r="G225" s="12" t="s">
        <v>47</v>
      </c>
      <c r="H225" s="12" t="s">
        <v>45</v>
      </c>
      <c r="I225" s="12">
        <v>1</v>
      </c>
      <c r="J225" s="12">
        <v>1</v>
      </c>
      <c r="K225" s="12" t="s">
        <v>46</v>
      </c>
      <c r="L225" s="47" t="s">
        <v>47</v>
      </c>
      <c r="M225" s="50">
        <v>1020113</v>
      </c>
      <c r="N225" s="12">
        <v>0</v>
      </c>
      <c r="O225" s="47" t="s">
        <v>48</v>
      </c>
      <c r="P225" s="12">
        <v>1616</v>
      </c>
      <c r="Q225" s="11">
        <v>621</v>
      </c>
      <c r="R225" s="11">
        <v>2717</v>
      </c>
      <c r="S225" s="44">
        <v>262</v>
      </c>
      <c r="T225" s="44">
        <v>63</v>
      </c>
      <c r="U225" s="12">
        <v>3</v>
      </c>
      <c r="V225" s="12"/>
      <c r="W225" s="47" t="s">
        <v>47</v>
      </c>
      <c r="X225" s="47" t="s">
        <v>276</v>
      </c>
      <c r="Y225" s="47" t="str">
        <f t="shared" ref="Y225" si="100">B225</f>
        <v>小白龙</v>
      </c>
      <c r="Z225" s="12"/>
      <c r="AA225" s="12"/>
      <c r="AB225" s="12" t="s">
        <v>226</v>
      </c>
      <c r="AC225" s="12">
        <v>2044</v>
      </c>
      <c r="AD225" s="12">
        <v>2045</v>
      </c>
      <c r="AE225" s="11">
        <v>2046</v>
      </c>
      <c r="AF225" s="11">
        <v>2456</v>
      </c>
      <c r="AG225" s="12"/>
      <c r="AH225" s="47" t="s">
        <v>52</v>
      </c>
      <c r="AI225" s="12" t="s">
        <v>47</v>
      </c>
      <c r="AJ225" s="12" t="s">
        <v>166</v>
      </c>
      <c r="AK225" s="12" t="s">
        <v>167</v>
      </c>
      <c r="AL225" s="12" t="s">
        <v>168</v>
      </c>
      <c r="AM225" s="12" t="s">
        <v>169</v>
      </c>
      <c r="AN225" s="47" t="s">
        <v>47</v>
      </c>
      <c r="AO225" s="12"/>
      <c r="AP225" s="12" t="s">
        <v>53</v>
      </c>
      <c r="AQ225" s="2">
        <v>0</v>
      </c>
    </row>
    <row r="226" s="2" customFormat="1" ht="12" spans="1:43">
      <c r="A226" s="61">
        <v>161610</v>
      </c>
      <c r="B226" s="11" t="s">
        <v>558</v>
      </c>
      <c r="C226" s="11"/>
      <c r="D226" s="11"/>
      <c r="E226" s="11"/>
      <c r="F226" s="11">
        <v>0</v>
      </c>
      <c r="G226" s="11" t="s">
        <v>47</v>
      </c>
      <c r="H226" s="11" t="s">
        <v>45</v>
      </c>
      <c r="I226" s="11" t="s">
        <v>45</v>
      </c>
      <c r="J226" s="11">
        <v>0</v>
      </c>
      <c r="K226" s="11" t="s">
        <v>46</v>
      </c>
      <c r="L226" s="47" t="s">
        <v>47</v>
      </c>
      <c r="M226" s="11">
        <v>1020121</v>
      </c>
      <c r="N226" s="11">
        <v>0</v>
      </c>
      <c r="O226" s="47" t="s">
        <v>48</v>
      </c>
      <c r="P226" s="11">
        <v>1616</v>
      </c>
      <c r="Q226" s="11">
        <v>731</v>
      </c>
      <c r="R226" s="11">
        <v>2693</v>
      </c>
      <c r="S226" s="44">
        <v>126</v>
      </c>
      <c r="T226" s="44">
        <v>139</v>
      </c>
      <c r="U226" s="11">
        <v>3</v>
      </c>
      <c r="V226" s="11"/>
      <c r="W226" s="47" t="s">
        <v>47</v>
      </c>
      <c r="X226" s="47" t="s">
        <v>559</v>
      </c>
      <c r="Y226" s="47" t="str">
        <f t="shared" ref="Y226" si="101">B226</f>
        <v>隐匿者</v>
      </c>
      <c r="Z226" s="11"/>
      <c r="AA226" s="11"/>
      <c r="AB226" s="11" t="s">
        <v>558</v>
      </c>
      <c r="AC226" s="11">
        <v>2272</v>
      </c>
      <c r="AD226" s="11">
        <v>2273</v>
      </c>
      <c r="AE226" s="11">
        <v>2274</v>
      </c>
      <c r="AF226" s="11">
        <v>2274</v>
      </c>
      <c r="AG226" s="11"/>
      <c r="AH226" s="47" t="s">
        <v>52</v>
      </c>
      <c r="AI226" s="11">
        <v>1</v>
      </c>
      <c r="AJ226" s="11" t="s">
        <v>203</v>
      </c>
      <c r="AK226" s="11" t="s">
        <v>204</v>
      </c>
      <c r="AL226" s="11" t="s">
        <v>205</v>
      </c>
      <c r="AM226" s="11" t="s">
        <v>206</v>
      </c>
      <c r="AN226" s="47" t="s">
        <v>47</v>
      </c>
      <c r="AO226" s="11"/>
      <c r="AP226" s="11" t="s">
        <v>53</v>
      </c>
      <c r="AQ226" s="2">
        <v>0</v>
      </c>
    </row>
    <row r="227" s="3" customFormat="1" ht="12" spans="1:43">
      <c r="A227" s="61">
        <v>161611</v>
      </c>
      <c r="B227" s="12" t="s">
        <v>560</v>
      </c>
      <c r="C227" s="12"/>
      <c r="D227" s="12"/>
      <c r="E227" s="12"/>
      <c r="F227" s="12">
        <v>0</v>
      </c>
      <c r="G227" s="12" t="s">
        <v>47</v>
      </c>
      <c r="H227" s="12" t="s">
        <v>45</v>
      </c>
      <c r="I227" s="12" t="s">
        <v>45</v>
      </c>
      <c r="J227" s="12">
        <v>0</v>
      </c>
      <c r="K227" s="12" t="s">
        <v>46</v>
      </c>
      <c r="L227" s="47" t="s">
        <v>47</v>
      </c>
      <c r="M227" s="12">
        <v>1020133</v>
      </c>
      <c r="N227" s="12">
        <v>0</v>
      </c>
      <c r="O227" s="47" t="s">
        <v>48</v>
      </c>
      <c r="P227" s="12">
        <v>1616</v>
      </c>
      <c r="Q227" s="11">
        <v>542</v>
      </c>
      <c r="R227" s="11">
        <v>2821</v>
      </c>
      <c r="S227" s="44">
        <v>178</v>
      </c>
      <c r="T227" s="44">
        <v>130</v>
      </c>
      <c r="U227" s="12">
        <v>3</v>
      </c>
      <c r="V227" s="12"/>
      <c r="W227" s="47" t="s">
        <v>47</v>
      </c>
      <c r="X227" s="47" t="s">
        <v>561</v>
      </c>
      <c r="Y227" s="47" t="str">
        <f t="shared" ref="Y227" si="102">B227</f>
        <v>小妖</v>
      </c>
      <c r="Z227" s="12"/>
      <c r="AA227" s="12"/>
      <c r="AB227" s="12" t="s">
        <v>560</v>
      </c>
      <c r="AC227" s="12">
        <v>2275</v>
      </c>
      <c r="AD227" s="12">
        <v>2276</v>
      </c>
      <c r="AE227" s="12">
        <v>2277</v>
      </c>
      <c r="AF227" s="12">
        <v>2275</v>
      </c>
      <c r="AG227" s="12"/>
      <c r="AH227" s="47" t="s">
        <v>52</v>
      </c>
      <c r="AI227" s="12">
        <v>1</v>
      </c>
      <c r="AJ227" s="12" t="s">
        <v>223</v>
      </c>
      <c r="AK227" s="12"/>
      <c r="AL227" s="12" t="s">
        <v>237</v>
      </c>
      <c r="AM227" s="12" t="s">
        <v>238</v>
      </c>
      <c r="AN227" s="47" t="s">
        <v>47</v>
      </c>
      <c r="AO227" s="12"/>
      <c r="AP227" s="12" t="s">
        <v>53</v>
      </c>
      <c r="AQ227" s="2">
        <v>0</v>
      </c>
    </row>
    <row r="228" s="3" customFormat="1" ht="12" spans="1:43">
      <c r="A228" s="61">
        <v>161612</v>
      </c>
      <c r="B228" s="12" t="s">
        <v>71</v>
      </c>
      <c r="C228" s="12"/>
      <c r="D228" s="12"/>
      <c r="E228" s="12"/>
      <c r="F228" s="12">
        <v>0</v>
      </c>
      <c r="G228" s="12" t="s">
        <v>47</v>
      </c>
      <c r="H228" s="12" t="s">
        <v>45</v>
      </c>
      <c r="I228" s="12" t="s">
        <v>45</v>
      </c>
      <c r="J228" s="12">
        <v>1</v>
      </c>
      <c r="K228" s="12" t="s">
        <v>46</v>
      </c>
      <c r="L228" s="47" t="s">
        <v>47</v>
      </c>
      <c r="M228" s="12">
        <v>1010117</v>
      </c>
      <c r="N228" s="12">
        <v>0</v>
      </c>
      <c r="O228" s="47" t="s">
        <v>48</v>
      </c>
      <c r="P228" s="12">
        <v>1616</v>
      </c>
      <c r="Q228" s="11">
        <v>963</v>
      </c>
      <c r="R228" s="11">
        <v>188</v>
      </c>
      <c r="S228" s="44">
        <v>267</v>
      </c>
      <c r="T228" s="44">
        <v>24</v>
      </c>
      <c r="U228" s="12">
        <v>3</v>
      </c>
      <c r="V228" s="12"/>
      <c r="W228" s="47" t="s">
        <v>47</v>
      </c>
      <c r="X228" s="47" t="s">
        <v>70</v>
      </c>
      <c r="Y228" s="47" t="str">
        <f t="shared" ref="Y228" si="103">B228</f>
        <v>传送妖精</v>
      </c>
      <c r="Z228" s="12"/>
      <c r="AA228" s="12"/>
      <c r="AB228" s="12" t="s">
        <v>189</v>
      </c>
      <c r="AC228" s="13">
        <v>2470</v>
      </c>
      <c r="AD228" s="13">
        <v>2360</v>
      </c>
      <c r="AE228" s="12" t="s">
        <v>51</v>
      </c>
      <c r="AF228" s="12" t="s">
        <v>51</v>
      </c>
      <c r="AG228" s="12"/>
      <c r="AH228" s="47" t="s">
        <v>52</v>
      </c>
      <c r="AI228" s="12">
        <v>0</v>
      </c>
      <c r="AJ228" s="13" t="s">
        <v>72</v>
      </c>
      <c r="AK228" s="12"/>
      <c r="AL228" s="12"/>
      <c r="AM228" s="12"/>
      <c r="AN228" s="47" t="s">
        <v>47</v>
      </c>
      <c r="AO228" s="12"/>
      <c r="AP228" s="12" t="s">
        <v>53</v>
      </c>
      <c r="AQ228" s="2">
        <v>0</v>
      </c>
    </row>
    <row r="229" s="3" customFormat="1" ht="12" spans="1:43">
      <c r="A229" s="61">
        <v>161613</v>
      </c>
      <c r="B229" s="12" t="s">
        <v>562</v>
      </c>
      <c r="C229" s="12"/>
      <c r="D229" s="12"/>
      <c r="E229" s="12"/>
      <c r="F229" s="12">
        <v>0</v>
      </c>
      <c r="G229" s="12" t="s">
        <v>47</v>
      </c>
      <c r="H229" s="12" t="s">
        <v>45</v>
      </c>
      <c r="I229" s="12" t="s">
        <v>45</v>
      </c>
      <c r="J229" s="12">
        <v>0</v>
      </c>
      <c r="K229" s="12" t="s">
        <v>46</v>
      </c>
      <c r="L229" s="47" t="s">
        <v>47</v>
      </c>
      <c r="M229" s="12">
        <v>1030009</v>
      </c>
      <c r="N229" s="12">
        <v>0</v>
      </c>
      <c r="O229" s="47" t="s">
        <v>48</v>
      </c>
      <c r="P229" s="12">
        <v>1616</v>
      </c>
      <c r="Q229" s="11">
        <v>2980</v>
      </c>
      <c r="R229" s="11">
        <v>2812</v>
      </c>
      <c r="S229" s="44">
        <v>164</v>
      </c>
      <c r="T229" s="44">
        <v>107</v>
      </c>
      <c r="U229" s="12">
        <v>5</v>
      </c>
      <c r="V229" s="12"/>
      <c r="W229" s="47" t="s">
        <v>47</v>
      </c>
      <c r="X229" s="47" t="s">
        <v>563</v>
      </c>
      <c r="Y229" s="47" t="str">
        <f t="shared" ref="Y229" si="104">B229</f>
        <v>艾格纳</v>
      </c>
      <c r="Z229" s="12" t="s">
        <v>564</v>
      </c>
      <c r="AA229" s="12"/>
      <c r="AB229" s="12" t="s">
        <v>565</v>
      </c>
      <c r="AC229" s="12">
        <v>2510</v>
      </c>
      <c r="AD229" s="12">
        <v>2511</v>
      </c>
      <c r="AE229" s="12">
        <v>2512</v>
      </c>
      <c r="AF229" s="12">
        <v>2513</v>
      </c>
      <c r="AG229" s="12"/>
      <c r="AH229" s="47" t="s">
        <v>52</v>
      </c>
      <c r="AI229" s="12">
        <v>1</v>
      </c>
      <c r="AJ229" s="12"/>
      <c r="AK229" s="12"/>
      <c r="AL229" s="12"/>
      <c r="AM229" s="12"/>
      <c r="AN229" s="47" t="s">
        <v>47</v>
      </c>
      <c r="AO229" s="12"/>
      <c r="AP229" s="12" t="s">
        <v>53</v>
      </c>
      <c r="AQ229" s="2">
        <v>0</v>
      </c>
    </row>
    <row r="230" s="2" customFormat="1" ht="12" spans="1:43">
      <c r="A230" s="61">
        <v>161614</v>
      </c>
      <c r="B230" s="11" t="s">
        <v>302</v>
      </c>
      <c r="C230" s="11"/>
      <c r="D230" s="11"/>
      <c r="E230" s="11"/>
      <c r="F230" s="11">
        <v>0</v>
      </c>
      <c r="G230" s="11" t="s">
        <v>47</v>
      </c>
      <c r="H230" s="11" t="s">
        <v>45</v>
      </c>
      <c r="I230" s="11">
        <v>1</v>
      </c>
      <c r="J230" s="11">
        <v>1</v>
      </c>
      <c r="K230" s="11" t="s">
        <v>46</v>
      </c>
      <c r="L230" s="47" t="s">
        <v>47</v>
      </c>
      <c r="M230" s="11">
        <v>1020117</v>
      </c>
      <c r="N230" s="11">
        <v>0</v>
      </c>
      <c r="O230" s="47" t="s">
        <v>48</v>
      </c>
      <c r="P230" s="11">
        <v>1616</v>
      </c>
      <c r="Q230" s="11">
        <v>1987</v>
      </c>
      <c r="R230" s="11">
        <v>1878</v>
      </c>
      <c r="S230" s="44">
        <v>17</v>
      </c>
      <c r="T230" s="44">
        <v>159</v>
      </c>
      <c r="U230" s="11">
        <v>3</v>
      </c>
      <c r="V230" s="11"/>
      <c r="W230" s="47" t="s">
        <v>47</v>
      </c>
      <c r="X230" s="47" t="s">
        <v>267</v>
      </c>
      <c r="Y230" s="47" t="s">
        <v>302</v>
      </c>
      <c r="Z230" s="11"/>
      <c r="AA230" s="11"/>
      <c r="AB230" s="11" t="s">
        <v>302</v>
      </c>
      <c r="AC230" s="11">
        <v>2089</v>
      </c>
      <c r="AD230" s="11">
        <v>2090</v>
      </c>
      <c r="AE230" s="11">
        <v>2091</v>
      </c>
      <c r="AG230" s="11"/>
      <c r="AH230" s="47" t="s">
        <v>52</v>
      </c>
      <c r="AI230" s="11">
        <v>0</v>
      </c>
      <c r="AJ230" s="11" t="s">
        <v>268</v>
      </c>
      <c r="AK230" s="11" t="s">
        <v>269</v>
      </c>
      <c r="AL230" s="11" t="s">
        <v>270</v>
      </c>
      <c r="AM230" s="11"/>
      <c r="AN230" s="47">
        <v>1</v>
      </c>
      <c r="AO230" s="11"/>
      <c r="AP230" s="11" t="s">
        <v>53</v>
      </c>
      <c r="AQ230" s="2">
        <v>0</v>
      </c>
    </row>
    <row r="231" s="2" customFormat="1" ht="12.75" spans="1:43">
      <c r="A231" s="61">
        <v>161615</v>
      </c>
      <c r="B231" s="11" t="s">
        <v>371</v>
      </c>
      <c r="C231" s="11"/>
      <c r="D231" s="11"/>
      <c r="E231" s="11"/>
      <c r="F231" s="11">
        <v>0</v>
      </c>
      <c r="G231" s="11" t="s">
        <v>47</v>
      </c>
      <c r="H231" s="11">
        <v>0.8</v>
      </c>
      <c r="I231" s="11">
        <v>1</v>
      </c>
      <c r="J231" s="11">
        <v>0</v>
      </c>
      <c r="K231" s="11" t="s">
        <v>46</v>
      </c>
      <c r="L231" s="47" t="s">
        <v>47</v>
      </c>
      <c r="M231" s="54">
        <v>530084</v>
      </c>
      <c r="N231" s="11">
        <v>0</v>
      </c>
      <c r="O231" s="47" t="s">
        <v>48</v>
      </c>
      <c r="P231" s="11">
        <v>1616</v>
      </c>
      <c r="Q231" s="11">
        <v>936</v>
      </c>
      <c r="R231" s="11">
        <v>1568</v>
      </c>
      <c r="S231" s="44">
        <v>115</v>
      </c>
      <c r="T231" s="44">
        <v>62</v>
      </c>
      <c r="U231" s="11">
        <v>3</v>
      </c>
      <c r="V231" s="11"/>
      <c r="W231" s="47" t="s">
        <v>47</v>
      </c>
      <c r="X231" s="47" t="s">
        <v>267</v>
      </c>
      <c r="Y231" s="47" t="s">
        <v>566</v>
      </c>
      <c r="Z231" s="11"/>
      <c r="AA231" s="11"/>
      <c r="AB231" s="11" t="s">
        <v>566</v>
      </c>
      <c r="AC231" s="11">
        <v>2762</v>
      </c>
      <c r="AD231" s="11"/>
      <c r="AE231" s="11"/>
      <c r="AG231" s="11"/>
      <c r="AH231" s="47" t="s">
        <v>52</v>
      </c>
      <c r="AI231" s="11">
        <v>0</v>
      </c>
      <c r="AJ231" s="11"/>
      <c r="AK231" s="11"/>
      <c r="AL231" s="11"/>
      <c r="AM231" s="11"/>
      <c r="AN231" s="47">
        <v>1</v>
      </c>
      <c r="AO231" s="11"/>
      <c r="AP231" s="11" t="s">
        <v>53</v>
      </c>
      <c r="AQ231" s="2">
        <v>0</v>
      </c>
    </row>
    <row r="232" s="2" customFormat="1" ht="12.75" spans="1:43">
      <c r="A232" s="61">
        <v>161616</v>
      </c>
      <c r="B232" s="11" t="s">
        <v>371</v>
      </c>
      <c r="C232" s="11"/>
      <c r="D232" s="11"/>
      <c r="E232" s="11"/>
      <c r="F232" s="11">
        <v>0</v>
      </c>
      <c r="G232" s="11" t="s">
        <v>47</v>
      </c>
      <c r="H232" s="11">
        <v>0.8</v>
      </c>
      <c r="I232" s="11">
        <v>1</v>
      </c>
      <c r="J232" s="11">
        <v>0</v>
      </c>
      <c r="K232" s="11" t="s">
        <v>46</v>
      </c>
      <c r="L232" s="47" t="s">
        <v>47</v>
      </c>
      <c r="M232" s="54">
        <v>530084</v>
      </c>
      <c r="N232" s="11">
        <v>0</v>
      </c>
      <c r="O232" s="47" t="s">
        <v>48</v>
      </c>
      <c r="P232" s="11">
        <v>1616</v>
      </c>
      <c r="Q232" s="11">
        <v>765</v>
      </c>
      <c r="R232" s="11">
        <v>1477</v>
      </c>
      <c r="S232" s="44">
        <v>121</v>
      </c>
      <c r="T232" s="44">
        <v>58</v>
      </c>
      <c r="U232" s="11">
        <v>3</v>
      </c>
      <c r="V232" s="11"/>
      <c r="W232" s="47" t="s">
        <v>47</v>
      </c>
      <c r="X232" s="47" t="s">
        <v>267</v>
      </c>
      <c r="Y232" s="47" t="s">
        <v>567</v>
      </c>
      <c r="Z232" s="11"/>
      <c r="AA232" s="11"/>
      <c r="AB232" s="11" t="s">
        <v>567</v>
      </c>
      <c r="AC232" s="11">
        <v>2761</v>
      </c>
      <c r="AD232" s="11"/>
      <c r="AE232" s="11"/>
      <c r="AG232" s="11"/>
      <c r="AH232" s="47" t="s">
        <v>52</v>
      </c>
      <c r="AI232" s="11">
        <v>0</v>
      </c>
      <c r="AJ232" s="11"/>
      <c r="AK232" s="11"/>
      <c r="AL232" s="11"/>
      <c r="AM232" s="11"/>
      <c r="AN232" s="47">
        <v>1</v>
      </c>
      <c r="AO232" s="11"/>
      <c r="AP232" s="11" t="s">
        <v>53</v>
      </c>
      <c r="AQ232" s="2">
        <v>0</v>
      </c>
    </row>
    <row r="233" s="2" customFormat="1" ht="12" spans="1:43">
      <c r="A233" s="61">
        <v>161617</v>
      </c>
      <c r="B233" s="11" t="s">
        <v>568</v>
      </c>
      <c r="C233" s="11"/>
      <c r="D233" s="11"/>
      <c r="E233" s="11"/>
      <c r="F233" s="11">
        <v>0</v>
      </c>
      <c r="G233" s="11" t="s">
        <v>47</v>
      </c>
      <c r="H233" s="11">
        <v>1</v>
      </c>
      <c r="I233" s="11">
        <v>1</v>
      </c>
      <c r="J233" s="11">
        <v>0</v>
      </c>
      <c r="K233" s="11" t="s">
        <v>46</v>
      </c>
      <c r="L233" s="47" t="s">
        <v>47</v>
      </c>
      <c r="M233" s="11">
        <v>1010154</v>
      </c>
      <c r="N233" s="11">
        <v>0</v>
      </c>
      <c r="O233" s="47" t="s">
        <v>48</v>
      </c>
      <c r="P233" s="11">
        <v>1616</v>
      </c>
      <c r="Q233" s="11">
        <f>S233*16</f>
        <v>2016</v>
      </c>
      <c r="R233" s="11">
        <f>T233*16</f>
        <v>704</v>
      </c>
      <c r="S233" s="44">
        <v>126</v>
      </c>
      <c r="T233" s="44">
        <v>44</v>
      </c>
      <c r="U233" s="11">
        <v>3</v>
      </c>
      <c r="V233" s="11"/>
      <c r="W233" s="47" t="s">
        <v>47</v>
      </c>
      <c r="X233" s="47" t="s">
        <v>569</v>
      </c>
      <c r="Y233" s="47" t="str">
        <f>B233</f>
        <v>熊猫人</v>
      </c>
      <c r="Z233" s="11"/>
      <c r="AA233" s="11"/>
      <c r="AB233" s="11" t="str">
        <f>Y233</f>
        <v>熊猫人</v>
      </c>
      <c r="AC233" s="11">
        <v>2779</v>
      </c>
      <c r="AD233" s="11"/>
      <c r="AE233" s="11"/>
      <c r="AG233" s="11"/>
      <c r="AH233" s="47" t="s">
        <v>52</v>
      </c>
      <c r="AI233" s="11">
        <v>0</v>
      </c>
      <c r="AJ233" s="11"/>
      <c r="AK233" s="11"/>
      <c r="AL233" s="11"/>
      <c r="AM233" s="11"/>
      <c r="AN233" s="47">
        <v>0</v>
      </c>
      <c r="AO233" s="11"/>
      <c r="AP233" s="11" t="s">
        <v>53</v>
      </c>
      <c r="AQ233" s="2">
        <v>0</v>
      </c>
    </row>
    <row r="234" s="2" customFormat="1" ht="12" spans="1:43">
      <c r="A234" s="11">
        <v>161802</v>
      </c>
      <c r="B234" s="11" t="s">
        <v>570</v>
      </c>
      <c r="C234" s="11"/>
      <c r="D234" s="11"/>
      <c r="E234" s="11"/>
      <c r="F234" s="11">
        <v>0</v>
      </c>
      <c r="G234" s="11" t="s">
        <v>47</v>
      </c>
      <c r="H234" s="11" t="s">
        <v>45</v>
      </c>
      <c r="I234" s="11" t="s">
        <v>45</v>
      </c>
      <c r="J234" s="11">
        <v>0</v>
      </c>
      <c r="K234" s="11" t="s">
        <v>46</v>
      </c>
      <c r="L234" s="47" t="s">
        <v>47</v>
      </c>
      <c r="M234" s="11">
        <v>1020134</v>
      </c>
      <c r="N234" s="11">
        <v>0</v>
      </c>
      <c r="O234" s="47" t="s">
        <v>48</v>
      </c>
      <c r="P234" s="11">
        <v>1618</v>
      </c>
      <c r="Q234" s="11"/>
      <c r="R234" s="11"/>
      <c r="S234" s="11">
        <v>61</v>
      </c>
      <c r="T234" s="11">
        <v>39</v>
      </c>
      <c r="U234" s="11"/>
      <c r="V234" s="11"/>
      <c r="W234" s="47" t="s">
        <v>47</v>
      </c>
      <c r="X234" s="47" t="s">
        <v>571</v>
      </c>
      <c r="Y234" s="47" t="str">
        <f t="shared" ref="Y234" si="105">B234</f>
        <v>程夫人</v>
      </c>
      <c r="Z234" s="11"/>
      <c r="AA234" s="11"/>
      <c r="AB234" s="11" t="s">
        <v>572</v>
      </c>
      <c r="AC234" s="11">
        <v>2172</v>
      </c>
      <c r="AD234" s="11">
        <v>2173</v>
      </c>
      <c r="AE234" s="11">
        <v>2174</v>
      </c>
      <c r="AF234" s="11">
        <v>2175</v>
      </c>
      <c r="AG234" s="11"/>
      <c r="AH234" s="47" t="s">
        <v>52</v>
      </c>
      <c r="AI234" s="11">
        <v>1</v>
      </c>
      <c r="AJ234" s="11" t="s">
        <v>573</v>
      </c>
      <c r="AK234" s="11" t="s">
        <v>574</v>
      </c>
      <c r="AL234" s="11"/>
      <c r="AM234" s="11"/>
      <c r="AN234" s="47" t="s">
        <v>47</v>
      </c>
      <c r="AO234" s="11"/>
      <c r="AP234" s="11" t="s">
        <v>53</v>
      </c>
      <c r="AQ234" s="2">
        <v>0</v>
      </c>
    </row>
    <row r="235" s="10" customFormat="1" ht="12.75" spans="1:43">
      <c r="A235" s="63">
        <v>162401</v>
      </c>
      <c r="B235" s="63" t="s">
        <v>242</v>
      </c>
      <c r="C235" s="63"/>
      <c r="D235" s="63"/>
      <c r="E235" s="63"/>
      <c r="F235" s="63">
        <v>0</v>
      </c>
      <c r="G235" s="63" t="s">
        <v>47</v>
      </c>
      <c r="H235" s="63" t="s">
        <v>45</v>
      </c>
      <c r="I235" s="63" t="s">
        <v>45</v>
      </c>
      <c r="J235" s="63">
        <v>0</v>
      </c>
      <c r="K235" s="63" t="s">
        <v>46</v>
      </c>
      <c r="L235" s="47" t="s">
        <v>47</v>
      </c>
      <c r="M235" s="64">
        <v>1030001</v>
      </c>
      <c r="N235" s="63">
        <v>0</v>
      </c>
      <c r="O235" s="47" t="s">
        <v>48</v>
      </c>
      <c r="P235" s="63">
        <v>1624</v>
      </c>
      <c r="Q235" s="63">
        <v>856</v>
      </c>
      <c r="R235" s="63">
        <v>733</v>
      </c>
      <c r="S235" s="63">
        <f t="shared" ref="S235:T235" si="106">FLOOR(Q235/16,1)</f>
        <v>53</v>
      </c>
      <c r="T235" s="63">
        <f t="shared" si="106"/>
        <v>45</v>
      </c>
      <c r="U235" s="63">
        <v>3</v>
      </c>
      <c r="V235" s="63"/>
      <c r="W235" s="47" t="s">
        <v>47</v>
      </c>
      <c r="X235" s="47" t="s">
        <v>243</v>
      </c>
      <c r="Y235" s="47" t="str">
        <f t="shared" ref="Y235" si="107">B235</f>
        <v>陈员外</v>
      </c>
      <c r="Z235" s="63"/>
      <c r="AA235" s="63"/>
      <c r="AB235" s="63" t="s">
        <v>242</v>
      </c>
      <c r="AC235" s="63">
        <v>2048</v>
      </c>
      <c r="AD235" s="63">
        <v>2049</v>
      </c>
      <c r="AE235" s="63">
        <v>2050</v>
      </c>
      <c r="AF235" s="63">
        <v>2051</v>
      </c>
      <c r="AG235" s="63"/>
      <c r="AH235" s="47" t="s">
        <v>52</v>
      </c>
      <c r="AI235" s="63">
        <v>1</v>
      </c>
      <c r="AJ235" s="63" t="s">
        <v>117</v>
      </c>
      <c r="AK235" s="63" t="s">
        <v>118</v>
      </c>
      <c r="AL235" s="63" t="s">
        <v>119</v>
      </c>
      <c r="AM235" s="63" t="s">
        <v>120</v>
      </c>
      <c r="AN235" s="47" t="s">
        <v>47</v>
      </c>
      <c r="AO235" s="63"/>
      <c r="AP235" s="63" t="s">
        <v>53</v>
      </c>
      <c r="AQ235" s="2">
        <v>0</v>
      </c>
    </row>
    <row r="236" s="10" customFormat="1" ht="12.75" spans="1:43">
      <c r="A236" s="63">
        <v>162402</v>
      </c>
      <c r="B236" s="63" t="s">
        <v>371</v>
      </c>
      <c r="C236" s="63"/>
      <c r="D236" s="63"/>
      <c r="E236" s="63"/>
      <c r="F236" s="63">
        <v>0</v>
      </c>
      <c r="G236" s="63" t="s">
        <v>47</v>
      </c>
      <c r="H236" s="63" t="s">
        <v>45</v>
      </c>
      <c r="I236" s="63" t="s">
        <v>45</v>
      </c>
      <c r="J236" s="63">
        <v>0</v>
      </c>
      <c r="K236" s="63" t="s">
        <v>46</v>
      </c>
      <c r="L236" s="47" t="s">
        <v>47</v>
      </c>
      <c r="M236" s="54" t="s">
        <v>365</v>
      </c>
      <c r="N236" s="63">
        <v>0</v>
      </c>
      <c r="O236" s="47" t="s">
        <v>48</v>
      </c>
      <c r="P236" s="63">
        <v>1624</v>
      </c>
      <c r="Q236" s="63">
        <v>1074</v>
      </c>
      <c r="R236" s="63">
        <v>662</v>
      </c>
      <c r="S236" s="63">
        <v>64</v>
      </c>
      <c r="T236" s="63">
        <v>47</v>
      </c>
      <c r="U236" s="63">
        <v>3</v>
      </c>
      <c r="V236" s="63"/>
      <c r="W236" s="47" t="s">
        <v>47</v>
      </c>
      <c r="X236" s="47" t="s">
        <v>372</v>
      </c>
      <c r="Y236" s="47" t="str">
        <f t="shared" ref="Y236:Y237" si="108">B236</f>
        <v>野猪</v>
      </c>
      <c r="Z236" s="63"/>
      <c r="AA236" s="63"/>
      <c r="AB236" s="63" t="s">
        <v>373</v>
      </c>
      <c r="AC236" s="63">
        <v>2382</v>
      </c>
      <c r="AD236" s="63" t="s">
        <v>51</v>
      </c>
      <c r="AE236" s="63" t="s">
        <v>51</v>
      </c>
      <c r="AF236" s="63" t="s">
        <v>51</v>
      </c>
      <c r="AG236" s="63"/>
      <c r="AH236" s="47" t="s">
        <v>52</v>
      </c>
      <c r="AI236" s="63">
        <v>1</v>
      </c>
      <c r="AJ236" s="63"/>
      <c r="AK236" s="63"/>
      <c r="AL236" s="63"/>
      <c r="AM236" s="63"/>
      <c r="AN236" s="47" t="s">
        <v>47</v>
      </c>
      <c r="AO236" s="63"/>
      <c r="AP236" s="63" t="s">
        <v>53</v>
      </c>
      <c r="AQ236" s="2">
        <v>0</v>
      </c>
    </row>
    <row r="237" s="10" customFormat="1" ht="12" spans="1:43">
      <c r="A237" s="63">
        <v>162403</v>
      </c>
      <c r="B237" s="63" t="s">
        <v>575</v>
      </c>
      <c r="C237" s="63"/>
      <c r="D237" s="63"/>
      <c r="E237" s="63"/>
      <c r="F237" s="63">
        <v>0</v>
      </c>
      <c r="G237" s="63" t="s">
        <v>47</v>
      </c>
      <c r="H237" s="63" t="s">
        <v>45</v>
      </c>
      <c r="I237" s="63" t="s">
        <v>45</v>
      </c>
      <c r="J237" s="63">
        <v>0</v>
      </c>
      <c r="K237" s="63" t="s">
        <v>46</v>
      </c>
      <c r="L237" s="47" t="s">
        <v>47</v>
      </c>
      <c r="M237" s="63">
        <v>1010160</v>
      </c>
      <c r="N237" s="63">
        <v>0</v>
      </c>
      <c r="O237" s="47" t="s">
        <v>48</v>
      </c>
      <c r="P237" s="63">
        <v>1624</v>
      </c>
      <c r="Q237" s="63">
        <v>570</v>
      </c>
      <c r="R237" s="63">
        <v>1166</v>
      </c>
      <c r="S237" s="63">
        <f>FLOOR(Q237/16,1)</f>
        <v>35</v>
      </c>
      <c r="T237" s="63">
        <f>FLOOR(R237/16,1)</f>
        <v>72</v>
      </c>
      <c r="U237" s="63">
        <v>3</v>
      </c>
      <c r="V237" s="63"/>
      <c r="W237" s="47" t="s">
        <v>47</v>
      </c>
      <c r="X237" s="47" t="s">
        <v>576</v>
      </c>
      <c r="Y237" s="47" t="str">
        <f t="shared" si="108"/>
        <v>鳄鱼</v>
      </c>
      <c r="Z237" s="63"/>
      <c r="AA237" s="63"/>
      <c r="AB237" s="63" t="s">
        <v>575</v>
      </c>
      <c r="AC237" s="63">
        <v>2382</v>
      </c>
      <c r="AD237" s="63" t="s">
        <v>51</v>
      </c>
      <c r="AE237" s="63" t="s">
        <v>51</v>
      </c>
      <c r="AF237" s="63" t="s">
        <v>51</v>
      </c>
      <c r="AG237" s="63"/>
      <c r="AH237" s="47" t="s">
        <v>52</v>
      </c>
      <c r="AI237" s="63">
        <v>1</v>
      </c>
      <c r="AJ237" s="63"/>
      <c r="AK237" s="63"/>
      <c r="AL237" s="63"/>
      <c r="AM237" s="63"/>
      <c r="AN237" s="47" t="s">
        <v>47</v>
      </c>
      <c r="AO237" s="63"/>
      <c r="AP237" s="63" t="s">
        <v>53</v>
      </c>
      <c r="AQ237" s="2">
        <v>0</v>
      </c>
    </row>
    <row r="238" s="3" customFormat="1" ht="12" spans="1:43">
      <c r="A238" s="12">
        <v>165001</v>
      </c>
      <c r="B238" s="12" t="s">
        <v>577</v>
      </c>
      <c r="C238" s="12"/>
      <c r="D238" s="12"/>
      <c r="E238" s="12"/>
      <c r="F238" s="12">
        <v>0</v>
      </c>
      <c r="G238" s="12" t="s">
        <v>47</v>
      </c>
      <c r="H238" s="12" t="s">
        <v>45</v>
      </c>
      <c r="I238" s="12" t="s">
        <v>45</v>
      </c>
      <c r="J238" s="12">
        <v>0</v>
      </c>
      <c r="K238" s="12" t="s">
        <v>46</v>
      </c>
      <c r="L238" s="47" t="s">
        <v>47</v>
      </c>
      <c r="M238" s="12">
        <v>1030005</v>
      </c>
      <c r="N238" s="12">
        <v>0</v>
      </c>
      <c r="O238" s="47" t="s">
        <v>48</v>
      </c>
      <c r="P238" s="12">
        <v>1650</v>
      </c>
      <c r="Q238" s="12"/>
      <c r="R238" s="12"/>
      <c r="S238" s="12">
        <v>35</v>
      </c>
      <c r="T238" s="12">
        <v>21</v>
      </c>
      <c r="U238" s="12"/>
      <c r="V238" s="12"/>
      <c r="W238" s="47" t="s">
        <v>47</v>
      </c>
      <c r="X238" s="47" t="s">
        <v>578</v>
      </c>
      <c r="Y238" s="47" t="str">
        <f t="shared" ref="Y238" si="109">B238</f>
        <v>灵魂医者</v>
      </c>
      <c r="Z238" s="12"/>
      <c r="AA238" s="12"/>
      <c r="AB238" s="12" t="s">
        <v>577</v>
      </c>
      <c r="AC238" s="12">
        <v>2158</v>
      </c>
      <c r="AD238" s="12">
        <v>2159</v>
      </c>
      <c r="AE238" s="12">
        <v>2160</v>
      </c>
      <c r="AF238" s="12">
        <v>2161</v>
      </c>
      <c r="AG238" s="12"/>
      <c r="AH238" s="47" t="s">
        <v>52</v>
      </c>
      <c r="AI238" s="12" t="s">
        <v>47</v>
      </c>
      <c r="AJ238" s="12" t="s">
        <v>579</v>
      </c>
      <c r="AK238" s="12"/>
      <c r="AL238" s="12"/>
      <c r="AM238" s="12"/>
      <c r="AN238" s="47" t="s">
        <v>47</v>
      </c>
      <c r="AO238" s="12"/>
      <c r="AP238" s="12" t="s">
        <v>53</v>
      </c>
      <c r="AQ238" s="2">
        <v>0</v>
      </c>
    </row>
    <row r="239" s="2" customFormat="1" ht="12" spans="1:43">
      <c r="A239" s="11">
        <v>165101</v>
      </c>
      <c r="B239" s="11" t="s">
        <v>580</v>
      </c>
      <c r="C239" s="11"/>
      <c r="D239" s="11"/>
      <c r="E239" s="11"/>
      <c r="F239" s="11">
        <v>0</v>
      </c>
      <c r="G239" s="11" t="s">
        <v>47</v>
      </c>
      <c r="H239" s="11" t="s">
        <v>45</v>
      </c>
      <c r="I239" s="11" t="s">
        <v>45</v>
      </c>
      <c r="J239" s="12">
        <v>0</v>
      </c>
      <c r="K239" s="11" t="s">
        <v>46</v>
      </c>
      <c r="L239" s="47" t="s">
        <v>47</v>
      </c>
      <c r="M239" s="11">
        <v>1010129</v>
      </c>
      <c r="N239" s="11">
        <v>0</v>
      </c>
      <c r="O239" s="47" t="s">
        <v>48</v>
      </c>
      <c r="P239" s="11">
        <v>1651</v>
      </c>
      <c r="Q239" s="11"/>
      <c r="R239" s="11"/>
      <c r="S239" s="11">
        <v>65</v>
      </c>
      <c r="T239" s="11">
        <v>36</v>
      </c>
      <c r="U239" s="11"/>
      <c r="V239" s="11"/>
      <c r="W239" s="47" t="s">
        <v>47</v>
      </c>
      <c r="X239" s="47" t="s">
        <v>581</v>
      </c>
      <c r="Y239" s="47" t="str">
        <f t="shared" ref="Y239" si="110">B239</f>
        <v>黑兽</v>
      </c>
      <c r="Z239" s="11"/>
      <c r="AA239" s="11"/>
      <c r="AB239" s="11" t="s">
        <v>580</v>
      </c>
      <c r="AC239" s="11">
        <v>2141</v>
      </c>
      <c r="AD239" s="11">
        <v>2141</v>
      </c>
      <c r="AE239" s="11">
        <v>2141</v>
      </c>
      <c r="AF239" s="11">
        <v>2141</v>
      </c>
      <c r="AG239" s="11"/>
      <c r="AH239" s="47" t="s">
        <v>52</v>
      </c>
      <c r="AI239" s="11">
        <v>1</v>
      </c>
      <c r="AJ239" s="11"/>
      <c r="AK239" s="11"/>
      <c r="AL239" s="11"/>
      <c r="AM239" s="11"/>
      <c r="AN239" s="47" t="s">
        <v>47</v>
      </c>
      <c r="AO239" s="11"/>
      <c r="AP239" s="11" t="s">
        <v>53</v>
      </c>
      <c r="AQ239" s="2">
        <v>0</v>
      </c>
    </row>
    <row r="240" s="3" customFormat="1" ht="12" spans="1:43">
      <c r="A240" s="12">
        <v>165102</v>
      </c>
      <c r="B240" s="12" t="s">
        <v>580</v>
      </c>
      <c r="C240" s="12"/>
      <c r="D240" s="12"/>
      <c r="E240" s="12"/>
      <c r="F240" s="12">
        <v>0</v>
      </c>
      <c r="G240" s="12" t="s">
        <v>47</v>
      </c>
      <c r="H240" s="12" t="s">
        <v>45</v>
      </c>
      <c r="I240" s="12" t="s">
        <v>45</v>
      </c>
      <c r="J240" s="12">
        <v>0</v>
      </c>
      <c r="K240" s="12" t="s">
        <v>46</v>
      </c>
      <c r="L240" s="47" t="s">
        <v>47</v>
      </c>
      <c r="M240" s="12">
        <v>1010129</v>
      </c>
      <c r="N240" s="12">
        <v>0</v>
      </c>
      <c r="O240" s="47" t="s">
        <v>48</v>
      </c>
      <c r="P240" s="12">
        <v>1651</v>
      </c>
      <c r="Q240" s="12"/>
      <c r="R240" s="12"/>
      <c r="S240" s="12">
        <v>69</v>
      </c>
      <c r="T240" s="12">
        <v>33</v>
      </c>
      <c r="U240" s="12"/>
      <c r="V240" s="12"/>
      <c r="W240" s="47" t="s">
        <v>47</v>
      </c>
      <c r="X240" s="47" t="s">
        <v>581</v>
      </c>
      <c r="Y240" s="47" t="str">
        <f t="shared" ref="Y240" si="111">B240</f>
        <v>黑兽</v>
      </c>
      <c r="Z240" s="12"/>
      <c r="AA240" s="12"/>
      <c r="AB240" s="12" t="s">
        <v>580</v>
      </c>
      <c r="AC240" s="12">
        <v>2141</v>
      </c>
      <c r="AD240" s="12">
        <v>2141</v>
      </c>
      <c r="AE240" s="12">
        <v>2141</v>
      </c>
      <c r="AF240" s="12">
        <v>2141</v>
      </c>
      <c r="AG240" s="12"/>
      <c r="AH240" s="47" t="s">
        <v>52</v>
      </c>
      <c r="AI240" s="12">
        <v>1</v>
      </c>
      <c r="AJ240" s="12"/>
      <c r="AK240" s="12"/>
      <c r="AL240" s="12"/>
      <c r="AM240" s="12"/>
      <c r="AN240" s="47" t="s">
        <v>47</v>
      </c>
      <c r="AO240" s="12"/>
      <c r="AP240" s="12" t="s">
        <v>53</v>
      </c>
      <c r="AQ240" s="2">
        <v>0</v>
      </c>
    </row>
    <row r="241" s="2" customFormat="1" ht="12" spans="1:43">
      <c r="A241" s="11">
        <v>165103</v>
      </c>
      <c r="B241" s="11" t="s">
        <v>580</v>
      </c>
      <c r="C241" s="11"/>
      <c r="D241" s="11"/>
      <c r="E241" s="11"/>
      <c r="F241" s="11">
        <v>0</v>
      </c>
      <c r="G241" s="11" t="s">
        <v>47</v>
      </c>
      <c r="H241" s="11" t="s">
        <v>45</v>
      </c>
      <c r="I241" s="11" t="s">
        <v>45</v>
      </c>
      <c r="J241" s="12">
        <v>0</v>
      </c>
      <c r="K241" s="11" t="s">
        <v>46</v>
      </c>
      <c r="L241" s="47" t="s">
        <v>47</v>
      </c>
      <c r="M241" s="11">
        <v>1010129</v>
      </c>
      <c r="N241" s="11">
        <v>0</v>
      </c>
      <c r="O241" s="47" t="s">
        <v>48</v>
      </c>
      <c r="P241" s="11">
        <v>1651</v>
      </c>
      <c r="Q241" s="11"/>
      <c r="R241" s="11"/>
      <c r="S241" s="11">
        <v>58</v>
      </c>
      <c r="T241" s="11">
        <v>38</v>
      </c>
      <c r="U241" s="11"/>
      <c r="V241" s="11"/>
      <c r="W241" s="47" t="s">
        <v>47</v>
      </c>
      <c r="X241" s="47" t="s">
        <v>581</v>
      </c>
      <c r="Y241" s="47" t="str">
        <f t="shared" ref="Y241" si="112">B241</f>
        <v>黑兽</v>
      </c>
      <c r="Z241" s="11"/>
      <c r="AA241" s="11"/>
      <c r="AB241" s="11" t="s">
        <v>580</v>
      </c>
      <c r="AC241" s="11">
        <v>2141</v>
      </c>
      <c r="AD241" s="11">
        <v>2141</v>
      </c>
      <c r="AE241" s="11">
        <v>2141</v>
      </c>
      <c r="AF241" s="11">
        <v>2141</v>
      </c>
      <c r="AG241" s="11"/>
      <c r="AH241" s="47" t="s">
        <v>52</v>
      </c>
      <c r="AI241" s="11">
        <v>1</v>
      </c>
      <c r="AJ241" s="11"/>
      <c r="AK241" s="11"/>
      <c r="AL241" s="11"/>
      <c r="AM241" s="11"/>
      <c r="AN241" s="47" t="s">
        <v>47</v>
      </c>
      <c r="AO241" s="11"/>
      <c r="AP241" s="11" t="s">
        <v>53</v>
      </c>
      <c r="AQ241" s="2">
        <v>0</v>
      </c>
    </row>
    <row r="242" s="3" customFormat="1" ht="12" spans="1:43">
      <c r="A242" s="12">
        <v>165104</v>
      </c>
      <c r="B242" s="12" t="s">
        <v>580</v>
      </c>
      <c r="C242" s="12"/>
      <c r="D242" s="12"/>
      <c r="E242" s="12"/>
      <c r="F242" s="12">
        <v>0</v>
      </c>
      <c r="G242" s="12" t="s">
        <v>47</v>
      </c>
      <c r="H242" s="12" t="s">
        <v>45</v>
      </c>
      <c r="I242" s="12" t="s">
        <v>45</v>
      </c>
      <c r="J242" s="12">
        <v>0</v>
      </c>
      <c r="K242" s="12" t="s">
        <v>46</v>
      </c>
      <c r="L242" s="47" t="s">
        <v>47</v>
      </c>
      <c r="M242" s="12">
        <v>1010129</v>
      </c>
      <c r="N242" s="12">
        <v>0</v>
      </c>
      <c r="O242" s="47" t="s">
        <v>48</v>
      </c>
      <c r="P242" s="12">
        <v>1651</v>
      </c>
      <c r="Q242" s="12"/>
      <c r="R242" s="12"/>
      <c r="S242" s="12">
        <v>53</v>
      </c>
      <c r="T242" s="12">
        <v>37</v>
      </c>
      <c r="U242" s="12"/>
      <c r="V242" s="12"/>
      <c r="W242" s="47" t="s">
        <v>47</v>
      </c>
      <c r="X242" s="47" t="s">
        <v>581</v>
      </c>
      <c r="Y242" s="47" t="str">
        <f t="shared" ref="Y242" si="113">B242</f>
        <v>黑兽</v>
      </c>
      <c r="Z242" s="12"/>
      <c r="AA242" s="12"/>
      <c r="AB242" s="12" t="s">
        <v>580</v>
      </c>
      <c r="AC242" s="12">
        <v>2141</v>
      </c>
      <c r="AD242" s="12">
        <v>2141</v>
      </c>
      <c r="AE242" s="12">
        <v>2141</v>
      </c>
      <c r="AF242" s="12">
        <v>2141</v>
      </c>
      <c r="AG242" s="12"/>
      <c r="AH242" s="47" t="s">
        <v>52</v>
      </c>
      <c r="AI242" s="12">
        <v>1</v>
      </c>
      <c r="AJ242" s="12"/>
      <c r="AK242" s="12"/>
      <c r="AL242" s="12"/>
      <c r="AM242" s="12"/>
      <c r="AN242" s="47" t="s">
        <v>47</v>
      </c>
      <c r="AO242" s="12"/>
      <c r="AP242" s="12" t="s">
        <v>53</v>
      </c>
      <c r="AQ242" s="2">
        <v>0</v>
      </c>
    </row>
    <row r="243" s="2" customFormat="1" ht="12" spans="1:43">
      <c r="A243" s="11">
        <v>165105</v>
      </c>
      <c r="B243" s="11" t="s">
        <v>580</v>
      </c>
      <c r="C243" s="11"/>
      <c r="D243" s="11"/>
      <c r="E243" s="11"/>
      <c r="F243" s="11">
        <v>0</v>
      </c>
      <c r="G243" s="11" t="s">
        <v>47</v>
      </c>
      <c r="H243" s="11" t="s">
        <v>45</v>
      </c>
      <c r="I243" s="11" t="s">
        <v>45</v>
      </c>
      <c r="J243" s="12">
        <v>0</v>
      </c>
      <c r="K243" s="11" t="s">
        <v>46</v>
      </c>
      <c r="L243" s="47" t="s">
        <v>47</v>
      </c>
      <c r="M243" s="11">
        <v>1010129</v>
      </c>
      <c r="N243" s="11">
        <v>0</v>
      </c>
      <c r="O243" s="47" t="s">
        <v>48</v>
      </c>
      <c r="P243" s="11">
        <v>1651</v>
      </c>
      <c r="Q243" s="11"/>
      <c r="R243" s="11"/>
      <c r="S243" s="11">
        <v>50</v>
      </c>
      <c r="T243" s="11">
        <v>43</v>
      </c>
      <c r="U243" s="11"/>
      <c r="V243" s="11"/>
      <c r="W243" s="47" t="s">
        <v>47</v>
      </c>
      <c r="X243" s="47" t="s">
        <v>581</v>
      </c>
      <c r="Y243" s="47" t="str">
        <f t="shared" ref="Y243" si="114">B243</f>
        <v>黑兽</v>
      </c>
      <c r="Z243" s="11"/>
      <c r="AA243" s="11"/>
      <c r="AB243" s="11" t="s">
        <v>580</v>
      </c>
      <c r="AC243" s="11">
        <v>2141</v>
      </c>
      <c r="AD243" s="11">
        <v>2141</v>
      </c>
      <c r="AE243" s="11">
        <v>2141</v>
      </c>
      <c r="AF243" s="11">
        <v>2141</v>
      </c>
      <c r="AG243" s="11"/>
      <c r="AH243" s="47" t="s">
        <v>52</v>
      </c>
      <c r="AI243" s="11">
        <v>1</v>
      </c>
      <c r="AJ243" s="11"/>
      <c r="AK243" s="11"/>
      <c r="AL243" s="11"/>
      <c r="AM243" s="11"/>
      <c r="AN243" s="47" t="s">
        <v>47</v>
      </c>
      <c r="AO243" s="11"/>
      <c r="AP243" s="11" t="s">
        <v>53</v>
      </c>
      <c r="AQ243" s="2">
        <v>0</v>
      </c>
    </row>
    <row r="244" s="3" customFormat="1" ht="12" spans="1:43">
      <c r="A244" s="12">
        <v>165106</v>
      </c>
      <c r="B244" s="12" t="s">
        <v>580</v>
      </c>
      <c r="C244" s="12"/>
      <c r="D244" s="12"/>
      <c r="E244" s="12"/>
      <c r="F244" s="12">
        <v>0</v>
      </c>
      <c r="G244" s="12" t="s">
        <v>47</v>
      </c>
      <c r="H244" s="12" t="s">
        <v>45</v>
      </c>
      <c r="I244" s="12" t="s">
        <v>45</v>
      </c>
      <c r="J244" s="12">
        <v>0</v>
      </c>
      <c r="K244" s="12" t="s">
        <v>46</v>
      </c>
      <c r="L244" s="47" t="s">
        <v>47</v>
      </c>
      <c r="M244" s="12">
        <v>1010129</v>
      </c>
      <c r="N244" s="12">
        <v>0</v>
      </c>
      <c r="O244" s="47" t="s">
        <v>48</v>
      </c>
      <c r="P244" s="12">
        <v>1651</v>
      </c>
      <c r="Q244" s="12"/>
      <c r="R244" s="12"/>
      <c r="S244" s="12">
        <v>81</v>
      </c>
      <c r="T244" s="12">
        <v>8</v>
      </c>
      <c r="U244" s="12"/>
      <c r="V244" s="12"/>
      <c r="W244" s="47" t="s">
        <v>47</v>
      </c>
      <c r="X244" s="47" t="s">
        <v>581</v>
      </c>
      <c r="Y244" s="47" t="str">
        <f t="shared" ref="Y244" si="115">B244</f>
        <v>黑兽</v>
      </c>
      <c r="Z244" s="12"/>
      <c r="AA244" s="12"/>
      <c r="AB244" s="12" t="s">
        <v>580</v>
      </c>
      <c r="AC244" s="12">
        <v>2141</v>
      </c>
      <c r="AD244" s="12">
        <v>2141</v>
      </c>
      <c r="AE244" s="12">
        <v>2141</v>
      </c>
      <c r="AF244" s="12">
        <v>2141</v>
      </c>
      <c r="AG244" s="12"/>
      <c r="AH244" s="47" t="s">
        <v>52</v>
      </c>
      <c r="AI244" s="12">
        <v>1</v>
      </c>
      <c r="AJ244" s="12"/>
      <c r="AK244" s="12"/>
      <c r="AL244" s="12"/>
      <c r="AM244" s="12"/>
      <c r="AN244" s="47" t="s">
        <v>47</v>
      </c>
      <c r="AO244" s="12"/>
      <c r="AP244" s="12" t="s">
        <v>53</v>
      </c>
      <c r="AQ244" s="2">
        <v>0</v>
      </c>
    </row>
    <row r="245" s="2" customFormat="1" ht="12" spans="1:43">
      <c r="A245" s="11">
        <v>165107</v>
      </c>
      <c r="B245" s="11" t="s">
        <v>580</v>
      </c>
      <c r="C245" s="11"/>
      <c r="D245" s="11"/>
      <c r="E245" s="11"/>
      <c r="F245" s="11">
        <v>0</v>
      </c>
      <c r="G245" s="11" t="s">
        <v>47</v>
      </c>
      <c r="H245" s="11" t="s">
        <v>45</v>
      </c>
      <c r="I245" s="11" t="s">
        <v>45</v>
      </c>
      <c r="J245" s="12">
        <v>0</v>
      </c>
      <c r="K245" s="11" t="s">
        <v>46</v>
      </c>
      <c r="L245" s="47" t="s">
        <v>47</v>
      </c>
      <c r="M245" s="11">
        <v>1010129</v>
      </c>
      <c r="N245" s="11">
        <v>0</v>
      </c>
      <c r="O245" s="47" t="s">
        <v>48</v>
      </c>
      <c r="P245" s="11">
        <v>1651</v>
      </c>
      <c r="Q245" s="11"/>
      <c r="R245" s="11"/>
      <c r="S245" s="11">
        <v>86</v>
      </c>
      <c r="T245" s="11">
        <v>7</v>
      </c>
      <c r="U245" s="11"/>
      <c r="V245" s="11"/>
      <c r="W245" s="47" t="s">
        <v>47</v>
      </c>
      <c r="X245" s="47" t="s">
        <v>581</v>
      </c>
      <c r="Y245" s="47" t="str">
        <f t="shared" ref="Y245" si="116">B245</f>
        <v>黑兽</v>
      </c>
      <c r="Z245" s="11"/>
      <c r="AA245" s="11"/>
      <c r="AB245" s="11" t="s">
        <v>580</v>
      </c>
      <c r="AC245" s="11">
        <v>2141</v>
      </c>
      <c r="AD245" s="11">
        <v>2141</v>
      </c>
      <c r="AE245" s="11">
        <v>2141</v>
      </c>
      <c r="AF245" s="11">
        <v>2141</v>
      </c>
      <c r="AG245" s="11"/>
      <c r="AH245" s="47" t="s">
        <v>52</v>
      </c>
      <c r="AI245" s="11">
        <v>1</v>
      </c>
      <c r="AJ245" s="11"/>
      <c r="AK245" s="11"/>
      <c r="AL245" s="11"/>
      <c r="AM245" s="11"/>
      <c r="AN245" s="47" t="s">
        <v>47</v>
      </c>
      <c r="AO245" s="11"/>
      <c r="AP245" s="11" t="s">
        <v>53</v>
      </c>
      <c r="AQ245" s="2">
        <v>0</v>
      </c>
    </row>
    <row r="246" s="3" customFormat="1" ht="12" spans="1:43">
      <c r="A246" s="12">
        <v>165108</v>
      </c>
      <c r="B246" s="12" t="s">
        <v>580</v>
      </c>
      <c r="C246" s="12"/>
      <c r="D246" s="12"/>
      <c r="E246" s="12"/>
      <c r="F246" s="12">
        <v>0</v>
      </c>
      <c r="G246" s="12" t="s">
        <v>47</v>
      </c>
      <c r="H246" s="12" t="s">
        <v>45</v>
      </c>
      <c r="I246" s="12" t="s">
        <v>45</v>
      </c>
      <c r="J246" s="12">
        <v>0</v>
      </c>
      <c r="K246" s="12" t="s">
        <v>46</v>
      </c>
      <c r="L246" s="47" t="s">
        <v>47</v>
      </c>
      <c r="M246" s="12">
        <v>1010129</v>
      </c>
      <c r="N246" s="12">
        <v>0</v>
      </c>
      <c r="O246" s="47" t="s">
        <v>48</v>
      </c>
      <c r="P246" s="12">
        <v>1651</v>
      </c>
      <c r="Q246" s="12"/>
      <c r="R246" s="12"/>
      <c r="S246" s="12">
        <v>88</v>
      </c>
      <c r="T246" s="12">
        <v>13</v>
      </c>
      <c r="U246" s="12"/>
      <c r="V246" s="12"/>
      <c r="W246" s="47" t="s">
        <v>47</v>
      </c>
      <c r="X246" s="47" t="s">
        <v>581</v>
      </c>
      <c r="Y246" s="47" t="str">
        <f t="shared" ref="Y246" si="117">B246</f>
        <v>黑兽</v>
      </c>
      <c r="Z246" s="12"/>
      <c r="AA246" s="12"/>
      <c r="AB246" s="12" t="s">
        <v>580</v>
      </c>
      <c r="AC246" s="12">
        <v>2141</v>
      </c>
      <c r="AD246" s="12">
        <v>2141</v>
      </c>
      <c r="AE246" s="12">
        <v>2141</v>
      </c>
      <c r="AF246" s="12">
        <v>2141</v>
      </c>
      <c r="AG246" s="12"/>
      <c r="AH246" s="47" t="s">
        <v>52</v>
      </c>
      <c r="AI246" s="12">
        <v>1</v>
      </c>
      <c r="AJ246" s="12"/>
      <c r="AK246" s="12"/>
      <c r="AL246" s="12"/>
      <c r="AM246" s="12"/>
      <c r="AN246" s="47" t="s">
        <v>47</v>
      </c>
      <c r="AO246" s="12"/>
      <c r="AP246" s="12" t="s">
        <v>53</v>
      </c>
      <c r="AQ246" s="2">
        <v>0</v>
      </c>
    </row>
    <row r="247" s="2" customFormat="1" ht="12" spans="1:43">
      <c r="A247" s="11">
        <v>165109</v>
      </c>
      <c r="B247" s="11" t="s">
        <v>580</v>
      </c>
      <c r="C247" s="11"/>
      <c r="D247" s="11"/>
      <c r="E247" s="11"/>
      <c r="F247" s="11">
        <v>0</v>
      </c>
      <c r="G247" s="11" t="s">
        <v>47</v>
      </c>
      <c r="H247" s="11" t="s">
        <v>45</v>
      </c>
      <c r="I247" s="11" t="s">
        <v>45</v>
      </c>
      <c r="J247" s="12">
        <v>0</v>
      </c>
      <c r="K247" s="11" t="s">
        <v>46</v>
      </c>
      <c r="L247" s="47" t="s">
        <v>47</v>
      </c>
      <c r="M247" s="11">
        <v>1010129</v>
      </c>
      <c r="N247" s="11">
        <v>0</v>
      </c>
      <c r="O247" s="47" t="s">
        <v>48</v>
      </c>
      <c r="P247" s="11">
        <v>1651</v>
      </c>
      <c r="Q247" s="11"/>
      <c r="R247" s="11"/>
      <c r="S247" s="11">
        <v>75</v>
      </c>
      <c r="T247" s="11">
        <v>21</v>
      </c>
      <c r="U247" s="11"/>
      <c r="V247" s="11"/>
      <c r="W247" s="47" t="s">
        <v>47</v>
      </c>
      <c r="X247" s="47" t="s">
        <v>581</v>
      </c>
      <c r="Y247" s="47" t="str">
        <f t="shared" ref="Y247" si="118">B247</f>
        <v>黑兽</v>
      </c>
      <c r="Z247" s="11"/>
      <c r="AA247" s="11"/>
      <c r="AB247" s="11" t="s">
        <v>580</v>
      </c>
      <c r="AC247" s="11">
        <v>2141</v>
      </c>
      <c r="AD247" s="11">
        <v>2141</v>
      </c>
      <c r="AE247" s="11">
        <v>2141</v>
      </c>
      <c r="AF247" s="11">
        <v>2141</v>
      </c>
      <c r="AG247" s="11"/>
      <c r="AH247" s="47" t="s">
        <v>52</v>
      </c>
      <c r="AI247" s="11">
        <v>1</v>
      </c>
      <c r="AJ247" s="11"/>
      <c r="AK247" s="11"/>
      <c r="AL247" s="11"/>
      <c r="AM247" s="11"/>
      <c r="AN247" s="47" t="s">
        <v>47</v>
      </c>
      <c r="AO247" s="11"/>
      <c r="AP247" s="11" t="s">
        <v>53</v>
      </c>
      <c r="AQ247" s="2">
        <v>0</v>
      </c>
    </row>
    <row r="248" s="3" customFormat="1" ht="12" spans="1:43">
      <c r="A248" s="12">
        <v>165110</v>
      </c>
      <c r="B248" s="12" t="s">
        <v>580</v>
      </c>
      <c r="C248" s="12"/>
      <c r="D248" s="12"/>
      <c r="E248" s="12"/>
      <c r="F248" s="12">
        <v>0</v>
      </c>
      <c r="G248" s="12" t="s">
        <v>47</v>
      </c>
      <c r="H248" s="12" t="s">
        <v>45</v>
      </c>
      <c r="I248" s="12" t="s">
        <v>45</v>
      </c>
      <c r="J248" s="12">
        <v>0</v>
      </c>
      <c r="K248" s="12" t="s">
        <v>46</v>
      </c>
      <c r="L248" s="47" t="s">
        <v>47</v>
      </c>
      <c r="M248" s="12">
        <v>1010129</v>
      </c>
      <c r="N248" s="12">
        <v>0</v>
      </c>
      <c r="O248" s="47" t="s">
        <v>48</v>
      </c>
      <c r="P248" s="12">
        <v>1651</v>
      </c>
      <c r="Q248" s="12"/>
      <c r="R248" s="12"/>
      <c r="S248" s="12">
        <v>84</v>
      </c>
      <c r="T248" s="12">
        <v>23</v>
      </c>
      <c r="U248" s="12"/>
      <c r="V248" s="12"/>
      <c r="W248" s="47" t="s">
        <v>47</v>
      </c>
      <c r="X248" s="47" t="s">
        <v>581</v>
      </c>
      <c r="Y248" s="47" t="str">
        <f t="shared" ref="Y248" si="119">B248</f>
        <v>黑兽</v>
      </c>
      <c r="Z248" s="12"/>
      <c r="AA248" s="12"/>
      <c r="AB248" s="12" t="s">
        <v>580</v>
      </c>
      <c r="AC248" s="12">
        <v>2141</v>
      </c>
      <c r="AD248" s="12">
        <v>2141</v>
      </c>
      <c r="AE248" s="12">
        <v>2141</v>
      </c>
      <c r="AF248" s="12">
        <v>2141</v>
      </c>
      <c r="AG248" s="12"/>
      <c r="AH248" s="47" t="s">
        <v>52</v>
      </c>
      <c r="AI248" s="12">
        <v>1</v>
      </c>
      <c r="AJ248" s="12"/>
      <c r="AK248" s="12"/>
      <c r="AL248" s="12"/>
      <c r="AM248" s="12"/>
      <c r="AN248" s="47" t="s">
        <v>47</v>
      </c>
      <c r="AO248" s="12"/>
      <c r="AP248" s="12" t="s">
        <v>53</v>
      </c>
      <c r="AQ248" s="2">
        <v>0</v>
      </c>
    </row>
    <row r="249" s="2" customFormat="1" ht="12" spans="1:43">
      <c r="A249" s="11">
        <v>165111</v>
      </c>
      <c r="B249" s="11" t="s">
        <v>580</v>
      </c>
      <c r="C249" s="11"/>
      <c r="D249" s="11"/>
      <c r="E249" s="11"/>
      <c r="F249" s="11">
        <v>0</v>
      </c>
      <c r="G249" s="11" t="s">
        <v>47</v>
      </c>
      <c r="H249" s="11" t="s">
        <v>45</v>
      </c>
      <c r="I249" s="11" t="s">
        <v>45</v>
      </c>
      <c r="J249" s="12">
        <v>0</v>
      </c>
      <c r="K249" s="11" t="s">
        <v>46</v>
      </c>
      <c r="L249" s="47" t="s">
        <v>47</v>
      </c>
      <c r="M249" s="11">
        <v>1010129</v>
      </c>
      <c r="N249" s="11">
        <v>0</v>
      </c>
      <c r="O249" s="47" t="s">
        <v>48</v>
      </c>
      <c r="P249" s="11">
        <v>1651</v>
      </c>
      <c r="Q249" s="11"/>
      <c r="R249" s="11"/>
      <c r="S249" s="11">
        <v>90</v>
      </c>
      <c r="T249" s="11">
        <v>72</v>
      </c>
      <c r="U249" s="11"/>
      <c r="V249" s="11"/>
      <c r="W249" s="47" t="s">
        <v>47</v>
      </c>
      <c r="X249" s="47" t="s">
        <v>581</v>
      </c>
      <c r="Y249" s="47" t="str">
        <f t="shared" ref="Y249" si="120">B249</f>
        <v>黑兽</v>
      </c>
      <c r="Z249" s="11"/>
      <c r="AA249" s="11"/>
      <c r="AB249" s="11" t="s">
        <v>580</v>
      </c>
      <c r="AC249" s="11">
        <v>2141</v>
      </c>
      <c r="AD249" s="11">
        <v>2141</v>
      </c>
      <c r="AE249" s="11">
        <v>2141</v>
      </c>
      <c r="AF249" s="11">
        <v>2141</v>
      </c>
      <c r="AG249" s="11"/>
      <c r="AH249" s="47" t="s">
        <v>52</v>
      </c>
      <c r="AI249" s="11">
        <v>1</v>
      </c>
      <c r="AJ249" s="11"/>
      <c r="AK249" s="11"/>
      <c r="AL249" s="11"/>
      <c r="AM249" s="11"/>
      <c r="AN249" s="47" t="s">
        <v>47</v>
      </c>
      <c r="AO249" s="11"/>
      <c r="AP249" s="11" t="s">
        <v>53</v>
      </c>
      <c r="AQ249" s="2">
        <v>0</v>
      </c>
    </row>
    <row r="250" s="3" customFormat="1" ht="12" spans="1:43">
      <c r="A250" s="12">
        <v>165112</v>
      </c>
      <c r="B250" s="12" t="s">
        <v>580</v>
      </c>
      <c r="C250" s="12"/>
      <c r="D250" s="12"/>
      <c r="E250" s="12"/>
      <c r="F250" s="12">
        <v>0</v>
      </c>
      <c r="G250" s="12" t="s">
        <v>47</v>
      </c>
      <c r="H250" s="12" t="s">
        <v>45</v>
      </c>
      <c r="I250" s="12" t="s">
        <v>45</v>
      </c>
      <c r="J250" s="12">
        <v>0</v>
      </c>
      <c r="K250" s="12" t="s">
        <v>46</v>
      </c>
      <c r="L250" s="47" t="s">
        <v>47</v>
      </c>
      <c r="M250" s="12">
        <v>1010129</v>
      </c>
      <c r="N250" s="12">
        <v>0</v>
      </c>
      <c r="O250" s="47" t="s">
        <v>48</v>
      </c>
      <c r="P250" s="12">
        <v>1651</v>
      </c>
      <c r="Q250" s="12"/>
      <c r="R250" s="12"/>
      <c r="S250" s="12">
        <v>85</v>
      </c>
      <c r="T250" s="12">
        <v>79</v>
      </c>
      <c r="U250" s="12"/>
      <c r="V250" s="12"/>
      <c r="W250" s="47" t="s">
        <v>47</v>
      </c>
      <c r="X250" s="47" t="s">
        <v>581</v>
      </c>
      <c r="Y250" s="47" t="str">
        <f t="shared" ref="Y250" si="121">B250</f>
        <v>黑兽</v>
      </c>
      <c r="Z250" s="12"/>
      <c r="AA250" s="12"/>
      <c r="AB250" s="12" t="s">
        <v>580</v>
      </c>
      <c r="AC250" s="12">
        <v>2141</v>
      </c>
      <c r="AD250" s="12">
        <v>2141</v>
      </c>
      <c r="AE250" s="12">
        <v>2141</v>
      </c>
      <c r="AF250" s="12">
        <v>2141</v>
      </c>
      <c r="AG250" s="12"/>
      <c r="AH250" s="47" t="s">
        <v>52</v>
      </c>
      <c r="AI250" s="12">
        <v>1</v>
      </c>
      <c r="AJ250" s="12"/>
      <c r="AK250" s="12"/>
      <c r="AL250" s="12"/>
      <c r="AM250" s="12"/>
      <c r="AN250" s="47" t="s">
        <v>47</v>
      </c>
      <c r="AO250" s="12"/>
      <c r="AP250" s="12" t="s">
        <v>53</v>
      </c>
      <c r="AQ250" s="2">
        <v>0</v>
      </c>
    </row>
    <row r="251" s="2" customFormat="1" ht="12" spans="1:43">
      <c r="A251" s="11">
        <v>165113</v>
      </c>
      <c r="B251" s="11" t="s">
        <v>580</v>
      </c>
      <c r="C251" s="11"/>
      <c r="D251" s="11"/>
      <c r="E251" s="11"/>
      <c r="F251" s="11">
        <v>0</v>
      </c>
      <c r="G251" s="11" t="s">
        <v>47</v>
      </c>
      <c r="H251" s="11" t="s">
        <v>45</v>
      </c>
      <c r="I251" s="11" t="s">
        <v>45</v>
      </c>
      <c r="J251" s="12">
        <v>0</v>
      </c>
      <c r="K251" s="11" t="s">
        <v>46</v>
      </c>
      <c r="L251" s="47" t="s">
        <v>47</v>
      </c>
      <c r="M251" s="11">
        <v>1010129</v>
      </c>
      <c r="N251" s="11">
        <v>0</v>
      </c>
      <c r="O251" s="47" t="s">
        <v>48</v>
      </c>
      <c r="P251" s="11">
        <v>1651</v>
      </c>
      <c r="Q251" s="11"/>
      <c r="R251" s="11"/>
      <c r="S251" s="11">
        <v>77</v>
      </c>
      <c r="T251" s="11">
        <v>77</v>
      </c>
      <c r="U251" s="11"/>
      <c r="V251" s="11"/>
      <c r="W251" s="47" t="s">
        <v>47</v>
      </c>
      <c r="X251" s="47" t="s">
        <v>581</v>
      </c>
      <c r="Y251" s="47" t="str">
        <f t="shared" ref="Y251:Y256" si="122">B251</f>
        <v>黑兽</v>
      </c>
      <c r="Z251" s="11"/>
      <c r="AA251" s="11"/>
      <c r="AB251" s="11" t="s">
        <v>580</v>
      </c>
      <c r="AC251" s="11">
        <v>2141</v>
      </c>
      <c r="AD251" s="11">
        <v>2141</v>
      </c>
      <c r="AE251" s="11">
        <v>2141</v>
      </c>
      <c r="AF251" s="11">
        <v>2141</v>
      </c>
      <c r="AG251" s="11"/>
      <c r="AH251" s="47" t="s">
        <v>52</v>
      </c>
      <c r="AI251" s="11">
        <v>1</v>
      </c>
      <c r="AJ251" s="11"/>
      <c r="AK251" s="11"/>
      <c r="AL251" s="11"/>
      <c r="AM251" s="11"/>
      <c r="AN251" s="47" t="s">
        <v>47</v>
      </c>
      <c r="AO251" s="11"/>
      <c r="AP251" s="11" t="s">
        <v>53</v>
      </c>
      <c r="AQ251" s="2">
        <v>0</v>
      </c>
    </row>
    <row r="252" s="3" customFormat="1" ht="12" spans="1:43">
      <c r="A252" s="12">
        <v>165114</v>
      </c>
      <c r="B252" s="12" t="s">
        <v>580</v>
      </c>
      <c r="C252" s="12"/>
      <c r="D252" s="12"/>
      <c r="E252" s="12"/>
      <c r="F252" s="12">
        <v>0</v>
      </c>
      <c r="G252" s="12" t="s">
        <v>47</v>
      </c>
      <c r="H252" s="12" t="s">
        <v>45</v>
      </c>
      <c r="I252" s="12" t="s">
        <v>45</v>
      </c>
      <c r="J252" s="12">
        <v>0</v>
      </c>
      <c r="K252" s="12" t="s">
        <v>46</v>
      </c>
      <c r="L252" s="47" t="s">
        <v>47</v>
      </c>
      <c r="M252" s="12">
        <v>1010129</v>
      </c>
      <c r="N252" s="12">
        <v>0</v>
      </c>
      <c r="O252" s="47" t="s">
        <v>48</v>
      </c>
      <c r="P252" s="12">
        <v>1651</v>
      </c>
      <c r="Q252" s="12"/>
      <c r="R252" s="12"/>
      <c r="S252" s="12">
        <v>74</v>
      </c>
      <c r="T252" s="12">
        <v>56</v>
      </c>
      <c r="U252" s="12"/>
      <c r="V252" s="12"/>
      <c r="W252" s="47" t="s">
        <v>47</v>
      </c>
      <c r="X252" s="47" t="s">
        <v>581</v>
      </c>
      <c r="Y252" s="47" t="str">
        <f t="shared" si="122"/>
        <v>黑兽</v>
      </c>
      <c r="Z252" s="12"/>
      <c r="AA252" s="12"/>
      <c r="AB252" s="12" t="s">
        <v>580</v>
      </c>
      <c r="AC252" s="12">
        <v>2141</v>
      </c>
      <c r="AD252" s="12">
        <v>2141</v>
      </c>
      <c r="AE252" s="12">
        <v>2141</v>
      </c>
      <c r="AF252" s="12">
        <v>2141</v>
      </c>
      <c r="AG252" s="12"/>
      <c r="AH252" s="47" t="s">
        <v>52</v>
      </c>
      <c r="AI252" s="12">
        <v>1</v>
      </c>
      <c r="AJ252" s="12"/>
      <c r="AK252" s="12"/>
      <c r="AL252" s="12"/>
      <c r="AM252" s="12"/>
      <c r="AN252" s="47" t="s">
        <v>47</v>
      </c>
      <c r="AO252" s="12"/>
      <c r="AP252" s="12" t="s">
        <v>53</v>
      </c>
      <c r="AQ252" s="2">
        <v>0</v>
      </c>
    </row>
    <row r="253" s="2" customFormat="1" ht="12" spans="1:43">
      <c r="A253" s="11">
        <v>165115</v>
      </c>
      <c r="B253" s="11" t="s">
        <v>580</v>
      </c>
      <c r="C253" s="11"/>
      <c r="D253" s="11"/>
      <c r="E253" s="11"/>
      <c r="F253" s="11">
        <v>0</v>
      </c>
      <c r="G253" s="11" t="s">
        <v>47</v>
      </c>
      <c r="H253" s="11" t="s">
        <v>45</v>
      </c>
      <c r="I253" s="11" t="s">
        <v>45</v>
      </c>
      <c r="J253" s="12">
        <v>0</v>
      </c>
      <c r="K253" s="11" t="s">
        <v>46</v>
      </c>
      <c r="L253" s="47" t="s">
        <v>47</v>
      </c>
      <c r="M253" s="11">
        <v>1010129</v>
      </c>
      <c r="N253" s="11">
        <v>0</v>
      </c>
      <c r="O253" s="47" t="s">
        <v>48</v>
      </c>
      <c r="P253" s="11">
        <v>1651</v>
      </c>
      <c r="Q253" s="11"/>
      <c r="R253" s="11"/>
      <c r="S253" s="11">
        <v>88</v>
      </c>
      <c r="T253" s="11">
        <v>54</v>
      </c>
      <c r="U253" s="11"/>
      <c r="V253" s="11"/>
      <c r="W253" s="47" t="s">
        <v>47</v>
      </c>
      <c r="X253" s="47" t="s">
        <v>581</v>
      </c>
      <c r="Y253" s="47" t="str">
        <f t="shared" si="122"/>
        <v>黑兽</v>
      </c>
      <c r="Z253" s="11"/>
      <c r="AA253" s="11"/>
      <c r="AB253" s="11" t="s">
        <v>580</v>
      </c>
      <c r="AC253" s="11">
        <v>2141</v>
      </c>
      <c r="AD253" s="11">
        <v>2141</v>
      </c>
      <c r="AE253" s="11">
        <v>2141</v>
      </c>
      <c r="AF253" s="11">
        <v>2141</v>
      </c>
      <c r="AG253" s="11"/>
      <c r="AH253" s="47" t="s">
        <v>52</v>
      </c>
      <c r="AI253" s="11">
        <v>1</v>
      </c>
      <c r="AJ253" s="11"/>
      <c r="AK253" s="11"/>
      <c r="AL253" s="11"/>
      <c r="AM253" s="11"/>
      <c r="AN253" s="47" t="s">
        <v>47</v>
      </c>
      <c r="AO253" s="11"/>
      <c r="AP253" s="11" t="s">
        <v>53</v>
      </c>
      <c r="AQ253" s="2">
        <v>0</v>
      </c>
    </row>
    <row r="254" s="3" customFormat="1" ht="12" spans="1:43">
      <c r="A254" s="12">
        <v>165116</v>
      </c>
      <c r="B254" s="12" t="s">
        <v>580</v>
      </c>
      <c r="C254" s="12"/>
      <c r="D254" s="12"/>
      <c r="E254" s="12"/>
      <c r="F254" s="12">
        <v>0</v>
      </c>
      <c r="G254" s="12" t="s">
        <v>47</v>
      </c>
      <c r="H254" s="12" t="s">
        <v>45</v>
      </c>
      <c r="I254" s="12" t="s">
        <v>45</v>
      </c>
      <c r="J254" s="12">
        <v>0</v>
      </c>
      <c r="K254" s="12" t="s">
        <v>46</v>
      </c>
      <c r="L254" s="47" t="s">
        <v>47</v>
      </c>
      <c r="M254" s="12">
        <v>1010129</v>
      </c>
      <c r="N254" s="12">
        <v>0</v>
      </c>
      <c r="O254" s="47" t="s">
        <v>48</v>
      </c>
      <c r="P254" s="12">
        <v>1651</v>
      </c>
      <c r="Q254" s="12"/>
      <c r="R254" s="12"/>
      <c r="S254" s="12">
        <v>41</v>
      </c>
      <c r="T254" s="12">
        <v>32</v>
      </c>
      <c r="U254" s="12"/>
      <c r="V254" s="12"/>
      <c r="W254" s="47" t="s">
        <v>47</v>
      </c>
      <c r="X254" s="47" t="s">
        <v>581</v>
      </c>
      <c r="Y254" s="47" t="str">
        <f t="shared" si="122"/>
        <v>黑兽</v>
      </c>
      <c r="Z254" s="12"/>
      <c r="AA254" s="12"/>
      <c r="AB254" s="12" t="s">
        <v>580</v>
      </c>
      <c r="AC254" s="12">
        <v>2141</v>
      </c>
      <c r="AD254" s="12">
        <v>2141</v>
      </c>
      <c r="AE254" s="12">
        <v>2141</v>
      </c>
      <c r="AF254" s="12">
        <v>2141</v>
      </c>
      <c r="AG254" s="12"/>
      <c r="AH254" s="47" t="s">
        <v>52</v>
      </c>
      <c r="AI254" s="12">
        <v>1</v>
      </c>
      <c r="AJ254" s="12"/>
      <c r="AK254" s="12"/>
      <c r="AL254" s="12"/>
      <c r="AM254" s="12"/>
      <c r="AN254" s="47" t="s">
        <v>47</v>
      </c>
      <c r="AO254" s="12"/>
      <c r="AP254" s="12" t="s">
        <v>53</v>
      </c>
      <c r="AQ254" s="2">
        <v>0</v>
      </c>
    </row>
    <row r="255" s="2" customFormat="1" ht="12" spans="1:43">
      <c r="A255" s="11">
        <v>165117</v>
      </c>
      <c r="B255" s="11" t="s">
        <v>580</v>
      </c>
      <c r="C255" s="11"/>
      <c r="D255" s="11"/>
      <c r="E255" s="11"/>
      <c r="F255" s="11">
        <v>0</v>
      </c>
      <c r="G255" s="11" t="s">
        <v>47</v>
      </c>
      <c r="H255" s="11" t="s">
        <v>45</v>
      </c>
      <c r="I255" s="11" t="s">
        <v>45</v>
      </c>
      <c r="J255" s="12">
        <v>0</v>
      </c>
      <c r="K255" s="11" t="s">
        <v>46</v>
      </c>
      <c r="L255" s="47" t="s">
        <v>47</v>
      </c>
      <c r="M255" s="11">
        <v>1010129</v>
      </c>
      <c r="N255" s="11">
        <v>0</v>
      </c>
      <c r="O255" s="47" t="s">
        <v>48</v>
      </c>
      <c r="P255" s="11">
        <v>1651</v>
      </c>
      <c r="Q255" s="11"/>
      <c r="R255" s="11"/>
      <c r="S255" s="11">
        <v>48</v>
      </c>
      <c r="T255" s="11">
        <v>35</v>
      </c>
      <c r="U255" s="11"/>
      <c r="V255" s="11"/>
      <c r="W255" s="47" t="s">
        <v>47</v>
      </c>
      <c r="X255" s="47" t="s">
        <v>581</v>
      </c>
      <c r="Y255" s="47" t="str">
        <f t="shared" si="122"/>
        <v>黑兽</v>
      </c>
      <c r="Z255" s="11"/>
      <c r="AA255" s="11"/>
      <c r="AB255" s="11" t="s">
        <v>580</v>
      </c>
      <c r="AC255" s="11">
        <v>2141</v>
      </c>
      <c r="AD255" s="11">
        <v>2141</v>
      </c>
      <c r="AE255" s="11">
        <v>2141</v>
      </c>
      <c r="AF255" s="11">
        <v>2141</v>
      </c>
      <c r="AG255" s="11"/>
      <c r="AH255" s="47" t="s">
        <v>52</v>
      </c>
      <c r="AI255" s="11">
        <v>1</v>
      </c>
      <c r="AJ255" s="11"/>
      <c r="AK255" s="11"/>
      <c r="AL255" s="11"/>
      <c r="AM255" s="11"/>
      <c r="AN255" s="47" t="s">
        <v>47</v>
      </c>
      <c r="AO255" s="11"/>
      <c r="AP255" s="11" t="s">
        <v>53</v>
      </c>
      <c r="AQ255" s="2">
        <v>0</v>
      </c>
    </row>
    <row r="256" s="3" customFormat="1" ht="12" spans="1:43">
      <c r="A256" s="12">
        <v>165118</v>
      </c>
      <c r="B256" s="12" t="s">
        <v>580</v>
      </c>
      <c r="C256" s="12"/>
      <c r="D256" s="12"/>
      <c r="E256" s="12"/>
      <c r="F256" s="12">
        <v>0</v>
      </c>
      <c r="G256" s="12" t="s">
        <v>47</v>
      </c>
      <c r="H256" s="12" t="s">
        <v>45</v>
      </c>
      <c r="I256" s="12" t="s">
        <v>45</v>
      </c>
      <c r="J256" s="12">
        <v>0</v>
      </c>
      <c r="K256" s="12" t="s">
        <v>46</v>
      </c>
      <c r="L256" s="47" t="s">
        <v>47</v>
      </c>
      <c r="M256" s="12">
        <v>1010129</v>
      </c>
      <c r="N256" s="12">
        <v>0</v>
      </c>
      <c r="O256" s="47" t="s">
        <v>48</v>
      </c>
      <c r="P256" s="12">
        <v>1651</v>
      </c>
      <c r="Q256" s="12"/>
      <c r="R256" s="12"/>
      <c r="S256" s="12">
        <v>28</v>
      </c>
      <c r="T256" s="12">
        <v>44</v>
      </c>
      <c r="U256" s="12"/>
      <c r="V256" s="12"/>
      <c r="W256" s="47" t="s">
        <v>47</v>
      </c>
      <c r="X256" s="47" t="s">
        <v>581</v>
      </c>
      <c r="Y256" s="47" t="str">
        <f t="shared" si="122"/>
        <v>黑兽</v>
      </c>
      <c r="Z256" s="12"/>
      <c r="AA256" s="12"/>
      <c r="AB256" s="12" t="s">
        <v>580</v>
      </c>
      <c r="AC256" s="12">
        <v>2141</v>
      </c>
      <c r="AD256" s="12">
        <v>2141</v>
      </c>
      <c r="AE256" s="12">
        <v>2141</v>
      </c>
      <c r="AF256" s="12">
        <v>2141</v>
      </c>
      <c r="AG256" s="12"/>
      <c r="AH256" s="47" t="s">
        <v>52</v>
      </c>
      <c r="AI256" s="12">
        <v>1</v>
      </c>
      <c r="AJ256" s="12"/>
      <c r="AK256" s="12"/>
      <c r="AL256" s="12"/>
      <c r="AM256" s="12"/>
      <c r="AN256" s="47" t="s">
        <v>47</v>
      </c>
      <c r="AO256" s="12"/>
      <c r="AP256" s="12" t="s">
        <v>53</v>
      </c>
      <c r="AQ256" s="2">
        <v>0</v>
      </c>
    </row>
    <row r="257" s="2" customFormat="1" ht="12" spans="1:43">
      <c r="A257" s="11">
        <v>165119</v>
      </c>
      <c r="B257" s="11" t="s">
        <v>580</v>
      </c>
      <c r="C257" s="11"/>
      <c r="D257" s="11"/>
      <c r="E257" s="11"/>
      <c r="F257" s="11">
        <v>0</v>
      </c>
      <c r="G257" s="11" t="s">
        <v>47</v>
      </c>
      <c r="H257" s="11" t="s">
        <v>45</v>
      </c>
      <c r="I257" s="11" t="s">
        <v>45</v>
      </c>
      <c r="J257" s="12">
        <v>0</v>
      </c>
      <c r="K257" s="11" t="s">
        <v>46</v>
      </c>
      <c r="L257" s="47" t="s">
        <v>47</v>
      </c>
      <c r="M257" s="11">
        <v>1010129</v>
      </c>
      <c r="N257" s="11">
        <v>0</v>
      </c>
      <c r="O257" s="47" t="s">
        <v>48</v>
      </c>
      <c r="P257" s="11">
        <v>1651</v>
      </c>
      <c r="Q257" s="11"/>
      <c r="R257" s="11"/>
      <c r="S257" s="11">
        <v>30</v>
      </c>
      <c r="T257" s="11">
        <v>53</v>
      </c>
      <c r="U257" s="11"/>
      <c r="V257" s="11"/>
      <c r="W257" s="47" t="s">
        <v>47</v>
      </c>
      <c r="X257" s="47" t="s">
        <v>581</v>
      </c>
      <c r="Y257" s="47" t="str">
        <f t="shared" ref="Y257" si="123">B257</f>
        <v>黑兽</v>
      </c>
      <c r="Z257" s="11"/>
      <c r="AA257" s="11"/>
      <c r="AB257" s="11" t="s">
        <v>580</v>
      </c>
      <c r="AC257" s="11">
        <v>2141</v>
      </c>
      <c r="AD257" s="11">
        <v>2141</v>
      </c>
      <c r="AE257" s="11">
        <v>2141</v>
      </c>
      <c r="AF257" s="11">
        <v>2141</v>
      </c>
      <c r="AG257" s="11"/>
      <c r="AH257" s="47" t="s">
        <v>52</v>
      </c>
      <c r="AI257" s="11">
        <v>1</v>
      </c>
      <c r="AJ257" s="11"/>
      <c r="AK257" s="11"/>
      <c r="AL257" s="11"/>
      <c r="AM257" s="11"/>
      <c r="AN257" s="47" t="s">
        <v>47</v>
      </c>
      <c r="AO257" s="11"/>
      <c r="AP257" s="11" t="s">
        <v>53</v>
      </c>
      <c r="AQ257" s="2">
        <v>0</v>
      </c>
    </row>
    <row r="258" s="3" customFormat="1" ht="12" spans="1:43">
      <c r="A258" s="12">
        <v>165120</v>
      </c>
      <c r="B258" s="12" t="s">
        <v>580</v>
      </c>
      <c r="C258" s="12"/>
      <c r="D258" s="12"/>
      <c r="E258" s="12"/>
      <c r="F258" s="12">
        <v>0</v>
      </c>
      <c r="G258" s="12" t="s">
        <v>47</v>
      </c>
      <c r="H258" s="12" t="s">
        <v>45</v>
      </c>
      <c r="I258" s="12" t="s">
        <v>45</v>
      </c>
      <c r="J258" s="12">
        <v>0</v>
      </c>
      <c r="K258" s="12" t="s">
        <v>46</v>
      </c>
      <c r="L258" s="47" t="s">
        <v>47</v>
      </c>
      <c r="M258" s="12">
        <v>1010129</v>
      </c>
      <c r="N258" s="12">
        <v>0</v>
      </c>
      <c r="O258" s="47" t="s">
        <v>48</v>
      </c>
      <c r="P258" s="12">
        <v>1651</v>
      </c>
      <c r="Q258" s="12"/>
      <c r="R258" s="12"/>
      <c r="S258" s="12">
        <v>36</v>
      </c>
      <c r="T258" s="12">
        <v>60</v>
      </c>
      <c r="U258" s="12"/>
      <c r="V258" s="12"/>
      <c r="W258" s="47" t="s">
        <v>47</v>
      </c>
      <c r="X258" s="47" t="s">
        <v>581</v>
      </c>
      <c r="Y258" s="47" t="str">
        <f t="shared" ref="Y258" si="124">B258</f>
        <v>黑兽</v>
      </c>
      <c r="Z258" s="12"/>
      <c r="AA258" s="12"/>
      <c r="AB258" s="12" t="s">
        <v>580</v>
      </c>
      <c r="AC258" s="12">
        <v>2141</v>
      </c>
      <c r="AD258" s="12">
        <v>2141</v>
      </c>
      <c r="AE258" s="12">
        <v>2141</v>
      </c>
      <c r="AF258" s="12">
        <v>2141</v>
      </c>
      <c r="AG258" s="12"/>
      <c r="AH258" s="47" t="s">
        <v>52</v>
      </c>
      <c r="AI258" s="12">
        <v>1</v>
      </c>
      <c r="AJ258" s="12"/>
      <c r="AK258" s="12"/>
      <c r="AL258" s="12"/>
      <c r="AM258" s="12"/>
      <c r="AN258" s="47" t="s">
        <v>47</v>
      </c>
      <c r="AO258" s="12"/>
      <c r="AP258" s="12" t="s">
        <v>53</v>
      </c>
      <c r="AQ258" s="2">
        <v>0</v>
      </c>
    </row>
    <row r="259" s="2" customFormat="1" ht="12" spans="1:43">
      <c r="A259" s="11">
        <v>165121</v>
      </c>
      <c r="B259" s="11" t="s">
        <v>580</v>
      </c>
      <c r="C259" s="11"/>
      <c r="D259" s="11"/>
      <c r="E259" s="11"/>
      <c r="F259" s="11">
        <v>0</v>
      </c>
      <c r="G259" s="11" t="s">
        <v>47</v>
      </c>
      <c r="H259" s="11" t="s">
        <v>45</v>
      </c>
      <c r="I259" s="11" t="s">
        <v>45</v>
      </c>
      <c r="J259" s="12">
        <v>0</v>
      </c>
      <c r="K259" s="11" t="s">
        <v>46</v>
      </c>
      <c r="L259" s="47" t="s">
        <v>47</v>
      </c>
      <c r="M259" s="11">
        <v>1010129</v>
      </c>
      <c r="N259" s="11">
        <v>0</v>
      </c>
      <c r="O259" s="47" t="s">
        <v>48</v>
      </c>
      <c r="P259" s="11">
        <v>1651</v>
      </c>
      <c r="Q259" s="11"/>
      <c r="R259" s="11"/>
      <c r="S259" s="11">
        <v>23</v>
      </c>
      <c r="T259" s="11">
        <v>21</v>
      </c>
      <c r="U259" s="11"/>
      <c r="V259" s="11"/>
      <c r="W259" s="47" t="s">
        <v>47</v>
      </c>
      <c r="X259" s="47" t="s">
        <v>581</v>
      </c>
      <c r="Y259" s="47" t="str">
        <f t="shared" ref="Y259" si="125">B259</f>
        <v>黑兽</v>
      </c>
      <c r="Z259" s="11"/>
      <c r="AA259" s="11"/>
      <c r="AB259" s="11" t="s">
        <v>580</v>
      </c>
      <c r="AC259" s="11">
        <v>2141</v>
      </c>
      <c r="AD259" s="11">
        <v>2141</v>
      </c>
      <c r="AE259" s="11">
        <v>2141</v>
      </c>
      <c r="AF259" s="11">
        <v>2141</v>
      </c>
      <c r="AG259" s="11"/>
      <c r="AH259" s="47" t="s">
        <v>52</v>
      </c>
      <c r="AI259" s="11">
        <v>1</v>
      </c>
      <c r="AJ259" s="11"/>
      <c r="AK259" s="11"/>
      <c r="AL259" s="11"/>
      <c r="AM259" s="11"/>
      <c r="AN259" s="47" t="s">
        <v>47</v>
      </c>
      <c r="AO259" s="11"/>
      <c r="AP259" s="11" t="s">
        <v>53</v>
      </c>
      <c r="AQ259" s="2">
        <v>0</v>
      </c>
    </row>
    <row r="260" s="3" customFormat="1" ht="12" spans="1:43">
      <c r="A260" s="12">
        <v>165122</v>
      </c>
      <c r="B260" s="12" t="s">
        <v>580</v>
      </c>
      <c r="C260" s="12"/>
      <c r="D260" s="12"/>
      <c r="E260" s="12"/>
      <c r="F260" s="12">
        <v>0</v>
      </c>
      <c r="G260" s="12" t="s">
        <v>47</v>
      </c>
      <c r="H260" s="12" t="s">
        <v>45</v>
      </c>
      <c r="I260" s="12" t="s">
        <v>45</v>
      </c>
      <c r="J260" s="12">
        <v>0</v>
      </c>
      <c r="K260" s="12" t="s">
        <v>46</v>
      </c>
      <c r="L260" s="47" t="s">
        <v>47</v>
      </c>
      <c r="M260" s="12">
        <v>1010129</v>
      </c>
      <c r="N260" s="12">
        <v>0</v>
      </c>
      <c r="O260" s="47" t="s">
        <v>48</v>
      </c>
      <c r="P260" s="12">
        <v>1651</v>
      </c>
      <c r="Q260" s="12"/>
      <c r="R260" s="12"/>
      <c r="S260" s="12">
        <v>23</v>
      </c>
      <c r="T260" s="12">
        <v>21</v>
      </c>
      <c r="U260" s="12"/>
      <c r="V260" s="12"/>
      <c r="W260" s="47" t="s">
        <v>47</v>
      </c>
      <c r="X260" s="47" t="s">
        <v>581</v>
      </c>
      <c r="Y260" s="47" t="str">
        <f t="shared" ref="Y260" si="126">B260</f>
        <v>黑兽</v>
      </c>
      <c r="Z260" s="12"/>
      <c r="AA260" s="12"/>
      <c r="AB260" s="12" t="s">
        <v>580</v>
      </c>
      <c r="AC260" s="12">
        <v>2141</v>
      </c>
      <c r="AD260" s="12">
        <v>2141</v>
      </c>
      <c r="AE260" s="12">
        <v>2141</v>
      </c>
      <c r="AF260" s="12">
        <v>2141</v>
      </c>
      <c r="AG260" s="12"/>
      <c r="AH260" s="47" t="s">
        <v>52</v>
      </c>
      <c r="AI260" s="12">
        <v>1</v>
      </c>
      <c r="AJ260" s="12"/>
      <c r="AK260" s="12"/>
      <c r="AL260" s="12"/>
      <c r="AM260" s="12"/>
      <c r="AN260" s="47" t="s">
        <v>47</v>
      </c>
      <c r="AO260" s="12"/>
      <c r="AP260" s="12" t="s">
        <v>53</v>
      </c>
      <c r="AQ260" s="2">
        <v>0</v>
      </c>
    </row>
    <row r="261" s="2" customFormat="1" ht="12" spans="1:43">
      <c r="A261" s="11">
        <v>165123</v>
      </c>
      <c r="B261" s="11" t="s">
        <v>580</v>
      </c>
      <c r="C261" s="11"/>
      <c r="D261" s="11"/>
      <c r="E261" s="11"/>
      <c r="F261" s="11">
        <v>0</v>
      </c>
      <c r="G261" s="11" t="s">
        <v>47</v>
      </c>
      <c r="H261" s="11" t="s">
        <v>45</v>
      </c>
      <c r="I261" s="11" t="s">
        <v>45</v>
      </c>
      <c r="J261" s="12">
        <v>0</v>
      </c>
      <c r="K261" s="11" t="s">
        <v>46</v>
      </c>
      <c r="L261" s="47" t="s">
        <v>47</v>
      </c>
      <c r="M261" s="11">
        <v>1010129</v>
      </c>
      <c r="N261" s="11">
        <v>0</v>
      </c>
      <c r="O261" s="47" t="s">
        <v>48</v>
      </c>
      <c r="P261" s="11">
        <v>1651</v>
      </c>
      <c r="Q261" s="11"/>
      <c r="R261" s="11"/>
      <c r="S261" s="11">
        <v>23</v>
      </c>
      <c r="T261" s="11">
        <v>21</v>
      </c>
      <c r="U261" s="11"/>
      <c r="V261" s="11"/>
      <c r="W261" s="47" t="s">
        <v>47</v>
      </c>
      <c r="X261" s="47" t="s">
        <v>581</v>
      </c>
      <c r="Y261" s="47" t="str">
        <f t="shared" ref="Y261" si="127">B261</f>
        <v>黑兽</v>
      </c>
      <c r="Z261" s="11"/>
      <c r="AA261" s="11"/>
      <c r="AB261" s="11" t="s">
        <v>580</v>
      </c>
      <c r="AC261" s="11">
        <v>2141</v>
      </c>
      <c r="AD261" s="11">
        <v>2141</v>
      </c>
      <c r="AE261" s="11">
        <v>2141</v>
      </c>
      <c r="AF261" s="11">
        <v>2141</v>
      </c>
      <c r="AG261" s="11"/>
      <c r="AH261" s="47" t="s">
        <v>52</v>
      </c>
      <c r="AI261" s="11">
        <v>1</v>
      </c>
      <c r="AJ261" s="11"/>
      <c r="AK261" s="11"/>
      <c r="AL261" s="11"/>
      <c r="AM261" s="11"/>
      <c r="AN261" s="47" t="s">
        <v>47</v>
      </c>
      <c r="AO261" s="11"/>
      <c r="AP261" s="11" t="s">
        <v>53</v>
      </c>
      <c r="AQ261" s="2">
        <v>0</v>
      </c>
    </row>
    <row r="262" s="3" customFormat="1" ht="12" spans="1:43">
      <c r="A262" s="12">
        <v>165124</v>
      </c>
      <c r="B262" s="12" t="s">
        <v>580</v>
      </c>
      <c r="C262" s="12"/>
      <c r="D262" s="12"/>
      <c r="E262" s="12"/>
      <c r="F262" s="12">
        <v>0</v>
      </c>
      <c r="G262" s="12" t="s">
        <v>47</v>
      </c>
      <c r="H262" s="12" t="s">
        <v>45</v>
      </c>
      <c r="I262" s="12" t="s">
        <v>45</v>
      </c>
      <c r="J262" s="12">
        <v>0</v>
      </c>
      <c r="K262" s="12" t="s">
        <v>46</v>
      </c>
      <c r="L262" s="47" t="s">
        <v>47</v>
      </c>
      <c r="M262" s="12">
        <v>1010129</v>
      </c>
      <c r="N262" s="12">
        <v>0</v>
      </c>
      <c r="O262" s="47" t="s">
        <v>48</v>
      </c>
      <c r="P262" s="12">
        <v>1651</v>
      </c>
      <c r="Q262" s="12"/>
      <c r="R262" s="12"/>
      <c r="S262" s="12">
        <v>23</v>
      </c>
      <c r="T262" s="12">
        <v>21</v>
      </c>
      <c r="U262" s="12"/>
      <c r="V262" s="12"/>
      <c r="W262" s="47" t="s">
        <v>47</v>
      </c>
      <c r="X262" s="47" t="s">
        <v>581</v>
      </c>
      <c r="Y262" s="47" t="str">
        <f t="shared" ref="Y262" si="128">B262</f>
        <v>黑兽</v>
      </c>
      <c r="Z262" s="12"/>
      <c r="AA262" s="12"/>
      <c r="AB262" s="12" t="s">
        <v>580</v>
      </c>
      <c r="AC262" s="12">
        <v>2141</v>
      </c>
      <c r="AD262" s="12">
        <v>2141</v>
      </c>
      <c r="AE262" s="12">
        <v>2141</v>
      </c>
      <c r="AF262" s="12">
        <v>2141</v>
      </c>
      <c r="AG262" s="12"/>
      <c r="AH262" s="47" t="s">
        <v>52</v>
      </c>
      <c r="AI262" s="12">
        <v>1</v>
      </c>
      <c r="AJ262" s="12"/>
      <c r="AK262" s="12"/>
      <c r="AL262" s="12"/>
      <c r="AM262" s="12"/>
      <c r="AN262" s="47" t="s">
        <v>47</v>
      </c>
      <c r="AO262" s="12"/>
      <c r="AP262" s="12" t="s">
        <v>53</v>
      </c>
      <c r="AQ262" s="2">
        <v>0</v>
      </c>
    </row>
    <row r="263" s="2" customFormat="1" ht="12" spans="1:43">
      <c r="A263" s="11">
        <v>165125</v>
      </c>
      <c r="B263" s="11" t="s">
        <v>580</v>
      </c>
      <c r="C263" s="11"/>
      <c r="D263" s="11"/>
      <c r="E263" s="11"/>
      <c r="F263" s="11">
        <v>0</v>
      </c>
      <c r="G263" s="11" t="s">
        <v>47</v>
      </c>
      <c r="H263" s="11" t="s">
        <v>45</v>
      </c>
      <c r="I263" s="11" t="s">
        <v>45</v>
      </c>
      <c r="J263" s="12">
        <v>0</v>
      </c>
      <c r="K263" s="11" t="s">
        <v>46</v>
      </c>
      <c r="L263" s="47" t="s">
        <v>47</v>
      </c>
      <c r="M263" s="11">
        <v>1010129</v>
      </c>
      <c r="N263" s="11">
        <v>0</v>
      </c>
      <c r="O263" s="47" t="s">
        <v>48</v>
      </c>
      <c r="P263" s="11">
        <v>1651</v>
      </c>
      <c r="Q263" s="11"/>
      <c r="R263" s="11"/>
      <c r="S263" s="11">
        <v>23</v>
      </c>
      <c r="T263" s="11">
        <v>21</v>
      </c>
      <c r="U263" s="11"/>
      <c r="V263" s="11"/>
      <c r="W263" s="47" t="s">
        <v>47</v>
      </c>
      <c r="X263" s="47" t="s">
        <v>581</v>
      </c>
      <c r="Y263" s="47" t="str">
        <f t="shared" ref="Y263" si="129">B263</f>
        <v>黑兽</v>
      </c>
      <c r="Z263" s="11"/>
      <c r="AA263" s="11"/>
      <c r="AB263" s="11" t="s">
        <v>580</v>
      </c>
      <c r="AC263" s="11">
        <v>2141</v>
      </c>
      <c r="AD263" s="11">
        <v>2141</v>
      </c>
      <c r="AE263" s="11">
        <v>2141</v>
      </c>
      <c r="AF263" s="11">
        <v>2141</v>
      </c>
      <c r="AG263" s="11"/>
      <c r="AH263" s="47" t="s">
        <v>52</v>
      </c>
      <c r="AI263" s="11">
        <v>1</v>
      </c>
      <c r="AJ263" s="11"/>
      <c r="AK263" s="11"/>
      <c r="AL263" s="11"/>
      <c r="AM263" s="11"/>
      <c r="AN263" s="47" t="s">
        <v>47</v>
      </c>
      <c r="AO263" s="11"/>
      <c r="AP263" s="11" t="s">
        <v>53</v>
      </c>
      <c r="AQ263" s="2">
        <v>0</v>
      </c>
    </row>
    <row r="264" s="3" customFormat="1" ht="12" spans="1:43">
      <c r="A264" s="12">
        <v>165126</v>
      </c>
      <c r="B264" s="12" t="s">
        <v>580</v>
      </c>
      <c r="C264" s="12"/>
      <c r="D264" s="12"/>
      <c r="E264" s="12"/>
      <c r="F264" s="12">
        <v>0</v>
      </c>
      <c r="G264" s="12" t="s">
        <v>47</v>
      </c>
      <c r="H264" s="12" t="s">
        <v>45</v>
      </c>
      <c r="I264" s="12" t="s">
        <v>45</v>
      </c>
      <c r="J264" s="12">
        <v>0</v>
      </c>
      <c r="K264" s="12" t="s">
        <v>46</v>
      </c>
      <c r="L264" s="47" t="s">
        <v>47</v>
      </c>
      <c r="M264" s="12">
        <v>1010129</v>
      </c>
      <c r="N264" s="12">
        <v>0</v>
      </c>
      <c r="O264" s="47" t="s">
        <v>48</v>
      </c>
      <c r="P264" s="12">
        <v>1651</v>
      </c>
      <c r="Q264" s="12"/>
      <c r="R264" s="12"/>
      <c r="S264" s="12">
        <v>23</v>
      </c>
      <c r="T264" s="12">
        <v>21</v>
      </c>
      <c r="U264" s="12"/>
      <c r="V264" s="12"/>
      <c r="W264" s="47" t="s">
        <v>47</v>
      </c>
      <c r="X264" s="47" t="s">
        <v>581</v>
      </c>
      <c r="Y264" s="47" t="str">
        <f t="shared" ref="Y264" si="130">B264</f>
        <v>黑兽</v>
      </c>
      <c r="Z264" s="12"/>
      <c r="AA264" s="12"/>
      <c r="AB264" s="12" t="s">
        <v>580</v>
      </c>
      <c r="AC264" s="12">
        <v>2141</v>
      </c>
      <c r="AD264" s="12">
        <v>2141</v>
      </c>
      <c r="AE264" s="12">
        <v>2141</v>
      </c>
      <c r="AF264" s="12">
        <v>2141</v>
      </c>
      <c r="AG264" s="12"/>
      <c r="AH264" s="47" t="s">
        <v>52</v>
      </c>
      <c r="AI264" s="12">
        <v>1</v>
      </c>
      <c r="AJ264" s="12"/>
      <c r="AK264" s="12"/>
      <c r="AL264" s="12"/>
      <c r="AM264" s="12"/>
      <c r="AN264" s="47" t="s">
        <v>47</v>
      </c>
      <c r="AO264" s="12"/>
      <c r="AP264" s="12" t="s">
        <v>53</v>
      </c>
      <c r="AQ264" s="2">
        <v>0</v>
      </c>
    </row>
    <row r="265" s="2" customFormat="1" ht="12" spans="1:43">
      <c r="A265" s="11">
        <v>165127</v>
      </c>
      <c r="B265" s="11" t="s">
        <v>580</v>
      </c>
      <c r="C265" s="11"/>
      <c r="D265" s="11"/>
      <c r="E265" s="11"/>
      <c r="F265" s="11">
        <v>0</v>
      </c>
      <c r="G265" s="11" t="s">
        <v>47</v>
      </c>
      <c r="H265" s="11" t="s">
        <v>45</v>
      </c>
      <c r="I265" s="11" t="s">
        <v>45</v>
      </c>
      <c r="J265" s="12">
        <v>0</v>
      </c>
      <c r="K265" s="11" t="s">
        <v>46</v>
      </c>
      <c r="L265" s="47" t="s">
        <v>47</v>
      </c>
      <c r="M265" s="11">
        <v>1010129</v>
      </c>
      <c r="N265" s="11">
        <v>0</v>
      </c>
      <c r="O265" s="47" t="s">
        <v>48</v>
      </c>
      <c r="P265" s="11">
        <v>1651</v>
      </c>
      <c r="Q265" s="11"/>
      <c r="R265" s="11"/>
      <c r="S265" s="11">
        <v>23</v>
      </c>
      <c r="T265" s="11">
        <v>21</v>
      </c>
      <c r="U265" s="11"/>
      <c r="V265" s="11"/>
      <c r="W265" s="47" t="s">
        <v>47</v>
      </c>
      <c r="X265" s="47" t="s">
        <v>581</v>
      </c>
      <c r="Y265" s="47" t="str">
        <f t="shared" ref="Y265" si="131">B265</f>
        <v>黑兽</v>
      </c>
      <c r="Z265" s="11"/>
      <c r="AA265" s="11"/>
      <c r="AB265" s="11" t="s">
        <v>580</v>
      </c>
      <c r="AC265" s="11">
        <v>2141</v>
      </c>
      <c r="AD265" s="11">
        <v>2141</v>
      </c>
      <c r="AE265" s="11">
        <v>2141</v>
      </c>
      <c r="AF265" s="11">
        <v>2141</v>
      </c>
      <c r="AG265" s="11"/>
      <c r="AH265" s="47" t="s">
        <v>52</v>
      </c>
      <c r="AI265" s="11">
        <v>1</v>
      </c>
      <c r="AJ265" s="11"/>
      <c r="AK265" s="11"/>
      <c r="AL265" s="11"/>
      <c r="AM265" s="11"/>
      <c r="AN265" s="47" t="s">
        <v>47</v>
      </c>
      <c r="AO265" s="11"/>
      <c r="AP265" s="11" t="s">
        <v>53</v>
      </c>
      <c r="AQ265" s="2">
        <v>0</v>
      </c>
    </row>
    <row r="266" s="3" customFormat="1" ht="12" spans="1:43">
      <c r="A266" s="12">
        <v>165128</v>
      </c>
      <c r="B266" s="12" t="s">
        <v>580</v>
      </c>
      <c r="C266" s="12"/>
      <c r="D266" s="12"/>
      <c r="E266" s="12"/>
      <c r="F266" s="12">
        <v>0</v>
      </c>
      <c r="G266" s="12" t="s">
        <v>47</v>
      </c>
      <c r="H266" s="12" t="s">
        <v>45</v>
      </c>
      <c r="I266" s="12" t="s">
        <v>45</v>
      </c>
      <c r="J266" s="12">
        <v>0</v>
      </c>
      <c r="K266" s="12" t="s">
        <v>46</v>
      </c>
      <c r="L266" s="47" t="s">
        <v>47</v>
      </c>
      <c r="M266" s="12">
        <v>1010129</v>
      </c>
      <c r="N266" s="12">
        <v>0</v>
      </c>
      <c r="O266" s="47" t="s">
        <v>48</v>
      </c>
      <c r="P266" s="12">
        <v>1651</v>
      </c>
      <c r="Q266" s="12"/>
      <c r="R266" s="12"/>
      <c r="S266" s="12">
        <v>23</v>
      </c>
      <c r="T266" s="12">
        <v>21</v>
      </c>
      <c r="U266" s="12"/>
      <c r="V266" s="12"/>
      <c r="W266" s="47" t="s">
        <v>47</v>
      </c>
      <c r="X266" s="47" t="s">
        <v>581</v>
      </c>
      <c r="Y266" s="47" t="str">
        <f t="shared" ref="Y266" si="132">B266</f>
        <v>黑兽</v>
      </c>
      <c r="Z266" s="12"/>
      <c r="AA266" s="12"/>
      <c r="AB266" s="12" t="s">
        <v>580</v>
      </c>
      <c r="AC266" s="12">
        <v>2141</v>
      </c>
      <c r="AD266" s="12">
        <v>2141</v>
      </c>
      <c r="AE266" s="12">
        <v>2141</v>
      </c>
      <c r="AF266" s="12">
        <v>2141</v>
      </c>
      <c r="AG266" s="12"/>
      <c r="AH266" s="47" t="s">
        <v>52</v>
      </c>
      <c r="AI266" s="12">
        <v>1</v>
      </c>
      <c r="AJ266" s="12"/>
      <c r="AK266" s="12"/>
      <c r="AL266" s="12"/>
      <c r="AM266" s="12"/>
      <c r="AN266" s="47" t="s">
        <v>47</v>
      </c>
      <c r="AO266" s="12"/>
      <c r="AP266" s="12" t="s">
        <v>53</v>
      </c>
      <c r="AQ266" s="2">
        <v>0</v>
      </c>
    </row>
    <row r="267" s="2" customFormat="1" ht="12" spans="1:43">
      <c r="A267" s="11">
        <v>165129</v>
      </c>
      <c r="B267" s="11" t="s">
        <v>580</v>
      </c>
      <c r="C267" s="11"/>
      <c r="D267" s="11"/>
      <c r="E267" s="11"/>
      <c r="F267" s="11">
        <v>0</v>
      </c>
      <c r="G267" s="11" t="s">
        <v>47</v>
      </c>
      <c r="H267" s="11" t="s">
        <v>45</v>
      </c>
      <c r="I267" s="11" t="s">
        <v>45</v>
      </c>
      <c r="J267" s="12">
        <v>0</v>
      </c>
      <c r="K267" s="11" t="s">
        <v>46</v>
      </c>
      <c r="L267" s="47" t="s">
        <v>47</v>
      </c>
      <c r="M267" s="11">
        <v>1010129</v>
      </c>
      <c r="N267" s="11">
        <v>0</v>
      </c>
      <c r="O267" s="47" t="s">
        <v>48</v>
      </c>
      <c r="P267" s="11">
        <v>1651</v>
      </c>
      <c r="Q267" s="11"/>
      <c r="R267" s="11"/>
      <c r="S267" s="11">
        <v>23</v>
      </c>
      <c r="T267" s="11">
        <v>21</v>
      </c>
      <c r="U267" s="11"/>
      <c r="V267" s="11"/>
      <c r="W267" s="47" t="s">
        <v>47</v>
      </c>
      <c r="X267" s="47" t="s">
        <v>581</v>
      </c>
      <c r="Y267" s="47" t="str">
        <f t="shared" ref="Y267" si="133">B267</f>
        <v>黑兽</v>
      </c>
      <c r="Z267" s="11"/>
      <c r="AA267" s="11"/>
      <c r="AB267" s="11" t="s">
        <v>580</v>
      </c>
      <c r="AC267" s="11">
        <v>2141</v>
      </c>
      <c r="AD267" s="11">
        <v>2141</v>
      </c>
      <c r="AE267" s="11">
        <v>2141</v>
      </c>
      <c r="AF267" s="11">
        <v>2141</v>
      </c>
      <c r="AG267" s="11"/>
      <c r="AH267" s="47" t="s">
        <v>52</v>
      </c>
      <c r="AI267" s="11">
        <v>1</v>
      </c>
      <c r="AJ267" s="11"/>
      <c r="AK267" s="11"/>
      <c r="AL267" s="11"/>
      <c r="AM267" s="11"/>
      <c r="AN267" s="47" t="s">
        <v>47</v>
      </c>
      <c r="AO267" s="11"/>
      <c r="AP267" s="11" t="s">
        <v>53</v>
      </c>
      <c r="AQ267" s="2">
        <v>0</v>
      </c>
    </row>
    <row r="268" s="3" customFormat="1" ht="12" spans="1:43">
      <c r="A268" s="12">
        <v>165130</v>
      </c>
      <c r="B268" s="12" t="s">
        <v>580</v>
      </c>
      <c r="C268" s="12"/>
      <c r="D268" s="12"/>
      <c r="E268" s="12"/>
      <c r="F268" s="12">
        <v>0</v>
      </c>
      <c r="G268" s="12" t="s">
        <v>47</v>
      </c>
      <c r="H268" s="12" t="s">
        <v>45</v>
      </c>
      <c r="I268" s="12" t="s">
        <v>45</v>
      </c>
      <c r="J268" s="12">
        <v>0</v>
      </c>
      <c r="K268" s="12" t="s">
        <v>46</v>
      </c>
      <c r="L268" s="47" t="s">
        <v>47</v>
      </c>
      <c r="M268" s="12">
        <v>1010129</v>
      </c>
      <c r="N268" s="12">
        <v>0</v>
      </c>
      <c r="O268" s="47" t="s">
        <v>48</v>
      </c>
      <c r="P268" s="12">
        <v>1651</v>
      </c>
      <c r="Q268" s="12"/>
      <c r="R268" s="12"/>
      <c r="S268" s="12">
        <v>23</v>
      </c>
      <c r="T268" s="12">
        <v>21</v>
      </c>
      <c r="U268" s="12"/>
      <c r="V268" s="12"/>
      <c r="W268" s="47" t="s">
        <v>47</v>
      </c>
      <c r="X268" s="47" t="s">
        <v>581</v>
      </c>
      <c r="Y268" s="47" t="str">
        <f t="shared" ref="Y268" si="134">B268</f>
        <v>黑兽</v>
      </c>
      <c r="Z268" s="12"/>
      <c r="AA268" s="12"/>
      <c r="AB268" s="12" t="s">
        <v>580</v>
      </c>
      <c r="AC268" s="12">
        <v>2141</v>
      </c>
      <c r="AD268" s="12">
        <v>2141</v>
      </c>
      <c r="AE268" s="12">
        <v>2141</v>
      </c>
      <c r="AF268" s="12">
        <v>2141</v>
      </c>
      <c r="AG268" s="12"/>
      <c r="AH268" s="47" t="s">
        <v>52</v>
      </c>
      <c r="AI268" s="12">
        <v>1</v>
      </c>
      <c r="AJ268" s="12"/>
      <c r="AK268" s="12"/>
      <c r="AL268" s="12"/>
      <c r="AM268" s="12"/>
      <c r="AN268" s="47" t="s">
        <v>47</v>
      </c>
      <c r="AO268" s="12"/>
      <c r="AP268" s="12" t="s">
        <v>53</v>
      </c>
      <c r="AQ268" s="2">
        <v>0</v>
      </c>
    </row>
    <row r="269" s="2" customFormat="1" ht="12" spans="1:43">
      <c r="A269" s="11">
        <v>165131</v>
      </c>
      <c r="B269" s="11" t="s">
        <v>580</v>
      </c>
      <c r="C269" s="11"/>
      <c r="D269" s="11"/>
      <c r="E269" s="11"/>
      <c r="F269" s="11">
        <v>0</v>
      </c>
      <c r="G269" s="11" t="s">
        <v>47</v>
      </c>
      <c r="H269" s="11" t="s">
        <v>45</v>
      </c>
      <c r="I269" s="11" t="s">
        <v>45</v>
      </c>
      <c r="J269" s="12">
        <v>0</v>
      </c>
      <c r="K269" s="11" t="s">
        <v>46</v>
      </c>
      <c r="L269" s="47" t="s">
        <v>47</v>
      </c>
      <c r="M269" s="11">
        <v>1010129</v>
      </c>
      <c r="N269" s="11">
        <v>0</v>
      </c>
      <c r="O269" s="47" t="s">
        <v>48</v>
      </c>
      <c r="P269" s="11">
        <v>1651</v>
      </c>
      <c r="Q269" s="11"/>
      <c r="R269" s="11"/>
      <c r="S269" s="11">
        <v>23</v>
      </c>
      <c r="T269" s="11">
        <v>21</v>
      </c>
      <c r="U269" s="11"/>
      <c r="V269" s="11"/>
      <c r="W269" s="47" t="s">
        <v>47</v>
      </c>
      <c r="X269" s="47" t="s">
        <v>581</v>
      </c>
      <c r="Y269" s="47" t="str">
        <f t="shared" ref="Y269" si="135">B269</f>
        <v>黑兽</v>
      </c>
      <c r="Z269" s="11"/>
      <c r="AA269" s="11"/>
      <c r="AB269" s="11" t="s">
        <v>580</v>
      </c>
      <c r="AC269" s="11">
        <v>2141</v>
      </c>
      <c r="AD269" s="11">
        <v>2141</v>
      </c>
      <c r="AE269" s="11">
        <v>2141</v>
      </c>
      <c r="AF269" s="11">
        <v>2141</v>
      </c>
      <c r="AG269" s="11"/>
      <c r="AH269" s="47" t="s">
        <v>52</v>
      </c>
      <c r="AI269" s="11">
        <v>1</v>
      </c>
      <c r="AJ269" s="11"/>
      <c r="AK269" s="11"/>
      <c r="AL269" s="11"/>
      <c r="AM269" s="11"/>
      <c r="AN269" s="47" t="s">
        <v>47</v>
      </c>
      <c r="AO269" s="11"/>
      <c r="AP269" s="11" t="s">
        <v>53</v>
      </c>
      <c r="AQ269" s="2">
        <v>0</v>
      </c>
    </row>
    <row r="270" s="3" customFormat="1" ht="12" spans="1:43">
      <c r="A270" s="12">
        <v>165132</v>
      </c>
      <c r="B270" s="12" t="s">
        <v>580</v>
      </c>
      <c r="C270" s="12"/>
      <c r="D270" s="12"/>
      <c r="E270" s="12"/>
      <c r="F270" s="12">
        <v>0</v>
      </c>
      <c r="G270" s="12" t="s">
        <v>47</v>
      </c>
      <c r="H270" s="12" t="s">
        <v>45</v>
      </c>
      <c r="I270" s="12" t="s">
        <v>45</v>
      </c>
      <c r="J270" s="12">
        <v>0</v>
      </c>
      <c r="K270" s="12" t="s">
        <v>46</v>
      </c>
      <c r="L270" s="47" t="s">
        <v>47</v>
      </c>
      <c r="M270" s="12">
        <v>1010129</v>
      </c>
      <c r="N270" s="12">
        <v>0</v>
      </c>
      <c r="O270" s="47" t="s">
        <v>48</v>
      </c>
      <c r="P270" s="12">
        <v>1651</v>
      </c>
      <c r="Q270" s="12"/>
      <c r="R270" s="12"/>
      <c r="S270" s="12">
        <v>23</v>
      </c>
      <c r="T270" s="12">
        <v>21</v>
      </c>
      <c r="U270" s="12"/>
      <c r="V270" s="12"/>
      <c r="W270" s="47" t="s">
        <v>47</v>
      </c>
      <c r="X270" s="47" t="s">
        <v>581</v>
      </c>
      <c r="Y270" s="47" t="str">
        <f t="shared" ref="Y270" si="136">B270</f>
        <v>黑兽</v>
      </c>
      <c r="Z270" s="12"/>
      <c r="AA270" s="12"/>
      <c r="AB270" s="12" t="s">
        <v>580</v>
      </c>
      <c r="AC270" s="12">
        <v>2141</v>
      </c>
      <c r="AD270" s="12">
        <v>2141</v>
      </c>
      <c r="AE270" s="12">
        <v>2141</v>
      </c>
      <c r="AF270" s="12">
        <v>2141</v>
      </c>
      <c r="AG270" s="12"/>
      <c r="AH270" s="47" t="s">
        <v>52</v>
      </c>
      <c r="AI270" s="12">
        <v>1</v>
      </c>
      <c r="AJ270" s="12"/>
      <c r="AK270" s="12"/>
      <c r="AL270" s="12"/>
      <c r="AM270" s="12"/>
      <c r="AN270" s="47" t="s">
        <v>47</v>
      </c>
      <c r="AO270" s="12"/>
      <c r="AP270" s="12" t="s">
        <v>53</v>
      </c>
      <c r="AQ270" s="2">
        <v>0</v>
      </c>
    </row>
    <row r="271" s="2" customFormat="1" ht="12" spans="1:43">
      <c r="A271" s="11">
        <v>165133</v>
      </c>
      <c r="B271" s="11" t="s">
        <v>383</v>
      </c>
      <c r="C271" s="11"/>
      <c r="D271" s="11"/>
      <c r="E271" s="11"/>
      <c r="F271" s="11">
        <v>0</v>
      </c>
      <c r="G271" s="11" t="s">
        <v>47</v>
      </c>
      <c r="H271" s="11" t="s">
        <v>45</v>
      </c>
      <c r="I271" s="11" t="s">
        <v>45</v>
      </c>
      <c r="J271" s="12">
        <v>0</v>
      </c>
      <c r="K271" s="11" t="s">
        <v>46</v>
      </c>
      <c r="L271" s="47" t="s">
        <v>47</v>
      </c>
      <c r="M271" s="11">
        <v>1020118</v>
      </c>
      <c r="N271" s="11">
        <v>0</v>
      </c>
      <c r="O271" s="47" t="s">
        <v>48</v>
      </c>
      <c r="P271" s="11">
        <v>1651</v>
      </c>
      <c r="Q271" s="11"/>
      <c r="R271" s="11"/>
      <c r="S271" s="11">
        <v>84</v>
      </c>
      <c r="T271" s="11">
        <v>65</v>
      </c>
      <c r="U271" s="11"/>
      <c r="V271" s="11"/>
      <c r="W271" s="47" t="s">
        <v>47</v>
      </c>
      <c r="X271" s="47" t="s">
        <v>261</v>
      </c>
      <c r="Y271" s="47" t="str">
        <f t="shared" ref="Y271" si="137">B271</f>
        <v>唐唐</v>
      </c>
      <c r="Z271" s="11"/>
      <c r="AA271" s="11"/>
      <c r="AB271" s="11" t="s">
        <v>383</v>
      </c>
      <c r="AC271" s="11">
        <v>2080</v>
      </c>
      <c r="AD271" s="11">
        <v>2081</v>
      </c>
      <c r="AE271" s="11">
        <v>2082</v>
      </c>
      <c r="AF271" s="11">
        <v>2161</v>
      </c>
      <c r="AG271" s="11"/>
      <c r="AH271" s="47" t="s">
        <v>52</v>
      </c>
      <c r="AI271" s="11">
        <v>1</v>
      </c>
      <c r="AJ271" s="11" t="s">
        <v>262</v>
      </c>
      <c r="AK271" s="11" t="s">
        <v>263</v>
      </c>
      <c r="AL271" s="11" t="s">
        <v>264</v>
      </c>
      <c r="AM271" s="11" t="s">
        <v>265</v>
      </c>
      <c r="AN271" s="47" t="s">
        <v>47</v>
      </c>
      <c r="AO271" s="11"/>
      <c r="AP271" s="11" t="s">
        <v>53</v>
      </c>
      <c r="AQ271" s="2">
        <v>0</v>
      </c>
    </row>
    <row r="272" s="3" customFormat="1" ht="12" spans="1:43">
      <c r="A272" s="12">
        <v>165134</v>
      </c>
      <c r="B272" s="12" t="s">
        <v>302</v>
      </c>
      <c r="C272" s="12"/>
      <c r="D272" s="12"/>
      <c r="E272" s="12"/>
      <c r="F272" s="12">
        <v>0</v>
      </c>
      <c r="G272" s="12" t="s">
        <v>47</v>
      </c>
      <c r="H272" s="12" t="s">
        <v>45</v>
      </c>
      <c r="I272" s="12" t="s">
        <v>45</v>
      </c>
      <c r="J272" s="12">
        <v>0</v>
      </c>
      <c r="K272" s="12" t="s">
        <v>46</v>
      </c>
      <c r="L272" s="47" t="s">
        <v>47</v>
      </c>
      <c r="M272" s="12">
        <v>1020117</v>
      </c>
      <c r="N272" s="12">
        <v>0</v>
      </c>
      <c r="O272" s="47" t="s">
        <v>48</v>
      </c>
      <c r="P272" s="12">
        <v>1651</v>
      </c>
      <c r="Q272" s="12"/>
      <c r="R272" s="12"/>
      <c r="S272" s="12">
        <v>84</v>
      </c>
      <c r="T272" s="12">
        <v>68</v>
      </c>
      <c r="U272" s="12"/>
      <c r="V272" s="12"/>
      <c r="W272" s="47" t="s">
        <v>47</v>
      </c>
      <c r="X272" s="47" t="s">
        <v>267</v>
      </c>
      <c r="Y272" s="47" t="str">
        <f t="shared" ref="Y272" si="138">B272</f>
        <v>小霞</v>
      </c>
      <c r="Z272" s="12"/>
      <c r="AA272" s="12"/>
      <c r="AB272" s="12" t="s">
        <v>302</v>
      </c>
      <c r="AC272" s="12">
        <v>2088</v>
      </c>
      <c r="AD272" s="12">
        <v>2089</v>
      </c>
      <c r="AE272" s="12">
        <v>2090</v>
      </c>
      <c r="AF272" s="12">
        <v>2091</v>
      </c>
      <c r="AG272" s="12"/>
      <c r="AH272" s="47" t="s">
        <v>52</v>
      </c>
      <c r="AI272" s="12">
        <v>1</v>
      </c>
      <c r="AJ272" s="12" t="s">
        <v>268</v>
      </c>
      <c r="AK272" s="12" t="s">
        <v>269</v>
      </c>
      <c r="AL272" s="12" t="s">
        <v>270</v>
      </c>
      <c r="AM272" s="12"/>
      <c r="AN272" s="47" t="s">
        <v>47</v>
      </c>
      <c r="AO272" s="12"/>
      <c r="AP272" s="12" t="s">
        <v>53</v>
      </c>
      <c r="AQ272" s="2">
        <v>0</v>
      </c>
    </row>
    <row r="273" s="2" customFormat="1" ht="12" spans="1:43">
      <c r="A273" s="11">
        <v>165135</v>
      </c>
      <c r="B273" s="11" t="s">
        <v>383</v>
      </c>
      <c r="C273" s="11"/>
      <c r="D273" s="11"/>
      <c r="E273" s="11"/>
      <c r="F273" s="11">
        <v>0</v>
      </c>
      <c r="G273" s="11" t="s">
        <v>47</v>
      </c>
      <c r="H273" s="11" t="s">
        <v>45</v>
      </c>
      <c r="I273" s="11" t="s">
        <v>45</v>
      </c>
      <c r="J273" s="12">
        <v>0</v>
      </c>
      <c r="K273" s="11" t="s">
        <v>46</v>
      </c>
      <c r="L273" s="47" t="s">
        <v>47</v>
      </c>
      <c r="M273" s="11">
        <v>1020118</v>
      </c>
      <c r="N273" s="11">
        <v>0</v>
      </c>
      <c r="O273" s="47" t="s">
        <v>48</v>
      </c>
      <c r="P273" s="11">
        <v>1651</v>
      </c>
      <c r="Q273" s="11"/>
      <c r="R273" s="11"/>
      <c r="S273" s="11">
        <v>37</v>
      </c>
      <c r="T273" s="11">
        <v>44</v>
      </c>
      <c r="U273" s="11"/>
      <c r="V273" s="11"/>
      <c r="W273" s="47" t="s">
        <v>47</v>
      </c>
      <c r="X273" s="47" t="s">
        <v>261</v>
      </c>
      <c r="Y273" s="47" t="str">
        <f t="shared" ref="Y273" si="139">B273</f>
        <v>唐唐</v>
      </c>
      <c r="Z273" s="11"/>
      <c r="AA273" s="11"/>
      <c r="AB273" s="11" t="s">
        <v>383</v>
      </c>
      <c r="AC273" s="11">
        <v>2080</v>
      </c>
      <c r="AD273" s="11">
        <v>2081</v>
      </c>
      <c r="AE273" s="11">
        <v>2082</v>
      </c>
      <c r="AF273" s="11">
        <v>2083</v>
      </c>
      <c r="AG273" s="11"/>
      <c r="AH273" s="47" t="s">
        <v>52</v>
      </c>
      <c r="AI273" s="11">
        <v>1</v>
      </c>
      <c r="AJ273" s="11" t="s">
        <v>262</v>
      </c>
      <c r="AK273" s="11" t="s">
        <v>263</v>
      </c>
      <c r="AL273" s="11" t="s">
        <v>264</v>
      </c>
      <c r="AM273" s="11" t="s">
        <v>265</v>
      </c>
      <c r="AN273" s="47" t="s">
        <v>47</v>
      </c>
      <c r="AO273" s="11"/>
      <c r="AP273" s="11" t="s">
        <v>53</v>
      </c>
      <c r="AQ273" s="2">
        <v>0</v>
      </c>
    </row>
    <row r="274" s="3" customFormat="1" ht="12" spans="1:43">
      <c r="A274" s="12">
        <v>165136</v>
      </c>
      <c r="B274" s="12" t="s">
        <v>302</v>
      </c>
      <c r="C274" s="12"/>
      <c r="D274" s="12"/>
      <c r="E274" s="12"/>
      <c r="F274" s="12">
        <v>0</v>
      </c>
      <c r="G274" s="12" t="s">
        <v>47</v>
      </c>
      <c r="H274" s="12" t="s">
        <v>45</v>
      </c>
      <c r="I274" s="12" t="s">
        <v>45</v>
      </c>
      <c r="J274" s="12">
        <v>0</v>
      </c>
      <c r="K274" s="12" t="s">
        <v>46</v>
      </c>
      <c r="L274" s="47" t="s">
        <v>47</v>
      </c>
      <c r="M274" s="12">
        <v>1020117</v>
      </c>
      <c r="N274" s="12">
        <v>0</v>
      </c>
      <c r="O274" s="47" t="s">
        <v>48</v>
      </c>
      <c r="P274" s="12">
        <v>1651</v>
      </c>
      <c r="Q274" s="12"/>
      <c r="R274" s="12"/>
      <c r="S274" s="12">
        <v>41</v>
      </c>
      <c r="T274" s="12">
        <v>41</v>
      </c>
      <c r="U274" s="12"/>
      <c r="V274" s="12"/>
      <c r="W274" s="47" t="s">
        <v>47</v>
      </c>
      <c r="X274" s="47" t="s">
        <v>267</v>
      </c>
      <c r="Y274" s="47" t="str">
        <f t="shared" ref="Y274" si="140">B274</f>
        <v>小霞</v>
      </c>
      <c r="Z274" s="12"/>
      <c r="AA274" s="12"/>
      <c r="AB274" s="12" t="s">
        <v>302</v>
      </c>
      <c r="AC274" s="12">
        <v>2088</v>
      </c>
      <c r="AD274" s="12">
        <v>2089</v>
      </c>
      <c r="AE274" s="12">
        <v>2090</v>
      </c>
      <c r="AF274" s="12">
        <v>2091</v>
      </c>
      <c r="AG274" s="12"/>
      <c r="AH274" s="47" t="s">
        <v>52</v>
      </c>
      <c r="AI274" s="12">
        <v>1</v>
      </c>
      <c r="AJ274" s="12" t="s">
        <v>268</v>
      </c>
      <c r="AK274" s="12" t="s">
        <v>269</v>
      </c>
      <c r="AL274" s="12" t="s">
        <v>270</v>
      </c>
      <c r="AM274" s="12"/>
      <c r="AN274" s="47" t="s">
        <v>47</v>
      </c>
      <c r="AO274" s="12"/>
      <c r="AP274" s="12" t="s">
        <v>53</v>
      </c>
      <c r="AQ274" s="2">
        <v>0</v>
      </c>
    </row>
    <row r="275" s="2" customFormat="1" ht="12" spans="1:43">
      <c r="A275" s="11">
        <v>165137</v>
      </c>
      <c r="B275" s="11" t="s">
        <v>582</v>
      </c>
      <c r="C275" s="11"/>
      <c r="D275" s="11"/>
      <c r="E275" s="11"/>
      <c r="F275" s="11">
        <v>0</v>
      </c>
      <c r="G275" s="11" t="s">
        <v>47</v>
      </c>
      <c r="H275" s="11" t="s">
        <v>45</v>
      </c>
      <c r="I275" s="11" t="s">
        <v>45</v>
      </c>
      <c r="J275" s="12">
        <v>0</v>
      </c>
      <c r="K275" s="11" t="s">
        <v>46</v>
      </c>
      <c r="L275" s="47" t="s">
        <v>47</v>
      </c>
      <c r="M275" s="11">
        <v>1020117</v>
      </c>
      <c r="N275" s="11">
        <v>0</v>
      </c>
      <c r="O275" s="47" t="s">
        <v>48</v>
      </c>
      <c r="P275" s="11">
        <v>1651</v>
      </c>
      <c r="Q275" s="11"/>
      <c r="R275" s="11"/>
      <c r="S275" s="11">
        <v>25</v>
      </c>
      <c r="T275" s="11">
        <v>30</v>
      </c>
      <c r="U275" s="11"/>
      <c r="V275" s="11"/>
      <c r="W275" s="47" t="s">
        <v>47</v>
      </c>
      <c r="X275" s="47" t="s">
        <v>380</v>
      </c>
      <c r="Y275" s="47" t="str">
        <f t="shared" ref="Y275" si="141">B275</f>
        <v>猴小仙</v>
      </c>
      <c r="Z275" s="11"/>
      <c r="AA275" s="11"/>
      <c r="AB275" s="11" t="s">
        <v>381</v>
      </c>
      <c r="AC275" s="11">
        <v>2223</v>
      </c>
      <c r="AD275" s="11">
        <v>2224</v>
      </c>
      <c r="AE275" s="11">
        <v>2225</v>
      </c>
      <c r="AF275" s="11">
        <v>2226</v>
      </c>
      <c r="AG275" s="11"/>
      <c r="AH275" s="47" t="s">
        <v>52</v>
      </c>
      <c r="AI275" s="11">
        <v>1</v>
      </c>
      <c r="AJ275" s="11" t="s">
        <v>223</v>
      </c>
      <c r="AK275" s="11"/>
      <c r="AL275" s="11" t="s">
        <v>237</v>
      </c>
      <c r="AM275" s="11" t="s">
        <v>238</v>
      </c>
      <c r="AN275" s="47" t="s">
        <v>47</v>
      </c>
      <c r="AO275" s="11"/>
      <c r="AP275" s="11" t="s">
        <v>53</v>
      </c>
      <c r="AQ275" s="2">
        <v>0</v>
      </c>
    </row>
    <row r="276" s="7" customFormat="1" ht="12" spans="1:43">
      <c r="A276" s="44">
        <v>165201</v>
      </c>
      <c r="B276" s="44" t="s">
        <v>583</v>
      </c>
      <c r="C276" s="44"/>
      <c r="D276" s="44"/>
      <c r="E276" s="44"/>
      <c r="F276" s="44">
        <v>0</v>
      </c>
      <c r="G276" s="44" t="s">
        <v>47</v>
      </c>
      <c r="H276" s="44" t="s">
        <v>45</v>
      </c>
      <c r="I276" s="44" t="s">
        <v>45</v>
      </c>
      <c r="J276" s="12">
        <v>0</v>
      </c>
      <c r="K276" s="44" t="s">
        <v>46</v>
      </c>
      <c r="L276" s="47" t="s">
        <v>47</v>
      </c>
      <c r="M276" s="44">
        <v>1010147</v>
      </c>
      <c r="N276" s="44">
        <v>0</v>
      </c>
      <c r="O276" s="47" t="s">
        <v>48</v>
      </c>
      <c r="P276" s="44">
        <v>1652</v>
      </c>
      <c r="Q276" s="44">
        <v>336</v>
      </c>
      <c r="R276" s="44">
        <v>992</v>
      </c>
      <c r="S276" s="44">
        <v>21</v>
      </c>
      <c r="T276" s="44">
        <v>62</v>
      </c>
      <c r="U276" s="44">
        <v>3</v>
      </c>
      <c r="V276" s="44"/>
      <c r="W276" s="47" t="s">
        <v>47</v>
      </c>
      <c r="X276" s="47" t="s">
        <v>473</v>
      </c>
      <c r="Y276" s="47" t="str">
        <f t="shared" ref="Y276" si="142">B276</f>
        <v>旅馆老板</v>
      </c>
      <c r="Z276" s="44"/>
      <c r="AA276" s="44"/>
      <c r="AB276" s="44" t="s">
        <v>583</v>
      </c>
      <c r="AC276" s="44">
        <v>2256</v>
      </c>
      <c r="AD276" s="44">
        <v>2257</v>
      </c>
      <c r="AE276" s="44">
        <v>2258</v>
      </c>
      <c r="AF276" s="44">
        <v>2258</v>
      </c>
      <c r="AG276" s="44"/>
      <c r="AH276" s="47" t="s">
        <v>52</v>
      </c>
      <c r="AI276" s="44">
        <v>1</v>
      </c>
      <c r="AJ276" s="44" t="s">
        <v>223</v>
      </c>
      <c r="AK276" s="44"/>
      <c r="AL276" s="44" t="s">
        <v>237</v>
      </c>
      <c r="AM276" s="44" t="s">
        <v>238</v>
      </c>
      <c r="AN276" s="47" t="s">
        <v>47</v>
      </c>
      <c r="AO276" s="44"/>
      <c r="AP276" s="44" t="s">
        <v>53</v>
      </c>
      <c r="AQ276" s="2">
        <v>0</v>
      </c>
    </row>
    <row r="277" s="7" customFormat="1" ht="12" spans="1:43">
      <c r="A277" s="44">
        <v>165202</v>
      </c>
      <c r="B277" s="44" t="s">
        <v>413</v>
      </c>
      <c r="C277" s="44"/>
      <c r="D277" s="44"/>
      <c r="E277" s="44"/>
      <c r="F277" s="44">
        <v>0</v>
      </c>
      <c r="G277" s="44" t="s">
        <v>47</v>
      </c>
      <c r="H277" s="44" t="s">
        <v>45</v>
      </c>
      <c r="I277" s="44">
        <v>1</v>
      </c>
      <c r="J277" s="12">
        <v>0</v>
      </c>
      <c r="K277" s="44" t="s">
        <v>46</v>
      </c>
      <c r="L277" s="47" t="s">
        <v>47</v>
      </c>
      <c r="M277" s="44">
        <v>1020108</v>
      </c>
      <c r="N277" s="44">
        <v>0</v>
      </c>
      <c r="O277" s="47" t="s">
        <v>48</v>
      </c>
      <c r="P277" s="44">
        <v>1652</v>
      </c>
      <c r="Q277" s="44">
        <v>1888</v>
      </c>
      <c r="R277" s="44">
        <v>1472</v>
      </c>
      <c r="S277" s="44">
        <v>118</v>
      </c>
      <c r="T277" s="44">
        <v>92</v>
      </c>
      <c r="U277" s="44">
        <v>5</v>
      </c>
      <c r="V277" s="44"/>
      <c r="W277" s="47" t="s">
        <v>47</v>
      </c>
      <c r="X277" s="47" t="s">
        <v>259</v>
      </c>
      <c r="Y277" s="47" t="str">
        <f t="shared" ref="Y277" si="143">B277</f>
        <v>鬼将</v>
      </c>
      <c r="Z277" s="44"/>
      <c r="AA277" s="44"/>
      <c r="AB277" s="44" t="s">
        <v>413</v>
      </c>
      <c r="AC277" s="44">
        <v>2084</v>
      </c>
      <c r="AD277" s="44">
        <v>2085</v>
      </c>
      <c r="AE277" s="44">
        <v>2086</v>
      </c>
      <c r="AF277" s="44">
        <v>2087</v>
      </c>
      <c r="AG277" s="44"/>
      <c r="AH277" s="47" t="s">
        <v>52</v>
      </c>
      <c r="AI277" s="44">
        <v>1</v>
      </c>
      <c r="AJ277" s="44" t="s">
        <v>132</v>
      </c>
      <c r="AK277" s="44" t="s">
        <v>133</v>
      </c>
      <c r="AL277" s="44" t="s">
        <v>134</v>
      </c>
      <c r="AM277" s="44" t="s">
        <v>135</v>
      </c>
      <c r="AN277" s="47" t="s">
        <v>47</v>
      </c>
      <c r="AO277" s="44"/>
      <c r="AP277" s="44" t="s">
        <v>53</v>
      </c>
      <c r="AQ277" s="2">
        <v>0</v>
      </c>
    </row>
    <row r="278" s="7" customFormat="1" ht="12" spans="1:43">
      <c r="A278" s="44">
        <v>165203</v>
      </c>
      <c r="B278" s="44" t="s">
        <v>584</v>
      </c>
      <c r="C278" s="44"/>
      <c r="D278" s="44"/>
      <c r="E278" s="44"/>
      <c r="F278" s="44">
        <v>0</v>
      </c>
      <c r="G278" s="44" t="s">
        <v>47</v>
      </c>
      <c r="H278" s="44" t="s">
        <v>45</v>
      </c>
      <c r="I278" s="44">
        <v>1</v>
      </c>
      <c r="J278" s="12">
        <v>0</v>
      </c>
      <c r="K278" s="44" t="s">
        <v>46</v>
      </c>
      <c r="L278" s="47" t="s">
        <v>47</v>
      </c>
      <c r="M278" s="44">
        <v>1020108</v>
      </c>
      <c r="N278" s="44">
        <v>0</v>
      </c>
      <c r="O278" s="47" t="s">
        <v>48</v>
      </c>
      <c r="P278" s="44">
        <v>1652</v>
      </c>
      <c r="Q278" s="44">
        <v>1824</v>
      </c>
      <c r="R278" s="44">
        <v>1584</v>
      </c>
      <c r="S278" s="44">
        <v>114</v>
      </c>
      <c r="T278" s="44">
        <v>99</v>
      </c>
      <c r="U278" s="44">
        <v>5</v>
      </c>
      <c r="V278" s="44"/>
      <c r="W278" s="47" t="s">
        <v>47</v>
      </c>
      <c r="X278" s="47" t="s">
        <v>585</v>
      </c>
      <c r="Y278" s="47" t="str">
        <f t="shared" ref="Y278" si="144">B278</f>
        <v>布莱摩尔贵族</v>
      </c>
      <c r="Z278" s="44"/>
      <c r="AA278" s="44"/>
      <c r="AB278" s="44" t="s">
        <v>584</v>
      </c>
      <c r="AC278" s="44">
        <v>2022</v>
      </c>
      <c r="AD278" s="44">
        <v>2023</v>
      </c>
      <c r="AE278" s="44">
        <v>2024</v>
      </c>
      <c r="AF278" s="44">
        <v>2220</v>
      </c>
      <c r="AG278" s="44"/>
      <c r="AH278" s="47" t="s">
        <v>52</v>
      </c>
      <c r="AI278" s="44">
        <v>0</v>
      </c>
      <c r="AJ278" s="44" t="s">
        <v>132</v>
      </c>
      <c r="AK278" s="44" t="s">
        <v>133</v>
      </c>
      <c r="AL278" s="44"/>
      <c r="AM278" s="44"/>
      <c r="AN278" s="47" t="s">
        <v>47</v>
      </c>
      <c r="AO278" s="44"/>
      <c r="AP278" s="44" t="s">
        <v>53</v>
      </c>
      <c r="AQ278" s="2">
        <v>0</v>
      </c>
    </row>
    <row r="279" s="7" customFormat="1" ht="12" spans="1:43">
      <c r="A279" s="44">
        <v>165204</v>
      </c>
      <c r="B279" s="44" t="s">
        <v>383</v>
      </c>
      <c r="C279" s="44"/>
      <c r="D279" s="44"/>
      <c r="E279" s="44"/>
      <c r="F279" s="44">
        <v>0</v>
      </c>
      <c r="G279" s="44" t="s">
        <v>47</v>
      </c>
      <c r="H279" s="44" t="s">
        <v>45</v>
      </c>
      <c r="I279" s="44" t="s">
        <v>45</v>
      </c>
      <c r="J279" s="12">
        <v>0</v>
      </c>
      <c r="K279" s="44" t="s">
        <v>46</v>
      </c>
      <c r="L279" s="47" t="s">
        <v>47</v>
      </c>
      <c r="M279" s="44">
        <v>1020118</v>
      </c>
      <c r="N279" s="44">
        <v>0</v>
      </c>
      <c r="O279" s="47" t="s">
        <v>48</v>
      </c>
      <c r="P279" s="44">
        <v>1652</v>
      </c>
      <c r="Q279" s="44">
        <v>1712</v>
      </c>
      <c r="R279" s="44">
        <v>1440</v>
      </c>
      <c r="S279" s="44">
        <v>107</v>
      </c>
      <c r="T279" s="44">
        <v>90</v>
      </c>
      <c r="U279" s="44">
        <v>3</v>
      </c>
      <c r="V279" s="44"/>
      <c r="W279" s="47" t="s">
        <v>47</v>
      </c>
      <c r="X279" s="47" t="s">
        <v>261</v>
      </c>
      <c r="Y279" s="47" t="str">
        <f t="shared" ref="Y279" si="145">B279</f>
        <v>唐唐</v>
      </c>
      <c r="Z279" s="44"/>
      <c r="AA279" s="44"/>
      <c r="AB279" s="44" t="s">
        <v>383</v>
      </c>
      <c r="AC279" s="44">
        <v>2080</v>
      </c>
      <c r="AD279" s="44">
        <v>2081</v>
      </c>
      <c r="AE279" s="44">
        <v>2082</v>
      </c>
      <c r="AF279" s="44">
        <v>2083</v>
      </c>
      <c r="AG279" s="44"/>
      <c r="AH279" s="47" t="s">
        <v>52</v>
      </c>
      <c r="AI279" s="44">
        <v>1</v>
      </c>
      <c r="AJ279" s="44" t="s">
        <v>262</v>
      </c>
      <c r="AK279" s="44" t="s">
        <v>263</v>
      </c>
      <c r="AL279" s="44" t="s">
        <v>264</v>
      </c>
      <c r="AM279" s="44" t="s">
        <v>265</v>
      </c>
      <c r="AN279" s="47" t="s">
        <v>47</v>
      </c>
      <c r="AO279" s="44"/>
      <c r="AP279" s="44" t="s">
        <v>53</v>
      </c>
      <c r="AQ279" s="2">
        <v>0</v>
      </c>
    </row>
    <row r="280" s="7" customFormat="1" ht="12" spans="1:43">
      <c r="A280" s="44">
        <v>165301</v>
      </c>
      <c r="B280" s="44" t="s">
        <v>586</v>
      </c>
      <c r="C280" s="44"/>
      <c r="D280" s="44"/>
      <c r="E280" s="44"/>
      <c r="F280" s="44">
        <v>0</v>
      </c>
      <c r="G280" s="44" t="s">
        <v>47</v>
      </c>
      <c r="H280" s="44" t="s">
        <v>45</v>
      </c>
      <c r="I280" s="44" t="s">
        <v>45</v>
      </c>
      <c r="J280" s="12">
        <v>0</v>
      </c>
      <c r="K280" s="44" t="s">
        <v>46</v>
      </c>
      <c r="L280" s="47" t="s">
        <v>47</v>
      </c>
      <c r="M280" s="44">
        <v>1010131</v>
      </c>
      <c r="N280" s="44">
        <v>0</v>
      </c>
      <c r="O280" s="47" t="s">
        <v>48</v>
      </c>
      <c r="P280" s="44">
        <v>1653</v>
      </c>
      <c r="Q280" s="44"/>
      <c r="R280" s="44"/>
      <c r="S280" s="44">
        <v>13</v>
      </c>
      <c r="T280" s="44">
        <v>48</v>
      </c>
      <c r="U280" s="44"/>
      <c r="V280" s="44"/>
      <c r="W280" s="47" t="s">
        <v>47</v>
      </c>
      <c r="X280" s="47" t="s">
        <v>587</v>
      </c>
      <c r="Y280" s="47" t="str">
        <f t="shared" ref="Y280" si="146">B280</f>
        <v>布莱摩尔领主</v>
      </c>
      <c r="Z280" s="44"/>
      <c r="AA280" s="44"/>
      <c r="AB280" s="44" t="s">
        <v>586</v>
      </c>
      <c r="AC280" s="44">
        <v>2022</v>
      </c>
      <c r="AD280" s="44">
        <v>2023</v>
      </c>
      <c r="AE280" s="44">
        <v>2024</v>
      </c>
      <c r="AF280" s="44">
        <v>2220</v>
      </c>
      <c r="AG280" s="44"/>
      <c r="AH280" s="47" t="s">
        <v>52</v>
      </c>
      <c r="AI280" s="44">
        <v>0</v>
      </c>
      <c r="AJ280" s="44" t="s">
        <v>223</v>
      </c>
      <c r="AK280" s="44"/>
      <c r="AL280" s="44" t="s">
        <v>237</v>
      </c>
      <c r="AM280" s="44" t="s">
        <v>238</v>
      </c>
      <c r="AN280" s="47" t="s">
        <v>47</v>
      </c>
      <c r="AO280" s="44"/>
      <c r="AP280" s="44" t="s">
        <v>53</v>
      </c>
      <c r="AQ280" s="2">
        <v>0</v>
      </c>
    </row>
    <row r="281" s="2" customFormat="1" ht="12" spans="1:43">
      <c r="A281" s="11">
        <v>165302</v>
      </c>
      <c r="B281" s="11" t="s">
        <v>588</v>
      </c>
      <c r="C281" s="11"/>
      <c r="D281" s="11"/>
      <c r="E281" s="11"/>
      <c r="F281" s="11">
        <v>0</v>
      </c>
      <c r="G281" s="11" t="s">
        <v>47</v>
      </c>
      <c r="H281" s="11" t="s">
        <v>45</v>
      </c>
      <c r="I281" s="11" t="s">
        <v>45</v>
      </c>
      <c r="J281" s="12">
        <v>0</v>
      </c>
      <c r="K281" s="11" t="s">
        <v>46</v>
      </c>
      <c r="L281" s="47" t="s">
        <v>47</v>
      </c>
      <c r="M281" s="11">
        <v>1030008</v>
      </c>
      <c r="N281" s="11">
        <v>0</v>
      </c>
      <c r="O281" s="47" t="s">
        <v>48</v>
      </c>
      <c r="P281" s="11">
        <v>1653</v>
      </c>
      <c r="Q281" s="11"/>
      <c r="R281" s="11"/>
      <c r="S281" s="11">
        <v>50</v>
      </c>
      <c r="T281" s="11">
        <v>12</v>
      </c>
      <c r="U281" s="11">
        <v>5</v>
      </c>
      <c r="V281" s="11"/>
      <c r="W281" s="47" t="s">
        <v>47</v>
      </c>
      <c r="X281" s="47" t="s">
        <v>589</v>
      </c>
      <c r="Y281" s="47" t="str">
        <f t="shared" ref="Y281" si="147">B281</f>
        <v>角斗士奴隶</v>
      </c>
      <c r="Z281" s="11"/>
      <c r="AA281" s="11"/>
      <c r="AB281" s="11" t="s">
        <v>588</v>
      </c>
      <c r="AC281" s="11">
        <v>2022</v>
      </c>
      <c r="AD281" s="11">
        <v>2023</v>
      </c>
      <c r="AE281" s="11">
        <v>2024</v>
      </c>
      <c r="AF281" s="11">
        <v>2220</v>
      </c>
      <c r="AG281" s="11"/>
      <c r="AH281" s="47" t="s">
        <v>52</v>
      </c>
      <c r="AI281" s="11">
        <v>1</v>
      </c>
      <c r="AJ281" s="11" t="s">
        <v>223</v>
      </c>
      <c r="AK281" s="11"/>
      <c r="AL281" s="11" t="s">
        <v>237</v>
      </c>
      <c r="AM281" s="11" t="s">
        <v>238</v>
      </c>
      <c r="AN281" s="47" t="s">
        <v>47</v>
      </c>
      <c r="AO281" s="11"/>
      <c r="AP281" s="11" t="s">
        <v>53</v>
      </c>
      <c r="AQ281" s="2">
        <v>0</v>
      </c>
    </row>
    <row r="282" s="3" customFormat="1" ht="12" spans="1:43">
      <c r="A282" s="12">
        <v>165303</v>
      </c>
      <c r="B282" s="12" t="s">
        <v>544</v>
      </c>
      <c r="C282" s="12"/>
      <c r="D282" s="12"/>
      <c r="E282" s="12"/>
      <c r="F282" s="12">
        <v>0</v>
      </c>
      <c r="G282" s="12" t="s">
        <v>47</v>
      </c>
      <c r="H282" s="12" t="s">
        <v>45</v>
      </c>
      <c r="I282" s="12" t="s">
        <v>45</v>
      </c>
      <c r="J282" s="12">
        <v>0</v>
      </c>
      <c r="K282" s="12" t="s">
        <v>46</v>
      </c>
      <c r="L282" s="47" t="s">
        <v>47</v>
      </c>
      <c r="M282" s="12">
        <v>1030001</v>
      </c>
      <c r="N282" s="12">
        <v>0</v>
      </c>
      <c r="O282" s="47" t="s">
        <v>48</v>
      </c>
      <c r="P282" s="12">
        <v>1653</v>
      </c>
      <c r="Q282" s="12"/>
      <c r="R282" s="12"/>
      <c r="S282" s="12">
        <v>50</v>
      </c>
      <c r="T282" s="12">
        <v>12</v>
      </c>
      <c r="U282" s="12">
        <v>5</v>
      </c>
      <c r="V282" s="12"/>
      <c r="W282" s="47" t="s">
        <v>47</v>
      </c>
      <c r="X282" s="47" t="s">
        <v>545</v>
      </c>
      <c r="Y282" s="47" t="str">
        <f t="shared" ref="Y282" si="148">B282</f>
        <v>老孙头</v>
      </c>
      <c r="Z282" s="12"/>
      <c r="AA282" s="12"/>
      <c r="AB282" s="12" t="s">
        <v>546</v>
      </c>
      <c r="AC282" s="12">
        <v>2188</v>
      </c>
      <c r="AD282" s="12">
        <v>2189</v>
      </c>
      <c r="AE282" s="12">
        <v>2190</v>
      </c>
      <c r="AF282" s="12">
        <v>2191</v>
      </c>
      <c r="AG282" s="12"/>
      <c r="AH282" s="47" t="s">
        <v>52</v>
      </c>
      <c r="AI282" s="12" t="s">
        <v>47</v>
      </c>
      <c r="AJ282" s="12" t="s">
        <v>547</v>
      </c>
      <c r="AK282" s="12" t="s">
        <v>548</v>
      </c>
      <c r="AL282" s="12" t="s">
        <v>549</v>
      </c>
      <c r="AM282" s="12" t="s">
        <v>550</v>
      </c>
      <c r="AN282" s="47" t="s">
        <v>47</v>
      </c>
      <c r="AO282" s="12"/>
      <c r="AP282" s="12" t="s">
        <v>53</v>
      </c>
      <c r="AQ282" s="2">
        <v>0</v>
      </c>
    </row>
    <row r="283" s="2" customFormat="1" ht="12" spans="1:43">
      <c r="A283" s="11">
        <v>165304</v>
      </c>
      <c r="B283" s="11" t="s">
        <v>413</v>
      </c>
      <c r="C283" s="11"/>
      <c r="D283" s="11"/>
      <c r="E283" s="11"/>
      <c r="F283" s="11">
        <v>0</v>
      </c>
      <c r="G283" s="11" t="s">
        <v>47</v>
      </c>
      <c r="H283" s="11" t="s">
        <v>45</v>
      </c>
      <c r="I283" s="11" t="s">
        <v>45</v>
      </c>
      <c r="J283" s="12">
        <v>0</v>
      </c>
      <c r="K283" s="11" t="s">
        <v>46</v>
      </c>
      <c r="L283" s="47" t="s">
        <v>47</v>
      </c>
      <c r="M283" s="11">
        <v>1020108</v>
      </c>
      <c r="N283" s="11">
        <v>0</v>
      </c>
      <c r="O283" s="47" t="s">
        <v>48</v>
      </c>
      <c r="P283" s="11">
        <v>1653</v>
      </c>
      <c r="Q283" s="11"/>
      <c r="R283" s="11"/>
      <c r="S283" s="11">
        <v>46</v>
      </c>
      <c r="T283" s="11">
        <v>20</v>
      </c>
      <c r="U283" s="11"/>
      <c r="V283" s="11"/>
      <c r="W283" s="47" t="s">
        <v>47</v>
      </c>
      <c r="X283" s="47" t="s">
        <v>259</v>
      </c>
      <c r="Y283" s="47" t="str">
        <f t="shared" ref="Y283" si="149">B283</f>
        <v>鬼将</v>
      </c>
      <c r="Z283" s="11"/>
      <c r="AA283" s="11"/>
      <c r="AB283" s="11" t="s">
        <v>413</v>
      </c>
      <c r="AC283" s="11">
        <v>2084</v>
      </c>
      <c r="AD283" s="11">
        <v>2085</v>
      </c>
      <c r="AE283" s="11">
        <v>2086</v>
      </c>
      <c r="AF283" s="11">
        <v>2087</v>
      </c>
      <c r="AG283" s="11"/>
      <c r="AH283" s="47" t="s">
        <v>52</v>
      </c>
      <c r="AI283" s="11">
        <v>1</v>
      </c>
      <c r="AJ283" s="11" t="s">
        <v>132</v>
      </c>
      <c r="AK283" s="11" t="s">
        <v>133</v>
      </c>
      <c r="AL283" s="11" t="s">
        <v>134</v>
      </c>
      <c r="AM283" s="11" t="s">
        <v>135</v>
      </c>
      <c r="AN283" s="47" t="s">
        <v>47</v>
      </c>
      <c r="AO283" s="11"/>
      <c r="AP283" s="11" t="s">
        <v>53</v>
      </c>
      <c r="AQ283" s="2">
        <v>0</v>
      </c>
    </row>
    <row r="284" s="3" customFormat="1" ht="12" spans="1:43">
      <c r="A284" s="12">
        <v>165401</v>
      </c>
      <c r="B284" s="12" t="s">
        <v>209</v>
      </c>
      <c r="C284" s="12"/>
      <c r="D284" s="12"/>
      <c r="E284" s="12"/>
      <c r="F284" s="12">
        <v>0</v>
      </c>
      <c r="G284" s="12" t="s">
        <v>47</v>
      </c>
      <c r="H284" s="12" t="s">
        <v>45</v>
      </c>
      <c r="I284" s="12" t="s">
        <v>45</v>
      </c>
      <c r="J284" s="12">
        <v>0</v>
      </c>
      <c r="K284" s="12" t="s">
        <v>46</v>
      </c>
      <c r="L284" s="47" t="s">
        <v>47</v>
      </c>
      <c r="M284" s="44">
        <v>1020131</v>
      </c>
      <c r="N284" s="12">
        <v>0</v>
      </c>
      <c r="O284" s="47" t="s">
        <v>48</v>
      </c>
      <c r="P284" s="12">
        <v>1654</v>
      </c>
      <c r="Q284" s="12">
        <v>1088</v>
      </c>
      <c r="R284" s="12">
        <v>912</v>
      </c>
      <c r="S284" s="12">
        <v>68</v>
      </c>
      <c r="T284" s="12">
        <v>57</v>
      </c>
      <c r="U284" s="12">
        <v>3</v>
      </c>
      <c r="V284" s="12"/>
      <c r="W284" s="47" t="s">
        <v>47</v>
      </c>
      <c r="X284" s="47" t="s">
        <v>210</v>
      </c>
      <c r="Y284" s="47" t="str">
        <f t="shared" ref="Y284:Y289" si="150">B284</f>
        <v>袁守城</v>
      </c>
      <c r="Z284" s="12"/>
      <c r="AA284" s="12"/>
      <c r="AB284" s="12" t="s">
        <v>590</v>
      </c>
      <c r="AC284" s="12">
        <v>2166</v>
      </c>
      <c r="AD284" s="12">
        <v>2167</v>
      </c>
      <c r="AE284" s="12">
        <v>2168</v>
      </c>
      <c r="AF284" s="12">
        <v>2169</v>
      </c>
      <c r="AG284" s="12"/>
      <c r="AH284" s="47" t="s">
        <v>52</v>
      </c>
      <c r="AI284" s="12" t="s">
        <v>47</v>
      </c>
      <c r="AJ284" s="12" t="s">
        <v>211</v>
      </c>
      <c r="AK284" s="12" t="s">
        <v>212</v>
      </c>
      <c r="AL284" s="12" t="s">
        <v>213</v>
      </c>
      <c r="AM284" s="12" t="s">
        <v>214</v>
      </c>
      <c r="AN284" s="47" t="s">
        <v>47</v>
      </c>
      <c r="AO284" s="12"/>
      <c r="AP284" s="12" t="s">
        <v>53</v>
      </c>
      <c r="AQ284" s="2">
        <v>0</v>
      </c>
    </row>
    <row r="285" s="2" customFormat="1" ht="12" spans="1:43">
      <c r="A285" s="11">
        <v>165601</v>
      </c>
      <c r="B285" s="11" t="s">
        <v>492</v>
      </c>
      <c r="C285" s="11"/>
      <c r="D285" s="11"/>
      <c r="E285" s="11"/>
      <c r="F285" s="11">
        <v>0</v>
      </c>
      <c r="G285" s="11" t="s">
        <v>47</v>
      </c>
      <c r="H285" s="11" t="s">
        <v>45</v>
      </c>
      <c r="I285" s="11" t="s">
        <v>45</v>
      </c>
      <c r="J285" s="12">
        <v>0</v>
      </c>
      <c r="K285" s="11" t="s">
        <v>46</v>
      </c>
      <c r="L285" s="47" t="s">
        <v>47</v>
      </c>
      <c r="M285" s="11">
        <v>1030010</v>
      </c>
      <c r="N285" s="11">
        <v>0</v>
      </c>
      <c r="O285" s="47" t="s">
        <v>48</v>
      </c>
      <c r="P285" s="11"/>
      <c r="Q285" s="11">
        <v>656</v>
      </c>
      <c r="R285" s="11">
        <v>608</v>
      </c>
      <c r="S285" s="11">
        <v>41</v>
      </c>
      <c r="T285" s="11">
        <v>38</v>
      </c>
      <c r="U285" s="11">
        <v>3</v>
      </c>
      <c r="V285" s="11"/>
      <c r="W285" s="47" t="s">
        <v>47</v>
      </c>
      <c r="X285" s="47" t="s">
        <v>486</v>
      </c>
      <c r="Y285" s="47" t="str">
        <f t="shared" si="150"/>
        <v>竞技大师</v>
      </c>
      <c r="Z285" s="11"/>
      <c r="AA285" s="11"/>
      <c r="AB285" s="11" t="s">
        <v>492</v>
      </c>
      <c r="AC285" s="11">
        <v>2298</v>
      </c>
      <c r="AD285" s="11" t="s">
        <v>51</v>
      </c>
      <c r="AE285" s="11" t="s">
        <v>51</v>
      </c>
      <c r="AF285" s="11" t="s">
        <v>51</v>
      </c>
      <c r="AG285" s="11"/>
      <c r="AH285" s="47" t="s">
        <v>52</v>
      </c>
      <c r="AI285" s="11" t="s">
        <v>47</v>
      </c>
      <c r="AJ285" s="11" t="s">
        <v>223</v>
      </c>
      <c r="AK285" s="11"/>
      <c r="AL285" s="11" t="s">
        <v>237</v>
      </c>
      <c r="AM285" s="11" t="s">
        <v>238</v>
      </c>
      <c r="AN285" s="47" t="s">
        <v>47</v>
      </c>
      <c r="AO285" s="11"/>
      <c r="AP285" s="11" t="s">
        <v>53</v>
      </c>
      <c r="AQ285" s="2">
        <v>0</v>
      </c>
    </row>
    <row r="286" s="3" customFormat="1" ht="12" spans="1:43">
      <c r="A286" s="12">
        <v>165701</v>
      </c>
      <c r="B286" s="12" t="s">
        <v>492</v>
      </c>
      <c r="C286" s="12"/>
      <c r="D286" s="12"/>
      <c r="E286" s="12"/>
      <c r="F286" s="12">
        <v>0</v>
      </c>
      <c r="G286" s="12" t="s">
        <v>47</v>
      </c>
      <c r="H286" s="12" t="s">
        <v>45</v>
      </c>
      <c r="I286" s="12" t="s">
        <v>45</v>
      </c>
      <c r="J286" s="12">
        <v>0</v>
      </c>
      <c r="K286" s="12" t="s">
        <v>46</v>
      </c>
      <c r="L286" s="47" t="s">
        <v>47</v>
      </c>
      <c r="M286" s="12">
        <v>1030010</v>
      </c>
      <c r="N286" s="12">
        <v>0</v>
      </c>
      <c r="O286" s="47" t="s">
        <v>48</v>
      </c>
      <c r="P286" s="12"/>
      <c r="Q286" s="12">
        <v>656</v>
      </c>
      <c r="R286" s="12">
        <v>608</v>
      </c>
      <c r="S286" s="12">
        <v>41</v>
      </c>
      <c r="T286" s="12">
        <v>38</v>
      </c>
      <c r="U286" s="12">
        <v>3</v>
      </c>
      <c r="V286" s="12"/>
      <c r="W286" s="47" t="s">
        <v>47</v>
      </c>
      <c r="X286" s="47" t="s">
        <v>486</v>
      </c>
      <c r="Y286" s="47" t="str">
        <f t="shared" si="150"/>
        <v>竞技大师</v>
      </c>
      <c r="Z286" s="12"/>
      <c r="AA286" s="12"/>
      <c r="AB286" s="12" t="s">
        <v>492</v>
      </c>
      <c r="AC286" s="12">
        <v>2298</v>
      </c>
      <c r="AD286" s="12" t="s">
        <v>51</v>
      </c>
      <c r="AE286" s="12" t="s">
        <v>51</v>
      </c>
      <c r="AF286" s="12" t="s">
        <v>51</v>
      </c>
      <c r="AG286" s="12"/>
      <c r="AH286" s="47" t="s">
        <v>52</v>
      </c>
      <c r="AI286" s="12" t="s">
        <v>47</v>
      </c>
      <c r="AJ286" s="12" t="s">
        <v>223</v>
      </c>
      <c r="AK286" s="12"/>
      <c r="AL286" s="12" t="s">
        <v>237</v>
      </c>
      <c r="AM286" s="12" t="s">
        <v>238</v>
      </c>
      <c r="AN286" s="47" t="s">
        <v>47</v>
      </c>
      <c r="AO286" s="12"/>
      <c r="AP286" s="12" t="s">
        <v>53</v>
      </c>
      <c r="AQ286" s="2">
        <v>0</v>
      </c>
    </row>
    <row r="287" s="16" customFormat="1" ht="12" spans="1:43">
      <c r="A287" s="47">
        <v>165801</v>
      </c>
      <c r="B287" s="47" t="s">
        <v>492</v>
      </c>
      <c r="C287" s="47"/>
      <c r="D287" s="47"/>
      <c r="E287" s="47"/>
      <c r="F287" s="47">
        <v>0</v>
      </c>
      <c r="G287" s="47" t="s">
        <v>47</v>
      </c>
      <c r="H287" s="47" t="s">
        <v>45</v>
      </c>
      <c r="I287" s="47" t="s">
        <v>45</v>
      </c>
      <c r="J287" s="47">
        <v>0</v>
      </c>
      <c r="K287" s="47" t="s">
        <v>46</v>
      </c>
      <c r="L287" s="47" t="s">
        <v>47</v>
      </c>
      <c r="M287" s="47">
        <v>1030010</v>
      </c>
      <c r="N287" s="47">
        <v>0</v>
      </c>
      <c r="O287" s="47" t="s">
        <v>48</v>
      </c>
      <c r="P287" s="47"/>
      <c r="Q287" s="47">
        <v>656</v>
      </c>
      <c r="R287" s="47">
        <v>608</v>
      </c>
      <c r="S287" s="47">
        <v>41</v>
      </c>
      <c r="T287" s="47">
        <v>38</v>
      </c>
      <c r="U287" s="47">
        <v>3</v>
      </c>
      <c r="V287" s="47"/>
      <c r="W287" s="47" t="s">
        <v>47</v>
      </c>
      <c r="X287" s="47" t="s">
        <v>486</v>
      </c>
      <c r="Y287" s="47" t="str">
        <f t="shared" si="150"/>
        <v>竞技大师</v>
      </c>
      <c r="Z287" s="47"/>
      <c r="AA287" s="47"/>
      <c r="AB287" s="47" t="s">
        <v>492</v>
      </c>
      <c r="AC287" s="47">
        <v>2298</v>
      </c>
      <c r="AD287" s="47" t="s">
        <v>51</v>
      </c>
      <c r="AE287" s="47" t="s">
        <v>51</v>
      </c>
      <c r="AF287" s="47" t="s">
        <v>51</v>
      </c>
      <c r="AG287" s="47"/>
      <c r="AH287" s="47" t="s">
        <v>52</v>
      </c>
      <c r="AI287" s="47" t="s">
        <v>47</v>
      </c>
      <c r="AJ287" s="47" t="s">
        <v>223</v>
      </c>
      <c r="AK287" s="47"/>
      <c r="AL287" s="47" t="s">
        <v>237</v>
      </c>
      <c r="AM287" s="47" t="s">
        <v>238</v>
      </c>
      <c r="AN287" s="47" t="s">
        <v>47</v>
      </c>
      <c r="AO287" s="47"/>
      <c r="AP287" s="47" t="s">
        <v>53</v>
      </c>
      <c r="AQ287" s="2">
        <v>0</v>
      </c>
    </row>
    <row r="288" s="10" customFormat="1" ht="12" spans="1:43">
      <c r="A288" s="63">
        <v>166201</v>
      </c>
      <c r="B288" s="63" t="s">
        <v>591</v>
      </c>
      <c r="C288" s="63"/>
      <c r="D288" s="63"/>
      <c r="E288" s="63"/>
      <c r="F288" s="63">
        <v>0</v>
      </c>
      <c r="G288" s="63" t="s">
        <v>47</v>
      </c>
      <c r="H288" s="63" t="s">
        <v>45</v>
      </c>
      <c r="I288" s="63" t="s">
        <v>45</v>
      </c>
      <c r="J288" s="12">
        <v>0</v>
      </c>
      <c r="K288" s="63" t="s">
        <v>46</v>
      </c>
      <c r="L288" s="47" t="s">
        <v>47</v>
      </c>
      <c r="M288" s="63">
        <v>1020122</v>
      </c>
      <c r="N288" s="63">
        <v>0</v>
      </c>
      <c r="O288" s="47" t="s">
        <v>48</v>
      </c>
      <c r="P288" s="63">
        <v>1627</v>
      </c>
      <c r="Q288" s="63">
        <v>392</v>
      </c>
      <c r="R288" s="63">
        <v>961</v>
      </c>
      <c r="S288" s="63">
        <v>33</v>
      </c>
      <c r="T288" s="63">
        <v>33</v>
      </c>
      <c r="U288" s="63">
        <v>3</v>
      </c>
      <c r="V288" s="63"/>
      <c r="W288" s="47" t="s">
        <v>47</v>
      </c>
      <c r="X288" s="47" t="s">
        <v>592</v>
      </c>
      <c r="Y288" s="47" t="str">
        <f t="shared" si="150"/>
        <v>血小贱</v>
      </c>
      <c r="Z288" s="63"/>
      <c r="AA288" s="63"/>
      <c r="AB288" s="63" t="str">
        <f>Y288</f>
        <v>血小贱</v>
      </c>
      <c r="AC288" s="63">
        <v>2363</v>
      </c>
      <c r="AD288" s="63">
        <v>2364</v>
      </c>
      <c r="AE288" s="63">
        <v>2365</v>
      </c>
      <c r="AF288" s="63">
        <v>2366</v>
      </c>
      <c r="AG288" s="63"/>
      <c r="AH288" s="47" t="s">
        <v>52</v>
      </c>
      <c r="AI288" s="63">
        <v>1</v>
      </c>
      <c r="AJ288" s="11" t="s">
        <v>203</v>
      </c>
      <c r="AK288" s="63"/>
      <c r="AL288" s="63"/>
      <c r="AM288" s="63"/>
      <c r="AN288" s="47" t="s">
        <v>47</v>
      </c>
      <c r="AO288" s="63"/>
      <c r="AP288" s="63" t="s">
        <v>53</v>
      </c>
      <c r="AQ288" s="2">
        <v>0</v>
      </c>
    </row>
    <row r="289" s="10" customFormat="1" ht="12" spans="1:43">
      <c r="A289" s="63">
        <v>166202</v>
      </c>
      <c r="B289" s="63" t="s">
        <v>593</v>
      </c>
      <c r="C289" s="63"/>
      <c r="D289" s="63"/>
      <c r="E289" s="63"/>
      <c r="F289" s="63">
        <v>0</v>
      </c>
      <c r="G289" s="63" t="s">
        <v>47</v>
      </c>
      <c r="H289" s="63" t="s">
        <v>45</v>
      </c>
      <c r="I289" s="63" t="s">
        <v>45</v>
      </c>
      <c r="J289" s="12">
        <v>0</v>
      </c>
      <c r="K289" s="63" t="s">
        <v>46</v>
      </c>
      <c r="L289" s="47" t="s">
        <v>47</v>
      </c>
      <c r="M289" s="63">
        <v>1010116</v>
      </c>
      <c r="N289" s="63">
        <v>0</v>
      </c>
      <c r="O289" s="47" t="s">
        <v>48</v>
      </c>
      <c r="P289" s="63">
        <v>1627</v>
      </c>
      <c r="Q289" s="63">
        <v>1293</v>
      </c>
      <c r="R289" s="63">
        <v>1106</v>
      </c>
      <c r="S289" s="63">
        <v>44</v>
      </c>
      <c r="T289" s="63">
        <v>35</v>
      </c>
      <c r="U289" s="63">
        <v>3</v>
      </c>
      <c r="V289" s="63"/>
      <c r="W289" s="47" t="s">
        <v>47</v>
      </c>
      <c r="X289" s="47" t="s">
        <v>592</v>
      </c>
      <c r="Y289" s="47" t="str">
        <f t="shared" si="150"/>
        <v>牛头首领</v>
      </c>
      <c r="Z289" s="63"/>
      <c r="AA289" s="63"/>
      <c r="AB289" s="63" t="str">
        <f>Y289</f>
        <v>牛头首领</v>
      </c>
      <c r="AC289" s="63">
        <v>2378</v>
      </c>
      <c r="AD289" s="63" t="s">
        <v>51</v>
      </c>
      <c r="AE289" s="63" t="s">
        <v>51</v>
      </c>
      <c r="AF289" s="63" t="s">
        <v>51</v>
      </c>
      <c r="AG289" s="63"/>
      <c r="AH289" s="47" t="s">
        <v>52</v>
      </c>
      <c r="AI289" s="63">
        <v>1</v>
      </c>
      <c r="AJ289" s="63" t="s">
        <v>223</v>
      </c>
      <c r="AK289" s="63"/>
      <c r="AL289" s="63"/>
      <c r="AM289" s="63"/>
      <c r="AN289" s="47" t="s">
        <v>47</v>
      </c>
      <c r="AO289" s="63"/>
      <c r="AP289" s="63" t="s">
        <v>53</v>
      </c>
      <c r="AQ289" s="2">
        <v>0</v>
      </c>
    </row>
    <row r="290" s="3" customFormat="1" ht="12" spans="1:43">
      <c r="A290" s="12">
        <v>167101</v>
      </c>
      <c r="B290" s="12" t="s">
        <v>383</v>
      </c>
      <c r="C290" s="12"/>
      <c r="D290" s="12"/>
      <c r="E290" s="12"/>
      <c r="F290" s="12">
        <v>0</v>
      </c>
      <c r="G290" s="12" t="s">
        <v>47</v>
      </c>
      <c r="H290" s="12" t="s">
        <v>45</v>
      </c>
      <c r="I290" s="12">
        <v>1</v>
      </c>
      <c r="J290" s="12">
        <v>0</v>
      </c>
      <c r="K290" s="12" t="s">
        <v>46</v>
      </c>
      <c r="L290" s="47" t="s">
        <v>47</v>
      </c>
      <c r="M290" s="12">
        <v>1020118</v>
      </c>
      <c r="N290" s="12">
        <v>0</v>
      </c>
      <c r="O290" s="47" t="s">
        <v>48</v>
      </c>
      <c r="P290" s="12">
        <v>1671</v>
      </c>
      <c r="Q290" s="12">
        <v>1329</v>
      </c>
      <c r="R290" s="12">
        <v>510</v>
      </c>
      <c r="S290" s="44">
        <f t="shared" ref="S290" si="151">FLOOR(Q290/16,1)</f>
        <v>83</v>
      </c>
      <c r="T290" s="44">
        <v>45</v>
      </c>
      <c r="U290" s="12">
        <v>3</v>
      </c>
      <c r="V290" s="12"/>
      <c r="W290" s="47" t="s">
        <v>47</v>
      </c>
      <c r="X290" s="47" t="s">
        <v>261</v>
      </c>
      <c r="Y290" s="47" t="str">
        <f t="shared" ref="Y290" si="152">B290</f>
        <v>唐唐</v>
      </c>
      <c r="Z290" s="12"/>
      <c r="AA290" s="12"/>
      <c r="AB290" s="12" t="s">
        <v>383</v>
      </c>
      <c r="AC290" s="12">
        <v>2080</v>
      </c>
      <c r="AD290" s="12">
        <v>2081</v>
      </c>
      <c r="AE290" s="12">
        <v>2082</v>
      </c>
      <c r="AF290" s="12">
        <v>2083</v>
      </c>
      <c r="AG290" s="12"/>
      <c r="AH290" s="47" t="s">
        <v>52</v>
      </c>
      <c r="AI290" s="12">
        <v>1</v>
      </c>
      <c r="AJ290" s="12" t="s">
        <v>262</v>
      </c>
      <c r="AK290" s="12" t="s">
        <v>263</v>
      </c>
      <c r="AL290" s="12" t="s">
        <v>264</v>
      </c>
      <c r="AM290" s="12" t="s">
        <v>265</v>
      </c>
      <c r="AN290" s="47" t="s">
        <v>47</v>
      </c>
      <c r="AO290" s="12"/>
      <c r="AP290" s="12" t="s">
        <v>53</v>
      </c>
      <c r="AQ290" s="2">
        <v>0</v>
      </c>
    </row>
    <row r="291" s="2" customFormat="1" ht="12.75" spans="1:43">
      <c r="A291" s="11">
        <v>167102</v>
      </c>
      <c r="B291" s="11" t="s">
        <v>413</v>
      </c>
      <c r="C291" s="11"/>
      <c r="D291" s="11"/>
      <c r="E291" s="11"/>
      <c r="F291" s="11">
        <v>0</v>
      </c>
      <c r="G291" s="11" t="s">
        <v>47</v>
      </c>
      <c r="H291" s="11" t="s">
        <v>45</v>
      </c>
      <c r="I291" s="11">
        <v>1</v>
      </c>
      <c r="J291" s="12">
        <v>0</v>
      </c>
      <c r="K291" s="11" t="s">
        <v>46</v>
      </c>
      <c r="L291" s="47" t="s">
        <v>47</v>
      </c>
      <c r="M291" s="54" t="s">
        <v>594</v>
      </c>
      <c r="N291" s="11">
        <v>0</v>
      </c>
      <c r="O291" s="47" t="s">
        <v>48</v>
      </c>
      <c r="P291" s="11">
        <v>1671</v>
      </c>
      <c r="Q291" s="12">
        <v>1234</v>
      </c>
      <c r="R291" s="12">
        <v>580</v>
      </c>
      <c r="S291" s="44">
        <v>76</v>
      </c>
      <c r="T291" s="44">
        <v>43</v>
      </c>
      <c r="U291" s="11">
        <v>3</v>
      </c>
      <c r="V291" s="11"/>
      <c r="W291" s="47" t="s">
        <v>47</v>
      </c>
      <c r="X291" s="47" t="s">
        <v>259</v>
      </c>
      <c r="Y291" s="47" t="str">
        <f t="shared" ref="Y291" si="153">B291</f>
        <v>鬼将</v>
      </c>
      <c r="Z291" s="11"/>
      <c r="AA291" s="11"/>
      <c r="AB291" s="11" t="s">
        <v>413</v>
      </c>
      <c r="AC291" s="11">
        <v>2084</v>
      </c>
      <c r="AD291" s="11">
        <v>2085</v>
      </c>
      <c r="AE291" s="11">
        <v>2086</v>
      </c>
      <c r="AF291" s="11">
        <v>2087</v>
      </c>
      <c r="AG291" s="11"/>
      <c r="AH291" s="47" t="s">
        <v>52</v>
      </c>
      <c r="AI291" s="11">
        <v>1</v>
      </c>
      <c r="AJ291" s="11" t="s">
        <v>132</v>
      </c>
      <c r="AK291" s="11" t="s">
        <v>133</v>
      </c>
      <c r="AL291" s="11" t="s">
        <v>134</v>
      </c>
      <c r="AM291" s="11" t="s">
        <v>135</v>
      </c>
      <c r="AN291" s="47" t="s">
        <v>47</v>
      </c>
      <c r="AO291" s="11"/>
      <c r="AP291" s="11" t="s">
        <v>53</v>
      </c>
      <c r="AQ291" s="2">
        <v>0</v>
      </c>
    </row>
    <row r="292" s="3" customFormat="1" ht="12" spans="1:43">
      <c r="A292" s="12">
        <v>167103</v>
      </c>
      <c r="B292" s="12" t="s">
        <v>302</v>
      </c>
      <c r="C292" s="12"/>
      <c r="D292" s="12"/>
      <c r="E292" s="12"/>
      <c r="F292" s="12">
        <v>0</v>
      </c>
      <c r="G292" s="12" t="s">
        <v>47</v>
      </c>
      <c r="H292" s="12" t="s">
        <v>45</v>
      </c>
      <c r="I292" s="12">
        <v>1</v>
      </c>
      <c r="J292" s="12">
        <v>0</v>
      </c>
      <c r="K292" s="12" t="s">
        <v>46</v>
      </c>
      <c r="L292" s="47" t="s">
        <v>47</v>
      </c>
      <c r="M292" s="12">
        <v>1020117</v>
      </c>
      <c r="N292" s="12">
        <v>0</v>
      </c>
      <c r="O292" s="47" t="s">
        <v>48</v>
      </c>
      <c r="P292" s="12">
        <v>1671</v>
      </c>
      <c r="Q292" s="12">
        <v>1324</v>
      </c>
      <c r="R292" s="12">
        <v>661</v>
      </c>
      <c r="S292" s="44">
        <v>70</v>
      </c>
      <c r="T292" s="44">
        <v>55</v>
      </c>
      <c r="U292" s="12">
        <v>1</v>
      </c>
      <c r="V292" s="12"/>
      <c r="W292" s="47" t="s">
        <v>47</v>
      </c>
      <c r="X292" s="47" t="s">
        <v>267</v>
      </c>
      <c r="Y292" s="47" t="str">
        <f t="shared" ref="Y292" si="154">B292</f>
        <v>小霞</v>
      </c>
      <c r="Z292" s="12"/>
      <c r="AA292" s="12"/>
      <c r="AB292" s="12" t="s">
        <v>302</v>
      </c>
      <c r="AC292" s="12">
        <v>2088</v>
      </c>
      <c r="AD292" s="12">
        <v>2089</v>
      </c>
      <c r="AE292" s="12">
        <v>2090</v>
      </c>
      <c r="AF292" s="12">
        <v>2091</v>
      </c>
      <c r="AG292" s="12"/>
      <c r="AH292" s="47" t="s">
        <v>52</v>
      </c>
      <c r="AI292" s="12">
        <v>1</v>
      </c>
      <c r="AJ292" s="12" t="s">
        <v>268</v>
      </c>
      <c r="AK292" s="12" t="s">
        <v>269</v>
      </c>
      <c r="AL292" s="12" t="s">
        <v>270</v>
      </c>
      <c r="AM292" s="12"/>
      <c r="AN292" s="47" t="s">
        <v>47</v>
      </c>
      <c r="AO292" s="12"/>
      <c r="AP292" s="12" t="s">
        <v>53</v>
      </c>
      <c r="AQ292" s="2">
        <v>0</v>
      </c>
    </row>
    <row r="293" s="2" customFormat="1" ht="12" spans="1:43">
      <c r="A293" s="11">
        <v>167104</v>
      </c>
      <c r="B293" s="11" t="s">
        <v>595</v>
      </c>
      <c r="C293" s="11"/>
      <c r="D293" s="11"/>
      <c r="E293" s="11"/>
      <c r="F293" s="11">
        <v>0</v>
      </c>
      <c r="G293" s="11" t="s">
        <v>47</v>
      </c>
      <c r="H293" s="11" t="s">
        <v>45</v>
      </c>
      <c r="I293" s="11">
        <v>1</v>
      </c>
      <c r="J293" s="12">
        <v>0</v>
      </c>
      <c r="K293" s="11" t="s">
        <v>46</v>
      </c>
      <c r="L293" s="47" t="s">
        <v>47</v>
      </c>
      <c r="M293" s="11">
        <v>1010123</v>
      </c>
      <c r="N293" s="11">
        <v>0</v>
      </c>
      <c r="O293" s="47" t="s">
        <v>48</v>
      </c>
      <c r="P293" s="11">
        <v>1671</v>
      </c>
      <c r="Q293" s="11">
        <v>1426</v>
      </c>
      <c r="R293" s="11">
        <v>599</v>
      </c>
      <c r="S293" s="44">
        <v>77</v>
      </c>
      <c r="T293" s="44">
        <v>50</v>
      </c>
      <c r="U293" s="11">
        <v>7</v>
      </c>
      <c r="V293" s="11">
        <v>14</v>
      </c>
      <c r="W293" s="47" t="s">
        <v>47</v>
      </c>
      <c r="X293" s="47" t="s">
        <v>596</v>
      </c>
      <c r="Y293" s="47" t="str">
        <f t="shared" ref="Y293" si="155">B293</f>
        <v>妖风的尸体</v>
      </c>
      <c r="Z293" s="11"/>
      <c r="AA293" s="11"/>
      <c r="AB293" s="11" t="s">
        <v>597</v>
      </c>
      <c r="AC293" s="11">
        <v>2278</v>
      </c>
      <c r="AD293" s="11">
        <v>2279</v>
      </c>
      <c r="AE293" s="11">
        <v>2278</v>
      </c>
      <c r="AF293" s="11">
        <v>2279</v>
      </c>
      <c r="AG293" s="11"/>
      <c r="AH293" s="47" t="s">
        <v>52</v>
      </c>
      <c r="AI293" s="11">
        <v>1</v>
      </c>
      <c r="AJ293" s="11"/>
      <c r="AK293" s="11"/>
      <c r="AL293" s="11"/>
      <c r="AM293" s="11"/>
      <c r="AN293" s="47" t="s">
        <v>47</v>
      </c>
      <c r="AO293" s="11"/>
      <c r="AP293" s="11" t="s">
        <v>53</v>
      </c>
      <c r="AQ293" s="2">
        <v>0</v>
      </c>
    </row>
    <row r="294" s="3" customFormat="1" ht="12.75" spans="1:43">
      <c r="A294" s="12">
        <v>167105</v>
      </c>
      <c r="B294" s="12" t="s">
        <v>226</v>
      </c>
      <c r="C294" s="12"/>
      <c r="D294" s="12"/>
      <c r="E294" s="12"/>
      <c r="F294" s="12">
        <v>0</v>
      </c>
      <c r="G294" s="12" t="s">
        <v>47</v>
      </c>
      <c r="H294" s="12" t="s">
        <v>45</v>
      </c>
      <c r="I294" s="12">
        <v>1</v>
      </c>
      <c r="J294" s="12">
        <v>0</v>
      </c>
      <c r="K294" s="12" t="s">
        <v>46</v>
      </c>
      <c r="L294" s="47" t="s">
        <v>47</v>
      </c>
      <c r="M294" s="50">
        <v>1020113</v>
      </c>
      <c r="N294" s="12">
        <v>0</v>
      </c>
      <c r="O294" s="47" t="s">
        <v>48</v>
      </c>
      <c r="P294" s="12">
        <v>1671</v>
      </c>
      <c r="Q294" s="12">
        <v>1020</v>
      </c>
      <c r="R294" s="12">
        <v>338</v>
      </c>
      <c r="S294" s="44">
        <v>55</v>
      </c>
      <c r="T294" s="44">
        <v>80</v>
      </c>
      <c r="U294" s="12">
        <v>3</v>
      </c>
      <c r="V294" s="12"/>
      <c r="W294" s="47" t="s">
        <v>47</v>
      </c>
      <c r="X294" s="47" t="s">
        <v>276</v>
      </c>
      <c r="Y294" s="47" t="str">
        <f t="shared" ref="Y294" si="156">B294</f>
        <v>小白龙</v>
      </c>
      <c r="Z294" s="12"/>
      <c r="AA294" s="12"/>
      <c r="AB294" s="12" t="s">
        <v>226</v>
      </c>
      <c r="AC294" s="12">
        <v>2044</v>
      </c>
      <c r="AD294" s="12">
        <v>2045</v>
      </c>
      <c r="AE294" s="11">
        <v>2046</v>
      </c>
      <c r="AF294" s="11">
        <v>2456</v>
      </c>
      <c r="AG294" s="12"/>
      <c r="AH294" s="47" t="s">
        <v>52</v>
      </c>
      <c r="AI294" s="12">
        <v>1</v>
      </c>
      <c r="AJ294" s="12" t="s">
        <v>166</v>
      </c>
      <c r="AK294" s="12" t="s">
        <v>167</v>
      </c>
      <c r="AL294" s="12" t="s">
        <v>168</v>
      </c>
      <c r="AM294" s="12" t="s">
        <v>169</v>
      </c>
      <c r="AN294" s="47" t="s">
        <v>47</v>
      </c>
      <c r="AO294" s="12"/>
      <c r="AP294" s="12" t="s">
        <v>53</v>
      </c>
      <c r="AQ294" s="2">
        <v>0</v>
      </c>
    </row>
    <row r="295" s="2" customFormat="1" ht="12" spans="1:43">
      <c r="A295" s="11">
        <v>167106</v>
      </c>
      <c r="B295" s="11" t="s">
        <v>558</v>
      </c>
      <c r="C295" s="11"/>
      <c r="D295" s="11"/>
      <c r="E295" s="11"/>
      <c r="F295" s="11">
        <v>0</v>
      </c>
      <c r="G295" s="11" t="s">
        <v>47</v>
      </c>
      <c r="H295" s="11" t="s">
        <v>45</v>
      </c>
      <c r="I295" s="11">
        <v>1</v>
      </c>
      <c r="J295" s="12">
        <v>0</v>
      </c>
      <c r="K295" s="11" t="s">
        <v>46</v>
      </c>
      <c r="L295" s="47" t="s">
        <v>47</v>
      </c>
      <c r="M295" s="11">
        <v>1020121</v>
      </c>
      <c r="N295" s="11">
        <v>0</v>
      </c>
      <c r="O295" s="47" t="s">
        <v>48</v>
      </c>
      <c r="P295" s="11">
        <v>1671</v>
      </c>
      <c r="Q295" s="11">
        <v>906</v>
      </c>
      <c r="R295" s="11">
        <v>363</v>
      </c>
      <c r="S295" s="44">
        <v>34</v>
      </c>
      <c r="T295" s="44">
        <v>65</v>
      </c>
      <c r="U295" s="11">
        <v>3</v>
      </c>
      <c r="V295" s="11"/>
      <c r="W295" s="47" t="s">
        <v>47</v>
      </c>
      <c r="X295" s="47" t="s">
        <v>559</v>
      </c>
      <c r="Y295" s="47" t="str">
        <f t="shared" ref="Y295" si="157">B295</f>
        <v>隐匿者</v>
      </c>
      <c r="Z295" s="11"/>
      <c r="AA295" s="11"/>
      <c r="AB295" s="11" t="s">
        <v>558</v>
      </c>
      <c r="AC295" s="11">
        <v>2272</v>
      </c>
      <c r="AD295" s="11">
        <v>2273</v>
      </c>
      <c r="AE295" s="11">
        <v>2274</v>
      </c>
      <c r="AF295" s="11">
        <v>2274</v>
      </c>
      <c r="AG295" s="11"/>
      <c r="AH295" s="47" t="s">
        <v>52</v>
      </c>
      <c r="AI295" s="11">
        <v>1</v>
      </c>
      <c r="AJ295" s="11" t="s">
        <v>203</v>
      </c>
      <c r="AK295" s="11" t="s">
        <v>204</v>
      </c>
      <c r="AL295" s="11" t="s">
        <v>205</v>
      </c>
      <c r="AM295" s="11" t="s">
        <v>206</v>
      </c>
      <c r="AN295" s="47" t="s">
        <v>47</v>
      </c>
      <c r="AO295" s="11"/>
      <c r="AP295" s="11" t="s">
        <v>53</v>
      </c>
      <c r="AQ295" s="2">
        <v>0</v>
      </c>
    </row>
    <row r="296" s="3" customFormat="1" ht="12" spans="1:43">
      <c r="A296" s="12">
        <v>167107</v>
      </c>
      <c r="B296" s="12" t="s">
        <v>560</v>
      </c>
      <c r="C296" s="12"/>
      <c r="D296" s="12"/>
      <c r="E296" s="12"/>
      <c r="F296" s="12">
        <v>0</v>
      </c>
      <c r="G296" s="12" t="s">
        <v>47</v>
      </c>
      <c r="H296" s="12" t="s">
        <v>45</v>
      </c>
      <c r="I296" s="12">
        <v>1</v>
      </c>
      <c r="J296" s="12">
        <v>0</v>
      </c>
      <c r="K296" s="12" t="s">
        <v>46</v>
      </c>
      <c r="L296" s="47" t="s">
        <v>47</v>
      </c>
      <c r="M296" s="12">
        <v>1020133</v>
      </c>
      <c r="N296" s="12">
        <v>0</v>
      </c>
      <c r="O296" s="47" t="s">
        <v>48</v>
      </c>
      <c r="P296" s="12">
        <v>1671</v>
      </c>
      <c r="Q296" s="12">
        <v>1082</v>
      </c>
      <c r="R296" s="12">
        <v>225</v>
      </c>
      <c r="S296" s="44">
        <v>30</v>
      </c>
      <c r="T296" s="44">
        <v>71</v>
      </c>
      <c r="U296" s="12">
        <v>3</v>
      </c>
      <c r="V296" s="12"/>
      <c r="W296" s="47" t="s">
        <v>47</v>
      </c>
      <c r="X296" s="47" t="s">
        <v>561</v>
      </c>
      <c r="Y296" s="47" t="str">
        <f t="shared" ref="Y296" si="158">B296</f>
        <v>小妖</v>
      </c>
      <c r="Z296" s="12"/>
      <c r="AA296" s="12"/>
      <c r="AB296" s="12" t="s">
        <v>560</v>
      </c>
      <c r="AC296" s="12">
        <v>2275</v>
      </c>
      <c r="AD296" s="12">
        <v>2276</v>
      </c>
      <c r="AE296" s="12">
        <v>2277</v>
      </c>
      <c r="AF296" s="12">
        <v>2278</v>
      </c>
      <c r="AG296" s="12"/>
      <c r="AH296" s="47" t="s">
        <v>52</v>
      </c>
      <c r="AI296" s="12">
        <v>1</v>
      </c>
      <c r="AJ296" s="12" t="s">
        <v>223</v>
      </c>
      <c r="AK296" s="12"/>
      <c r="AL296" s="12" t="s">
        <v>237</v>
      </c>
      <c r="AM296" s="12" t="s">
        <v>238</v>
      </c>
      <c r="AN296" s="47" t="s">
        <v>47</v>
      </c>
      <c r="AO296" s="12"/>
      <c r="AP296" s="12" t="s">
        <v>53</v>
      </c>
      <c r="AQ296" s="2">
        <v>0</v>
      </c>
    </row>
    <row r="297" s="2" customFormat="1" ht="12" spans="1:43">
      <c r="A297" s="11">
        <v>167108</v>
      </c>
      <c r="B297" s="11" t="s">
        <v>310</v>
      </c>
      <c r="C297" s="11"/>
      <c r="D297" s="11"/>
      <c r="E297" s="11"/>
      <c r="F297" s="11">
        <v>0</v>
      </c>
      <c r="G297" s="11" t="s">
        <v>47</v>
      </c>
      <c r="H297" s="11" t="s">
        <v>45</v>
      </c>
      <c r="I297" s="11">
        <v>1</v>
      </c>
      <c r="J297" s="12">
        <v>0</v>
      </c>
      <c r="K297" s="11" t="s">
        <v>46</v>
      </c>
      <c r="L297" s="47" t="s">
        <v>47</v>
      </c>
      <c r="M297" s="11">
        <v>1010129</v>
      </c>
      <c r="N297" s="11">
        <v>0</v>
      </c>
      <c r="O297" s="47" t="s">
        <v>48</v>
      </c>
      <c r="P297" s="11">
        <v>1671</v>
      </c>
      <c r="Q297" s="11">
        <v>912</v>
      </c>
      <c r="R297" s="11">
        <v>1006</v>
      </c>
      <c r="S297" s="44">
        <v>54</v>
      </c>
      <c r="T297" s="44">
        <v>55</v>
      </c>
      <c r="U297" s="11">
        <v>1</v>
      </c>
      <c r="V297" s="11"/>
      <c r="W297" s="47" t="s">
        <v>47</v>
      </c>
      <c r="X297" s="47" t="s">
        <v>309</v>
      </c>
      <c r="Y297" s="47" t="str">
        <f t="shared" ref="Y297" si="159">B297</f>
        <v>天灾亡灵</v>
      </c>
      <c r="Z297" s="11"/>
      <c r="AA297" s="11"/>
      <c r="AB297" s="11" t="s">
        <v>310</v>
      </c>
      <c r="AC297" s="11">
        <v>2142</v>
      </c>
      <c r="AD297" s="11">
        <v>2143</v>
      </c>
      <c r="AE297" s="11">
        <v>2144</v>
      </c>
      <c r="AF297" s="11">
        <v>2145</v>
      </c>
      <c r="AG297" s="11"/>
      <c r="AH297" s="47" t="s">
        <v>52</v>
      </c>
      <c r="AI297" s="11">
        <v>1</v>
      </c>
      <c r="AJ297" s="11"/>
      <c r="AK297" s="11"/>
      <c r="AL297" s="11"/>
      <c r="AM297" s="11"/>
      <c r="AN297" s="47" t="s">
        <v>47</v>
      </c>
      <c r="AO297" s="11"/>
      <c r="AP297" s="11" t="s">
        <v>53</v>
      </c>
      <c r="AQ297" s="2">
        <v>0</v>
      </c>
    </row>
    <row r="298" s="3" customFormat="1" ht="12" spans="1:43">
      <c r="A298" s="12">
        <v>167109</v>
      </c>
      <c r="B298" s="12" t="s">
        <v>310</v>
      </c>
      <c r="C298" s="12"/>
      <c r="D298" s="12"/>
      <c r="E298" s="12"/>
      <c r="F298" s="12">
        <v>0</v>
      </c>
      <c r="G298" s="12" t="s">
        <v>47</v>
      </c>
      <c r="H298" s="12" t="s">
        <v>45</v>
      </c>
      <c r="I298" s="12">
        <v>1</v>
      </c>
      <c r="J298" s="12">
        <v>0</v>
      </c>
      <c r="K298" s="12" t="s">
        <v>46</v>
      </c>
      <c r="L298" s="47" t="s">
        <v>47</v>
      </c>
      <c r="M298" s="12">
        <v>1010129</v>
      </c>
      <c r="N298" s="12">
        <v>0</v>
      </c>
      <c r="O298" s="47" t="s">
        <v>48</v>
      </c>
      <c r="P298" s="12">
        <v>1671</v>
      </c>
      <c r="Q298" s="12">
        <v>840</v>
      </c>
      <c r="R298" s="12">
        <v>944</v>
      </c>
      <c r="S298" s="44">
        <v>58</v>
      </c>
      <c r="T298" s="44">
        <v>68</v>
      </c>
      <c r="U298" s="12">
        <v>1</v>
      </c>
      <c r="V298" s="12"/>
      <c r="W298" s="47" t="s">
        <v>47</v>
      </c>
      <c r="X298" s="47" t="s">
        <v>309</v>
      </c>
      <c r="Y298" s="47" t="str">
        <f t="shared" ref="Y298" si="160">B298</f>
        <v>天灾亡灵</v>
      </c>
      <c r="Z298" s="12"/>
      <c r="AA298" s="12"/>
      <c r="AB298" s="12" t="s">
        <v>310</v>
      </c>
      <c r="AC298" s="12">
        <v>2142</v>
      </c>
      <c r="AD298" s="12">
        <v>2143</v>
      </c>
      <c r="AE298" s="12">
        <v>2144</v>
      </c>
      <c r="AF298" s="12">
        <v>2145</v>
      </c>
      <c r="AG298" s="12"/>
      <c r="AH298" s="47" t="s">
        <v>52</v>
      </c>
      <c r="AI298" s="12">
        <v>1</v>
      </c>
      <c r="AJ298" s="12"/>
      <c r="AK298" s="12"/>
      <c r="AL298" s="12"/>
      <c r="AM298" s="12"/>
      <c r="AN298" s="47" t="s">
        <v>47</v>
      </c>
      <c r="AO298" s="12"/>
      <c r="AP298" s="12" t="s">
        <v>53</v>
      </c>
      <c r="AQ298" s="2">
        <v>0</v>
      </c>
    </row>
    <row r="299" s="2" customFormat="1" ht="12" spans="1:43">
      <c r="A299" s="11">
        <v>167110</v>
      </c>
      <c r="B299" s="11" t="s">
        <v>310</v>
      </c>
      <c r="C299" s="11"/>
      <c r="D299" s="11"/>
      <c r="E299" s="11"/>
      <c r="F299" s="11">
        <v>0</v>
      </c>
      <c r="G299" s="11" t="s">
        <v>47</v>
      </c>
      <c r="H299" s="11" t="s">
        <v>45</v>
      </c>
      <c r="I299" s="11">
        <v>1</v>
      </c>
      <c r="J299" s="12">
        <v>0</v>
      </c>
      <c r="K299" s="11" t="s">
        <v>46</v>
      </c>
      <c r="L299" s="47" t="s">
        <v>47</v>
      </c>
      <c r="M299" s="11">
        <v>1010129</v>
      </c>
      <c r="N299" s="11">
        <v>0</v>
      </c>
      <c r="O299" s="47" t="s">
        <v>48</v>
      </c>
      <c r="P299" s="11">
        <v>1671</v>
      </c>
      <c r="Q299" s="11">
        <v>832</v>
      </c>
      <c r="R299" s="11">
        <v>1088</v>
      </c>
      <c r="S299" s="44">
        <v>56</v>
      </c>
      <c r="T299" s="44">
        <v>69</v>
      </c>
      <c r="U299" s="11">
        <v>3</v>
      </c>
      <c r="V299" s="11"/>
      <c r="W299" s="47" t="s">
        <v>47</v>
      </c>
      <c r="X299" s="47" t="s">
        <v>309</v>
      </c>
      <c r="Y299" s="47" t="str">
        <f t="shared" ref="Y299" si="161">B299</f>
        <v>天灾亡灵</v>
      </c>
      <c r="Z299" s="11"/>
      <c r="AA299" s="11"/>
      <c r="AB299" s="11" t="s">
        <v>310</v>
      </c>
      <c r="AC299" s="11">
        <v>2142</v>
      </c>
      <c r="AD299" s="11">
        <v>2143</v>
      </c>
      <c r="AE299" s="11">
        <v>2144</v>
      </c>
      <c r="AF299" s="11">
        <v>2145</v>
      </c>
      <c r="AG299" s="11"/>
      <c r="AH299" s="47" t="s">
        <v>52</v>
      </c>
      <c r="AI299" s="11">
        <v>1</v>
      </c>
      <c r="AJ299" s="11"/>
      <c r="AK299" s="11"/>
      <c r="AL299" s="11"/>
      <c r="AM299" s="11"/>
      <c r="AN299" s="47" t="s">
        <v>47</v>
      </c>
      <c r="AO299" s="11"/>
      <c r="AP299" s="11" t="s">
        <v>53</v>
      </c>
      <c r="AQ299" s="2">
        <v>0</v>
      </c>
    </row>
    <row r="300" s="3" customFormat="1" ht="12" spans="1:43">
      <c r="A300" s="12">
        <v>167111</v>
      </c>
      <c r="B300" s="12" t="s">
        <v>310</v>
      </c>
      <c r="C300" s="12"/>
      <c r="D300" s="12"/>
      <c r="E300" s="12"/>
      <c r="F300" s="12">
        <v>0</v>
      </c>
      <c r="G300" s="12" t="s">
        <v>47</v>
      </c>
      <c r="H300" s="12" t="s">
        <v>45</v>
      </c>
      <c r="I300" s="12">
        <v>1</v>
      </c>
      <c r="J300" s="12">
        <v>0</v>
      </c>
      <c r="K300" s="12" t="s">
        <v>46</v>
      </c>
      <c r="L300" s="47" t="s">
        <v>47</v>
      </c>
      <c r="M300" s="12">
        <v>1010129</v>
      </c>
      <c r="N300" s="12">
        <v>0</v>
      </c>
      <c r="O300" s="47" t="s">
        <v>48</v>
      </c>
      <c r="P300" s="12">
        <v>1671</v>
      </c>
      <c r="Q300" s="12">
        <v>760</v>
      </c>
      <c r="R300" s="12">
        <v>1020</v>
      </c>
      <c r="S300" s="44">
        <v>58</v>
      </c>
      <c r="T300" s="44">
        <v>70</v>
      </c>
      <c r="U300" s="12">
        <v>7</v>
      </c>
      <c r="V300" s="12"/>
      <c r="W300" s="47" t="s">
        <v>47</v>
      </c>
      <c r="X300" s="47" t="s">
        <v>309</v>
      </c>
      <c r="Y300" s="47" t="str">
        <f t="shared" ref="Y300" si="162">B300</f>
        <v>天灾亡灵</v>
      </c>
      <c r="Z300" s="12"/>
      <c r="AA300" s="12"/>
      <c r="AB300" s="12" t="s">
        <v>310</v>
      </c>
      <c r="AC300" s="12">
        <v>2142</v>
      </c>
      <c r="AD300" s="12">
        <v>2143</v>
      </c>
      <c r="AE300" s="12">
        <v>2144</v>
      </c>
      <c r="AF300" s="12">
        <v>2145</v>
      </c>
      <c r="AG300" s="12"/>
      <c r="AH300" s="47" t="s">
        <v>52</v>
      </c>
      <c r="AI300" s="12">
        <v>1</v>
      </c>
      <c r="AJ300" s="12"/>
      <c r="AK300" s="12"/>
      <c r="AL300" s="12"/>
      <c r="AM300" s="12"/>
      <c r="AN300" s="47" t="s">
        <v>47</v>
      </c>
      <c r="AO300" s="12"/>
      <c r="AP300" s="12" t="s">
        <v>53</v>
      </c>
      <c r="AQ300" s="2">
        <v>0</v>
      </c>
    </row>
    <row r="301" s="2" customFormat="1" ht="12" spans="1:43">
      <c r="A301" s="11">
        <v>167112</v>
      </c>
      <c r="B301" s="11" t="s">
        <v>310</v>
      </c>
      <c r="C301" s="11"/>
      <c r="D301" s="11"/>
      <c r="E301" s="11"/>
      <c r="F301" s="11">
        <v>0</v>
      </c>
      <c r="G301" s="11" t="s">
        <v>47</v>
      </c>
      <c r="H301" s="11" t="s">
        <v>45</v>
      </c>
      <c r="I301" s="11">
        <v>1</v>
      </c>
      <c r="J301" s="12">
        <v>0</v>
      </c>
      <c r="K301" s="11" t="s">
        <v>46</v>
      </c>
      <c r="L301" s="47" t="s">
        <v>47</v>
      </c>
      <c r="M301" s="11">
        <v>1010129</v>
      </c>
      <c r="N301" s="11">
        <v>0</v>
      </c>
      <c r="O301" s="47" t="s">
        <v>48</v>
      </c>
      <c r="P301" s="11">
        <v>1671</v>
      </c>
      <c r="Q301" s="11">
        <v>752</v>
      </c>
      <c r="R301" s="11">
        <v>1170</v>
      </c>
      <c r="S301" s="44">
        <v>55</v>
      </c>
      <c r="T301" s="44">
        <v>77</v>
      </c>
      <c r="U301" s="11">
        <v>5</v>
      </c>
      <c r="V301" s="11"/>
      <c r="W301" s="47" t="s">
        <v>47</v>
      </c>
      <c r="X301" s="47" t="s">
        <v>309</v>
      </c>
      <c r="Y301" s="47" t="str">
        <f t="shared" ref="Y301" si="163">B301</f>
        <v>天灾亡灵</v>
      </c>
      <c r="Z301" s="11"/>
      <c r="AA301" s="11"/>
      <c r="AB301" s="11" t="s">
        <v>310</v>
      </c>
      <c r="AC301" s="11">
        <v>2142</v>
      </c>
      <c r="AD301" s="11">
        <v>2143</v>
      </c>
      <c r="AE301" s="11">
        <v>2144</v>
      </c>
      <c r="AF301" s="11">
        <v>2145</v>
      </c>
      <c r="AG301" s="11"/>
      <c r="AH301" s="47" t="s">
        <v>52</v>
      </c>
      <c r="AI301" s="11">
        <v>1</v>
      </c>
      <c r="AJ301" s="11"/>
      <c r="AK301" s="11"/>
      <c r="AL301" s="11"/>
      <c r="AM301" s="11"/>
      <c r="AN301" s="47" t="s">
        <v>47</v>
      </c>
      <c r="AO301" s="11"/>
      <c r="AP301" s="11" t="s">
        <v>53</v>
      </c>
      <c r="AQ301" s="2">
        <v>0</v>
      </c>
    </row>
    <row r="302" s="3" customFormat="1" ht="12" spans="1:43">
      <c r="A302" s="12">
        <v>167113</v>
      </c>
      <c r="B302" s="12" t="s">
        <v>310</v>
      </c>
      <c r="C302" s="12"/>
      <c r="D302" s="12"/>
      <c r="E302" s="12"/>
      <c r="F302" s="12">
        <v>0</v>
      </c>
      <c r="G302" s="12" t="s">
        <v>47</v>
      </c>
      <c r="H302" s="12" t="s">
        <v>45</v>
      </c>
      <c r="I302" s="12">
        <v>1</v>
      </c>
      <c r="J302" s="12">
        <v>0</v>
      </c>
      <c r="K302" s="12" t="s">
        <v>46</v>
      </c>
      <c r="L302" s="47" t="s">
        <v>47</v>
      </c>
      <c r="M302" s="12">
        <v>1010129</v>
      </c>
      <c r="N302" s="12">
        <v>0</v>
      </c>
      <c r="O302" s="47" t="s">
        <v>48</v>
      </c>
      <c r="P302" s="12">
        <v>1671</v>
      </c>
      <c r="Q302" s="12">
        <v>678</v>
      </c>
      <c r="R302" s="12">
        <v>1087</v>
      </c>
      <c r="S302" s="44">
        <v>51</v>
      </c>
      <c r="T302" s="44">
        <v>76</v>
      </c>
      <c r="U302" s="12">
        <v>7</v>
      </c>
      <c r="V302" s="12"/>
      <c r="W302" s="47" t="s">
        <v>47</v>
      </c>
      <c r="X302" s="47" t="s">
        <v>309</v>
      </c>
      <c r="Y302" s="47" t="str">
        <f t="shared" ref="Y302" si="164">B302</f>
        <v>天灾亡灵</v>
      </c>
      <c r="Z302" s="12"/>
      <c r="AA302" s="12"/>
      <c r="AB302" s="12" t="s">
        <v>310</v>
      </c>
      <c r="AC302" s="12">
        <v>2142</v>
      </c>
      <c r="AD302" s="12">
        <v>2143</v>
      </c>
      <c r="AE302" s="12">
        <v>2144</v>
      </c>
      <c r="AF302" s="12">
        <v>2145</v>
      </c>
      <c r="AG302" s="12"/>
      <c r="AH302" s="47" t="s">
        <v>52</v>
      </c>
      <c r="AI302" s="12">
        <v>1</v>
      </c>
      <c r="AJ302" s="12"/>
      <c r="AK302" s="12"/>
      <c r="AL302" s="12"/>
      <c r="AM302" s="12"/>
      <c r="AN302" s="47" t="s">
        <v>47</v>
      </c>
      <c r="AO302" s="12"/>
      <c r="AP302" s="12" t="s">
        <v>53</v>
      </c>
      <c r="AQ302" s="2">
        <v>0</v>
      </c>
    </row>
    <row r="303" s="2" customFormat="1" ht="12.75" spans="1:43">
      <c r="A303" s="11">
        <v>167114</v>
      </c>
      <c r="B303" s="11" t="s">
        <v>226</v>
      </c>
      <c r="C303" s="11"/>
      <c r="D303" s="11"/>
      <c r="E303" s="11"/>
      <c r="F303" s="11">
        <v>0</v>
      </c>
      <c r="G303" s="11" t="s">
        <v>47</v>
      </c>
      <c r="H303" s="11" t="s">
        <v>45</v>
      </c>
      <c r="I303" s="11">
        <v>1</v>
      </c>
      <c r="J303" s="12">
        <v>0</v>
      </c>
      <c r="K303" s="11" t="s">
        <v>46</v>
      </c>
      <c r="L303" s="47" t="s">
        <v>47</v>
      </c>
      <c r="M303" s="50">
        <v>1020113</v>
      </c>
      <c r="N303" s="11">
        <v>0</v>
      </c>
      <c r="O303" s="47" t="s">
        <v>48</v>
      </c>
      <c r="P303" s="11">
        <v>1671</v>
      </c>
      <c r="Q303" s="11">
        <v>1069</v>
      </c>
      <c r="R303" s="11">
        <v>593</v>
      </c>
      <c r="S303" s="44">
        <v>69</v>
      </c>
      <c r="T303" s="44">
        <v>53</v>
      </c>
      <c r="U303" s="11">
        <v>3</v>
      </c>
      <c r="V303" s="11"/>
      <c r="W303" s="47" t="s">
        <v>47</v>
      </c>
      <c r="X303" s="47" t="s">
        <v>227</v>
      </c>
      <c r="Y303" s="47" t="str">
        <f t="shared" ref="Y303" si="165">B303</f>
        <v>小白龙</v>
      </c>
      <c r="Z303" s="11"/>
      <c r="AA303" s="11"/>
      <c r="AB303" s="11" t="s">
        <v>327</v>
      </c>
      <c r="AC303" s="11">
        <v>2040</v>
      </c>
      <c r="AD303" s="11">
        <v>2041</v>
      </c>
      <c r="AE303" s="11">
        <v>2042</v>
      </c>
      <c r="AF303" s="11">
        <v>2043</v>
      </c>
      <c r="AG303" s="11"/>
      <c r="AH303" s="47" t="s">
        <v>52</v>
      </c>
      <c r="AI303" s="11">
        <v>0</v>
      </c>
      <c r="AJ303" s="11" t="s">
        <v>90</v>
      </c>
      <c r="AK303" s="11" t="s">
        <v>228</v>
      </c>
      <c r="AL303" s="11" t="s">
        <v>91</v>
      </c>
      <c r="AM303" s="11" t="s">
        <v>93</v>
      </c>
      <c r="AN303" s="47" t="s">
        <v>47</v>
      </c>
      <c r="AO303" s="11"/>
      <c r="AP303" s="11" t="s">
        <v>53</v>
      </c>
      <c r="AQ303" s="2">
        <v>0</v>
      </c>
    </row>
    <row r="304" s="3" customFormat="1" ht="12.75" spans="1:43">
      <c r="A304" s="12">
        <v>167115</v>
      </c>
      <c r="B304" s="12" t="s">
        <v>413</v>
      </c>
      <c r="C304" s="12"/>
      <c r="D304" s="12"/>
      <c r="E304" s="12"/>
      <c r="F304" s="12">
        <v>0</v>
      </c>
      <c r="G304" s="12" t="s">
        <v>47</v>
      </c>
      <c r="H304" s="12" t="s">
        <v>45</v>
      </c>
      <c r="I304" s="12">
        <v>1</v>
      </c>
      <c r="J304" s="12">
        <v>0</v>
      </c>
      <c r="K304" s="12" t="s">
        <v>46</v>
      </c>
      <c r="L304" s="47" t="s">
        <v>47</v>
      </c>
      <c r="M304" s="54" t="s">
        <v>594</v>
      </c>
      <c r="N304" s="12">
        <v>0</v>
      </c>
      <c r="O304" s="47" t="s">
        <v>48</v>
      </c>
      <c r="P304" s="12">
        <v>1671</v>
      </c>
      <c r="Q304" s="12">
        <v>1358</v>
      </c>
      <c r="R304" s="12">
        <v>594</v>
      </c>
      <c r="S304" s="44">
        <v>22</v>
      </c>
      <c r="T304" s="44">
        <v>67</v>
      </c>
      <c r="U304" s="12"/>
      <c r="V304" s="12"/>
      <c r="W304" s="47" t="s">
        <v>47</v>
      </c>
      <c r="X304" s="47" t="s">
        <v>259</v>
      </c>
      <c r="Y304" s="47" t="str">
        <f t="shared" ref="Y304" si="166">B304</f>
        <v>鬼将</v>
      </c>
      <c r="Z304" s="12"/>
      <c r="AA304" s="12"/>
      <c r="AB304" s="12" t="s">
        <v>413</v>
      </c>
      <c r="AC304" s="12">
        <v>2084</v>
      </c>
      <c r="AD304" s="12">
        <v>2085</v>
      </c>
      <c r="AE304" s="12">
        <v>2086</v>
      </c>
      <c r="AF304" s="12">
        <v>2087</v>
      </c>
      <c r="AG304" s="12"/>
      <c r="AH304" s="47" t="s">
        <v>52</v>
      </c>
      <c r="AI304" s="12">
        <v>1</v>
      </c>
      <c r="AJ304" s="12" t="s">
        <v>132</v>
      </c>
      <c r="AK304" s="12" t="s">
        <v>133</v>
      </c>
      <c r="AL304" s="12" t="s">
        <v>134</v>
      </c>
      <c r="AM304" s="12" t="s">
        <v>135</v>
      </c>
      <c r="AN304" s="47" t="s">
        <v>47</v>
      </c>
      <c r="AO304" s="12"/>
      <c r="AP304" s="12" t="s">
        <v>53</v>
      </c>
      <c r="AQ304" s="2">
        <v>0</v>
      </c>
    </row>
    <row r="305" s="2" customFormat="1" ht="12" spans="1:43">
      <c r="A305" s="11">
        <v>167201</v>
      </c>
      <c r="B305" s="11" t="s">
        <v>346</v>
      </c>
      <c r="C305" s="11"/>
      <c r="D305" s="11"/>
      <c r="E305" s="11"/>
      <c r="F305" s="11">
        <v>0</v>
      </c>
      <c r="G305" s="11" t="s">
        <v>47</v>
      </c>
      <c r="H305" s="11" t="s">
        <v>45</v>
      </c>
      <c r="I305" s="11" t="s">
        <v>45</v>
      </c>
      <c r="J305" s="12">
        <v>0</v>
      </c>
      <c r="K305" s="11" t="s">
        <v>46</v>
      </c>
      <c r="L305" s="47" t="s">
        <v>47</v>
      </c>
      <c r="M305" s="11">
        <v>1030003</v>
      </c>
      <c r="N305" s="11">
        <v>0</v>
      </c>
      <c r="O305" s="47" t="s">
        <v>48</v>
      </c>
      <c r="P305" s="11">
        <v>1672</v>
      </c>
      <c r="Q305" s="11"/>
      <c r="R305" s="11"/>
      <c r="S305" s="11">
        <v>63</v>
      </c>
      <c r="T305" s="11">
        <v>36</v>
      </c>
      <c r="U305" s="11"/>
      <c r="V305" s="11"/>
      <c r="W305" s="47" t="s">
        <v>47</v>
      </c>
      <c r="X305" s="47" t="s">
        <v>598</v>
      </c>
      <c r="Y305" s="47" t="str">
        <f t="shared" ref="Y305" si="167">B305</f>
        <v>野猪精</v>
      </c>
      <c r="Z305" s="11"/>
      <c r="AA305" s="11"/>
      <c r="AB305" s="11" t="s">
        <v>599</v>
      </c>
      <c r="AC305" s="11">
        <v>2123</v>
      </c>
      <c r="AD305" s="11">
        <v>2125</v>
      </c>
      <c r="AE305" s="11">
        <v>2126</v>
      </c>
      <c r="AF305" s="11" t="s">
        <v>51</v>
      </c>
      <c r="AG305" s="11"/>
      <c r="AH305" s="47" t="s">
        <v>52</v>
      </c>
      <c r="AI305" s="11">
        <v>0</v>
      </c>
      <c r="AJ305" s="11" t="s">
        <v>600</v>
      </c>
      <c r="AK305" s="11" t="s">
        <v>601</v>
      </c>
      <c r="AL305" s="11" t="s">
        <v>602</v>
      </c>
      <c r="AM305" s="11"/>
      <c r="AN305" s="47" t="s">
        <v>47</v>
      </c>
      <c r="AO305" s="11"/>
      <c r="AP305" s="11" t="s">
        <v>53</v>
      </c>
      <c r="AQ305" s="2">
        <v>0</v>
      </c>
    </row>
    <row r="306" s="3" customFormat="1" ht="12" spans="1:43">
      <c r="A306" s="12">
        <v>167202</v>
      </c>
      <c r="B306" s="12" t="s">
        <v>342</v>
      </c>
      <c r="C306" s="12"/>
      <c r="D306" s="12"/>
      <c r="E306" s="12"/>
      <c r="F306" s="12">
        <v>0</v>
      </c>
      <c r="G306" s="12" t="s">
        <v>47</v>
      </c>
      <c r="H306" s="12" t="s">
        <v>45</v>
      </c>
      <c r="I306" s="12" t="s">
        <v>45</v>
      </c>
      <c r="J306" s="12">
        <v>0</v>
      </c>
      <c r="K306" s="12" t="s">
        <v>46</v>
      </c>
      <c r="L306" s="47" t="s">
        <v>47</v>
      </c>
      <c r="M306" s="12">
        <v>1010156</v>
      </c>
      <c r="N306" s="12">
        <v>0</v>
      </c>
      <c r="O306" s="47" t="s">
        <v>48</v>
      </c>
      <c r="P306" s="12">
        <v>1672</v>
      </c>
      <c r="Q306" s="12"/>
      <c r="R306" s="12"/>
      <c r="S306" s="12">
        <v>51</v>
      </c>
      <c r="T306" s="12">
        <v>50</v>
      </c>
      <c r="U306" s="12"/>
      <c r="V306" s="12"/>
      <c r="W306" s="47" t="s">
        <v>47</v>
      </c>
      <c r="X306" s="47" t="s">
        <v>603</v>
      </c>
      <c r="Y306" s="47" t="str">
        <f t="shared" ref="Y306" si="168">B306</f>
        <v>翻天怪</v>
      </c>
      <c r="Z306" s="12"/>
      <c r="AA306" s="12"/>
      <c r="AB306" s="12" t="s">
        <v>604</v>
      </c>
      <c r="AC306" s="12">
        <v>2154</v>
      </c>
      <c r="AD306" s="12">
        <v>2155</v>
      </c>
      <c r="AE306" s="12">
        <v>2156</v>
      </c>
      <c r="AF306" s="12">
        <v>2157</v>
      </c>
      <c r="AG306" s="12"/>
      <c r="AH306" s="47" t="s">
        <v>52</v>
      </c>
      <c r="AI306" s="12">
        <v>0</v>
      </c>
      <c r="AJ306" s="12" t="s">
        <v>605</v>
      </c>
      <c r="AK306" s="12" t="s">
        <v>332</v>
      </c>
      <c r="AL306" s="12" t="s">
        <v>333</v>
      </c>
      <c r="AM306" s="12" t="s">
        <v>334</v>
      </c>
      <c r="AN306" s="47" t="s">
        <v>47</v>
      </c>
      <c r="AO306" s="12"/>
      <c r="AP306" s="12" t="s">
        <v>53</v>
      </c>
      <c r="AQ306" s="2">
        <v>0</v>
      </c>
    </row>
    <row r="307" s="8" customFormat="1" ht="12" spans="1:43">
      <c r="A307" s="60">
        <v>167301</v>
      </c>
      <c r="B307" s="60" t="s">
        <v>345</v>
      </c>
      <c r="C307" s="60"/>
      <c r="D307" s="60"/>
      <c r="E307" s="60"/>
      <c r="F307" s="60">
        <v>0</v>
      </c>
      <c r="G307" s="60" t="s">
        <v>47</v>
      </c>
      <c r="H307" s="60" t="s">
        <v>45</v>
      </c>
      <c r="I307" s="60" t="s">
        <v>45</v>
      </c>
      <c r="J307" s="12">
        <v>0</v>
      </c>
      <c r="K307" s="60" t="s">
        <v>46</v>
      </c>
      <c r="L307" s="47" t="s">
        <v>47</v>
      </c>
      <c r="M307" s="60">
        <v>1010131</v>
      </c>
      <c r="N307" s="60">
        <v>0</v>
      </c>
      <c r="O307" s="47" t="s">
        <v>48</v>
      </c>
      <c r="P307" s="60">
        <v>1673</v>
      </c>
      <c r="Q307" s="60">
        <v>1635</v>
      </c>
      <c r="R307" s="60">
        <v>1429</v>
      </c>
      <c r="S307" s="60">
        <f t="shared" ref="S307" si="169">FLOOR(Q307/16,1)</f>
        <v>102</v>
      </c>
      <c r="T307" s="60">
        <f t="shared" ref="T307:T312" si="170">FLOOR(R307/16,1)</f>
        <v>89</v>
      </c>
      <c r="U307" s="60"/>
      <c r="V307" s="60"/>
      <c r="W307" s="47" t="s">
        <v>47</v>
      </c>
      <c r="X307" s="47" t="s">
        <v>606</v>
      </c>
      <c r="Y307" s="47" t="str">
        <f t="shared" ref="Y307" si="171">B307</f>
        <v>元帅</v>
      </c>
      <c r="Z307" s="60"/>
      <c r="AA307" s="60"/>
      <c r="AB307" s="60" t="s">
        <v>345</v>
      </c>
      <c r="AC307" s="60">
        <v>2217</v>
      </c>
      <c r="AD307" s="60">
        <v>2218</v>
      </c>
      <c r="AE307" s="60">
        <v>2220</v>
      </c>
      <c r="AG307" s="60"/>
      <c r="AH307" s="47" t="s">
        <v>52</v>
      </c>
      <c r="AI307" s="60">
        <v>1</v>
      </c>
      <c r="AJ307" s="60" t="s">
        <v>223</v>
      </c>
      <c r="AK307" s="60"/>
      <c r="AL307" s="60" t="s">
        <v>237</v>
      </c>
      <c r="AM307" s="60" t="s">
        <v>238</v>
      </c>
      <c r="AN307" s="47" t="s">
        <v>47</v>
      </c>
      <c r="AO307" s="60"/>
      <c r="AP307" s="60" t="s">
        <v>53</v>
      </c>
      <c r="AQ307" s="2">
        <v>0</v>
      </c>
    </row>
    <row r="308" s="3" customFormat="1" ht="12.75" spans="1:43">
      <c r="A308" s="12">
        <v>167302</v>
      </c>
      <c r="B308" s="12" t="s">
        <v>235</v>
      </c>
      <c r="C308" s="12"/>
      <c r="D308" s="12"/>
      <c r="E308" s="12"/>
      <c r="F308" s="12">
        <v>0</v>
      </c>
      <c r="G308" s="12" t="s">
        <v>47</v>
      </c>
      <c r="H308" s="12" t="s">
        <v>45</v>
      </c>
      <c r="I308" s="12" t="s">
        <v>45</v>
      </c>
      <c r="J308" s="12">
        <v>0</v>
      </c>
      <c r="K308" s="12" t="s">
        <v>46</v>
      </c>
      <c r="L308" s="47" t="s">
        <v>47</v>
      </c>
      <c r="M308" s="50">
        <v>1020106</v>
      </c>
      <c r="N308" s="12">
        <v>0</v>
      </c>
      <c r="O308" s="47" t="s">
        <v>48</v>
      </c>
      <c r="P308" s="12">
        <v>1673</v>
      </c>
      <c r="Q308" s="12">
        <v>288</v>
      </c>
      <c r="R308" s="12">
        <v>1251</v>
      </c>
      <c r="S308" s="12">
        <f t="shared" ref="S308" si="172">FLOOR(Q308/16,1)</f>
        <v>18</v>
      </c>
      <c r="T308" s="12">
        <f t="shared" si="170"/>
        <v>78</v>
      </c>
      <c r="U308" s="12"/>
      <c r="V308" s="12"/>
      <c r="W308" s="47" t="s">
        <v>47</v>
      </c>
      <c r="X308" s="47" t="s">
        <v>607</v>
      </c>
      <c r="Y308" s="47" t="str">
        <f t="shared" ref="Y308" si="173">B308</f>
        <v>猴王</v>
      </c>
      <c r="Z308" s="12"/>
      <c r="AA308" s="12"/>
      <c r="AB308" s="12" t="s">
        <v>235</v>
      </c>
      <c r="AC308" s="12">
        <v>2249</v>
      </c>
      <c r="AD308" s="12">
        <v>2250</v>
      </c>
      <c r="AE308" s="12">
        <v>2252</v>
      </c>
      <c r="AF308" s="12">
        <v>2250</v>
      </c>
      <c r="AG308" s="12"/>
      <c r="AH308" s="47" t="s">
        <v>52</v>
      </c>
      <c r="AI308" s="12">
        <v>1</v>
      </c>
      <c r="AJ308" s="12" t="s">
        <v>223</v>
      </c>
      <c r="AK308" s="12"/>
      <c r="AL308" s="12" t="s">
        <v>237</v>
      </c>
      <c r="AM308" s="12" t="s">
        <v>238</v>
      </c>
      <c r="AN308" s="47" t="s">
        <v>47</v>
      </c>
      <c r="AO308" s="12"/>
      <c r="AP308" s="12" t="s">
        <v>53</v>
      </c>
      <c r="AQ308" s="2">
        <v>0</v>
      </c>
    </row>
    <row r="309" s="2" customFormat="1" ht="12.75" spans="1:43">
      <c r="A309" s="11">
        <v>167303</v>
      </c>
      <c r="B309" s="11" t="s">
        <v>608</v>
      </c>
      <c r="C309" s="11"/>
      <c r="D309" s="11"/>
      <c r="E309" s="11"/>
      <c r="F309" s="11">
        <v>0</v>
      </c>
      <c r="G309" s="11" t="s">
        <v>47</v>
      </c>
      <c r="H309" s="11" t="s">
        <v>45</v>
      </c>
      <c r="I309" s="11" t="s">
        <v>45</v>
      </c>
      <c r="J309" s="12">
        <v>0</v>
      </c>
      <c r="K309" s="11" t="s">
        <v>46</v>
      </c>
      <c r="L309" s="47" t="s">
        <v>47</v>
      </c>
      <c r="M309" s="64">
        <v>1030009</v>
      </c>
      <c r="N309" s="11">
        <v>0</v>
      </c>
      <c r="O309" s="47" t="s">
        <v>48</v>
      </c>
      <c r="P309" s="11">
        <v>1673</v>
      </c>
      <c r="Q309" s="11">
        <v>577</v>
      </c>
      <c r="R309" s="11">
        <v>427</v>
      </c>
      <c r="S309" s="12">
        <f t="shared" ref="S309:S312" si="174">FLOOR(Q309/16,1)</f>
        <v>36</v>
      </c>
      <c r="T309" s="12">
        <f t="shared" si="170"/>
        <v>26</v>
      </c>
      <c r="U309" s="11"/>
      <c r="V309" s="11"/>
      <c r="W309" s="47" t="s">
        <v>47</v>
      </c>
      <c r="X309" s="47" t="s">
        <v>609</v>
      </c>
      <c r="Y309" s="47" t="str">
        <f t="shared" ref="Y309" si="175">B309</f>
        <v>土地</v>
      </c>
      <c r="Z309" s="11"/>
      <c r="AA309" s="11"/>
      <c r="AB309" s="11" t="s">
        <v>608</v>
      </c>
      <c r="AC309" s="11">
        <v>2217</v>
      </c>
      <c r="AD309" s="11">
        <v>2218</v>
      </c>
      <c r="AE309" s="11">
        <v>2219</v>
      </c>
      <c r="AF309" s="11">
        <v>2220</v>
      </c>
      <c r="AG309" s="11"/>
      <c r="AH309" s="47" t="s">
        <v>52</v>
      </c>
      <c r="AI309" s="11" t="s">
        <v>47</v>
      </c>
      <c r="AJ309" s="11" t="s">
        <v>203</v>
      </c>
      <c r="AK309" s="11" t="s">
        <v>204</v>
      </c>
      <c r="AL309" s="11" t="s">
        <v>205</v>
      </c>
      <c r="AM309" s="11" t="s">
        <v>206</v>
      </c>
      <c r="AN309" s="47" t="s">
        <v>47</v>
      </c>
      <c r="AO309" s="11"/>
      <c r="AP309" s="11" t="s">
        <v>53</v>
      </c>
      <c r="AQ309" s="2">
        <v>0</v>
      </c>
    </row>
    <row r="310" s="3" customFormat="1" ht="12.75" spans="1:43">
      <c r="A310" s="12">
        <v>167304</v>
      </c>
      <c r="B310" s="12" t="s">
        <v>235</v>
      </c>
      <c r="C310" s="12"/>
      <c r="D310" s="12"/>
      <c r="E310" s="12"/>
      <c r="F310" s="12">
        <v>0</v>
      </c>
      <c r="G310" s="12" t="s">
        <v>47</v>
      </c>
      <c r="H310" s="12" t="s">
        <v>45</v>
      </c>
      <c r="I310" s="12" t="s">
        <v>45</v>
      </c>
      <c r="J310" s="12">
        <v>0</v>
      </c>
      <c r="K310" s="12" t="s">
        <v>46</v>
      </c>
      <c r="L310" s="47" t="s">
        <v>47</v>
      </c>
      <c r="M310" s="50">
        <v>1020106</v>
      </c>
      <c r="N310" s="12">
        <v>0</v>
      </c>
      <c r="O310" s="47" t="s">
        <v>48</v>
      </c>
      <c r="P310" s="12">
        <v>1673</v>
      </c>
      <c r="Q310" s="12">
        <v>486</v>
      </c>
      <c r="R310" s="12">
        <v>936</v>
      </c>
      <c r="S310" s="12">
        <f t="shared" si="174"/>
        <v>30</v>
      </c>
      <c r="T310" s="12">
        <f t="shared" si="170"/>
        <v>58</v>
      </c>
      <c r="U310" s="12"/>
      <c r="V310" s="12"/>
      <c r="W310" s="47" t="s">
        <v>47</v>
      </c>
      <c r="X310" s="47" t="s">
        <v>241</v>
      </c>
      <c r="Y310" s="47" t="str">
        <f t="shared" ref="Y310" si="176">B310</f>
        <v>猴王</v>
      </c>
      <c r="Z310" s="12"/>
      <c r="AA310" s="12"/>
      <c r="AB310" s="12" t="s">
        <v>610</v>
      </c>
      <c r="AC310" s="12">
        <v>2213</v>
      </c>
      <c r="AD310" s="12">
        <v>2214</v>
      </c>
      <c r="AE310" s="12">
        <v>2215</v>
      </c>
      <c r="AF310" s="12">
        <v>2216</v>
      </c>
      <c r="AG310" s="12"/>
      <c r="AH310" s="47" t="s">
        <v>52</v>
      </c>
      <c r="AI310" s="12">
        <v>1</v>
      </c>
      <c r="AJ310" s="12" t="s">
        <v>223</v>
      </c>
      <c r="AK310" s="12"/>
      <c r="AL310" s="12" t="s">
        <v>237</v>
      </c>
      <c r="AM310" s="12" t="s">
        <v>238</v>
      </c>
      <c r="AN310" s="47" t="s">
        <v>47</v>
      </c>
      <c r="AO310" s="12"/>
      <c r="AP310" s="12" t="s">
        <v>53</v>
      </c>
      <c r="AQ310" s="2">
        <v>0</v>
      </c>
    </row>
    <row r="311" s="2" customFormat="1" ht="12" spans="1:43">
      <c r="A311" s="11">
        <v>167305</v>
      </c>
      <c r="B311" s="11" t="s">
        <v>611</v>
      </c>
      <c r="C311" s="11"/>
      <c r="D311" s="11"/>
      <c r="E311" s="11"/>
      <c r="F311" s="11">
        <v>0</v>
      </c>
      <c r="G311" s="11" t="s">
        <v>47</v>
      </c>
      <c r="H311" s="11" t="s">
        <v>45</v>
      </c>
      <c r="I311" s="11" t="s">
        <v>45</v>
      </c>
      <c r="J311" s="12">
        <v>0</v>
      </c>
      <c r="K311" s="11" t="s">
        <v>46</v>
      </c>
      <c r="L311" s="47" t="s">
        <v>47</v>
      </c>
      <c r="M311" s="11">
        <v>1030007</v>
      </c>
      <c r="N311" s="11">
        <v>0</v>
      </c>
      <c r="O311" s="47" t="s">
        <v>48</v>
      </c>
      <c r="P311" s="11">
        <v>1673</v>
      </c>
      <c r="Q311" s="11">
        <v>794</v>
      </c>
      <c r="R311" s="11">
        <v>807</v>
      </c>
      <c r="S311" s="12">
        <f t="shared" si="174"/>
        <v>49</v>
      </c>
      <c r="T311" s="12">
        <f t="shared" si="170"/>
        <v>50</v>
      </c>
      <c r="U311" s="11"/>
      <c r="V311" s="11"/>
      <c r="W311" s="47" t="s">
        <v>47</v>
      </c>
      <c r="X311" s="47" t="s">
        <v>612</v>
      </c>
      <c r="Y311" s="47" t="str">
        <f t="shared" ref="Y311" si="177">B311</f>
        <v>土地亲信</v>
      </c>
      <c r="Z311" s="11"/>
      <c r="AA311" s="11"/>
      <c r="AB311" s="11" t="s">
        <v>611</v>
      </c>
      <c r="AC311" s="11">
        <v>2217</v>
      </c>
      <c r="AD311" s="11">
        <v>2218</v>
      </c>
      <c r="AE311" s="11">
        <v>2219</v>
      </c>
      <c r="AF311" s="11">
        <v>2220</v>
      </c>
      <c r="AG311" s="11"/>
      <c r="AH311" s="47" t="s">
        <v>52</v>
      </c>
      <c r="AI311" s="11" t="s">
        <v>47</v>
      </c>
      <c r="AJ311" s="11" t="s">
        <v>203</v>
      </c>
      <c r="AK311" s="11" t="s">
        <v>204</v>
      </c>
      <c r="AL311" s="11" t="s">
        <v>205</v>
      </c>
      <c r="AM311" s="11" t="s">
        <v>206</v>
      </c>
      <c r="AN311" s="47" t="s">
        <v>47</v>
      </c>
      <c r="AO311" s="11"/>
      <c r="AP311" s="11" t="s">
        <v>53</v>
      </c>
      <c r="AQ311" s="2">
        <v>0</v>
      </c>
    </row>
    <row r="312" s="3" customFormat="1" ht="12.75" spans="1:43">
      <c r="A312" s="12">
        <v>167401</v>
      </c>
      <c r="B312" s="12" t="s">
        <v>226</v>
      </c>
      <c r="C312" s="12"/>
      <c r="D312" s="12"/>
      <c r="E312" s="12"/>
      <c r="F312" s="12">
        <v>0</v>
      </c>
      <c r="G312" s="12" t="s">
        <v>47</v>
      </c>
      <c r="H312" s="12">
        <v>1.25</v>
      </c>
      <c r="I312" s="12" t="s">
        <v>45</v>
      </c>
      <c r="J312" s="12">
        <v>0</v>
      </c>
      <c r="K312" s="12" t="s">
        <v>46</v>
      </c>
      <c r="L312" s="47" t="s">
        <v>47</v>
      </c>
      <c r="M312" s="50">
        <v>1020113</v>
      </c>
      <c r="N312" s="12">
        <v>0</v>
      </c>
      <c r="O312" s="47" t="s">
        <v>48</v>
      </c>
      <c r="P312" s="12">
        <v>1674</v>
      </c>
      <c r="Q312" s="12">
        <v>602</v>
      </c>
      <c r="R312" s="12">
        <v>354</v>
      </c>
      <c r="S312" s="12">
        <f t="shared" si="174"/>
        <v>37</v>
      </c>
      <c r="T312" s="12">
        <f t="shared" si="170"/>
        <v>22</v>
      </c>
      <c r="U312" s="12"/>
      <c r="V312" s="12"/>
      <c r="W312" s="47" t="s">
        <v>47</v>
      </c>
      <c r="X312" s="47" t="s">
        <v>613</v>
      </c>
      <c r="Y312" s="47" t="str">
        <f t="shared" ref="Y312" si="178">B312</f>
        <v>小白龙</v>
      </c>
      <c r="Z312" s="12"/>
      <c r="AA312" s="12"/>
      <c r="AB312" s="12" t="s">
        <v>614</v>
      </c>
      <c r="AC312" s="12">
        <v>2220</v>
      </c>
      <c r="AD312" s="12">
        <v>2128</v>
      </c>
      <c r="AE312" s="12">
        <v>2220</v>
      </c>
      <c r="AF312" s="12">
        <v>2128</v>
      </c>
      <c r="AG312" s="12"/>
      <c r="AH312" s="47" t="s">
        <v>52</v>
      </c>
      <c r="AI312" s="12" t="s">
        <v>47</v>
      </c>
      <c r="AJ312" s="12"/>
      <c r="AK312" s="12"/>
      <c r="AL312" s="12"/>
      <c r="AM312" s="12"/>
      <c r="AN312" s="47" t="s">
        <v>47</v>
      </c>
      <c r="AO312" s="12"/>
      <c r="AP312" s="12" t="s">
        <v>53</v>
      </c>
      <c r="AQ312" s="2">
        <v>0</v>
      </c>
    </row>
    <row r="313" s="2" customFormat="1" ht="12" spans="1:43">
      <c r="A313" s="11">
        <v>167402</v>
      </c>
      <c r="B313" s="11" t="s">
        <v>615</v>
      </c>
      <c r="C313" s="11"/>
      <c r="D313" s="11"/>
      <c r="E313" s="11"/>
      <c r="F313" s="11">
        <v>0</v>
      </c>
      <c r="G313" s="11" t="s">
        <v>47</v>
      </c>
      <c r="H313" s="11" t="s">
        <v>45</v>
      </c>
      <c r="I313" s="11" t="s">
        <v>45</v>
      </c>
      <c r="J313" s="12">
        <v>0</v>
      </c>
      <c r="K313" s="11" t="s">
        <v>46</v>
      </c>
      <c r="L313" s="47" t="s">
        <v>47</v>
      </c>
      <c r="M313" s="11">
        <v>1030010</v>
      </c>
      <c r="N313" s="11">
        <v>0</v>
      </c>
      <c r="O313" s="47" t="s">
        <v>48</v>
      </c>
      <c r="P313" s="11">
        <v>1674</v>
      </c>
      <c r="Q313" s="11"/>
      <c r="R313" s="11"/>
      <c r="S313" s="11">
        <v>29</v>
      </c>
      <c r="T313" s="11">
        <v>43</v>
      </c>
      <c r="U313" s="11"/>
      <c r="V313" s="11"/>
      <c r="W313" s="47" t="s">
        <v>47</v>
      </c>
      <c r="X313" s="47" t="s">
        <v>616</v>
      </c>
      <c r="Y313" s="47" t="str">
        <f t="shared" ref="Y313" si="179">B313</f>
        <v>亨利</v>
      </c>
      <c r="Z313" s="11"/>
      <c r="AA313" s="11"/>
      <c r="AB313" s="11" t="s">
        <v>615</v>
      </c>
      <c r="AC313" s="11">
        <v>2217</v>
      </c>
      <c r="AD313" s="11">
        <v>2218</v>
      </c>
      <c r="AE313" s="11">
        <v>2219</v>
      </c>
      <c r="AF313" s="11">
        <v>2220</v>
      </c>
      <c r="AG313" s="11"/>
      <c r="AH313" s="47" t="s">
        <v>52</v>
      </c>
      <c r="AI313" s="11" t="s">
        <v>47</v>
      </c>
      <c r="AJ313" s="11" t="s">
        <v>223</v>
      </c>
      <c r="AK313" s="11"/>
      <c r="AL313" s="11" t="s">
        <v>237</v>
      </c>
      <c r="AM313" s="11" t="s">
        <v>238</v>
      </c>
      <c r="AN313" s="47" t="s">
        <v>47</v>
      </c>
      <c r="AO313" s="11"/>
      <c r="AP313" s="11" t="s">
        <v>53</v>
      </c>
      <c r="AQ313" s="2">
        <v>0</v>
      </c>
    </row>
    <row r="314" s="3" customFormat="1" ht="12" spans="1:43">
      <c r="A314" s="12">
        <v>167403</v>
      </c>
      <c r="B314" s="12" t="s">
        <v>617</v>
      </c>
      <c r="C314" s="12"/>
      <c r="D314" s="12"/>
      <c r="E314" s="12"/>
      <c r="F314" s="12">
        <v>0</v>
      </c>
      <c r="G314" s="12" t="s">
        <v>47</v>
      </c>
      <c r="H314" s="12" t="s">
        <v>45</v>
      </c>
      <c r="I314" s="12" t="s">
        <v>45</v>
      </c>
      <c r="J314" s="12">
        <v>0</v>
      </c>
      <c r="K314" s="12" t="s">
        <v>46</v>
      </c>
      <c r="L314" s="47" t="s">
        <v>47</v>
      </c>
      <c r="M314" s="12">
        <v>1030010</v>
      </c>
      <c r="N314" s="12">
        <v>0</v>
      </c>
      <c r="O314" s="47" t="s">
        <v>48</v>
      </c>
      <c r="P314" s="12">
        <v>1674</v>
      </c>
      <c r="Q314" s="12"/>
      <c r="R314" s="12"/>
      <c r="S314" s="12">
        <v>75</v>
      </c>
      <c r="T314" s="12">
        <v>37</v>
      </c>
      <c r="U314" s="12"/>
      <c r="V314" s="12"/>
      <c r="W314" s="47" t="s">
        <v>47</v>
      </c>
      <c r="X314" s="47" t="s">
        <v>618</v>
      </c>
      <c r="Y314" s="47" t="str">
        <f t="shared" ref="Y314" si="180">B314</f>
        <v>查尔斯</v>
      </c>
      <c r="Z314" s="12"/>
      <c r="AA314" s="12"/>
      <c r="AB314" s="12" t="s">
        <v>617</v>
      </c>
      <c r="AC314" s="12">
        <v>2217</v>
      </c>
      <c r="AD314" s="12">
        <v>2218</v>
      </c>
      <c r="AE314" s="12">
        <v>2219</v>
      </c>
      <c r="AF314" s="12">
        <v>2220</v>
      </c>
      <c r="AG314" s="12"/>
      <c r="AH314" s="47" t="s">
        <v>52</v>
      </c>
      <c r="AI314" s="12" t="s">
        <v>47</v>
      </c>
      <c r="AJ314" s="12" t="s">
        <v>223</v>
      </c>
      <c r="AK314" s="12"/>
      <c r="AL314" s="12" t="s">
        <v>237</v>
      </c>
      <c r="AM314" s="12" t="s">
        <v>238</v>
      </c>
      <c r="AN314" s="47" t="s">
        <v>47</v>
      </c>
      <c r="AO314" s="12"/>
      <c r="AP314" s="12" t="s">
        <v>53</v>
      </c>
      <c r="AQ314" s="2">
        <v>0</v>
      </c>
    </row>
    <row r="315" s="2" customFormat="1" ht="12" spans="1:43">
      <c r="A315" s="11">
        <v>167404</v>
      </c>
      <c r="B315" s="11" t="s">
        <v>277</v>
      </c>
      <c r="C315" s="11"/>
      <c r="D315" s="11"/>
      <c r="E315" s="11"/>
      <c r="F315" s="11">
        <v>0</v>
      </c>
      <c r="G315" s="11" t="s">
        <v>47</v>
      </c>
      <c r="H315" s="11" t="s">
        <v>45</v>
      </c>
      <c r="I315" s="11" t="s">
        <v>45</v>
      </c>
      <c r="J315" s="12">
        <v>0</v>
      </c>
      <c r="K315" s="11" t="s">
        <v>46</v>
      </c>
      <c r="L315" s="47" t="s">
        <v>47</v>
      </c>
      <c r="M315" s="11">
        <v>1020101</v>
      </c>
      <c r="N315" s="11">
        <v>0</v>
      </c>
      <c r="O315" s="47" t="s">
        <v>48</v>
      </c>
      <c r="P315" s="11">
        <v>1674</v>
      </c>
      <c r="Q315" s="11"/>
      <c r="R315" s="11"/>
      <c r="S315" s="11">
        <v>68</v>
      </c>
      <c r="T315" s="11">
        <v>42</v>
      </c>
      <c r="U315" s="11"/>
      <c r="V315" s="11"/>
      <c r="W315" s="47" t="s">
        <v>47</v>
      </c>
      <c r="X315" s="47" t="s">
        <v>227</v>
      </c>
      <c r="Y315" s="47" t="str">
        <f t="shared" ref="Y315:Y320" si="181">B315</f>
        <v>林老汉</v>
      </c>
      <c r="Z315" s="11"/>
      <c r="AA315" s="11"/>
      <c r="AB315" s="11" t="s">
        <v>327</v>
      </c>
      <c r="AC315" s="11">
        <v>2040</v>
      </c>
      <c r="AD315" s="11">
        <v>2041</v>
      </c>
      <c r="AE315" s="11">
        <v>2042</v>
      </c>
      <c r="AF315" s="11">
        <v>2043</v>
      </c>
      <c r="AG315" s="11"/>
      <c r="AH315" s="47" t="s">
        <v>52</v>
      </c>
      <c r="AI315" s="11" t="s">
        <v>47</v>
      </c>
      <c r="AJ315" s="11" t="s">
        <v>90</v>
      </c>
      <c r="AK315" s="11" t="s">
        <v>228</v>
      </c>
      <c r="AL315" s="11" t="s">
        <v>91</v>
      </c>
      <c r="AM315" s="11" t="s">
        <v>93</v>
      </c>
      <c r="AN315" s="47" t="s">
        <v>47</v>
      </c>
      <c r="AO315" s="11"/>
      <c r="AP315" s="11" t="s">
        <v>53</v>
      </c>
      <c r="AQ315" s="2">
        <v>0</v>
      </c>
    </row>
    <row r="316" s="3" customFormat="1" ht="12.75" spans="1:43">
      <c r="A316" s="12">
        <v>167405</v>
      </c>
      <c r="B316" s="12" t="s">
        <v>226</v>
      </c>
      <c r="C316" s="12"/>
      <c r="D316" s="12"/>
      <c r="E316" s="12"/>
      <c r="F316" s="12">
        <v>0</v>
      </c>
      <c r="G316" s="12" t="s">
        <v>47</v>
      </c>
      <c r="H316" s="12" t="s">
        <v>45</v>
      </c>
      <c r="I316" s="12" t="s">
        <v>45</v>
      </c>
      <c r="J316" s="12">
        <v>0</v>
      </c>
      <c r="K316" s="12" t="s">
        <v>46</v>
      </c>
      <c r="L316" s="47" t="s">
        <v>47</v>
      </c>
      <c r="M316" s="50">
        <v>1020113</v>
      </c>
      <c r="N316" s="12">
        <v>0</v>
      </c>
      <c r="O316" s="47" t="s">
        <v>48</v>
      </c>
      <c r="P316" s="12">
        <v>1674</v>
      </c>
      <c r="Q316" s="12"/>
      <c r="R316" s="12"/>
      <c r="S316" s="12">
        <v>64</v>
      </c>
      <c r="T316" s="12">
        <v>38</v>
      </c>
      <c r="U316" s="12"/>
      <c r="V316" s="12"/>
      <c r="W316" s="47" t="s">
        <v>47</v>
      </c>
      <c r="X316" s="47" t="s">
        <v>276</v>
      </c>
      <c r="Y316" s="47" t="str">
        <f t="shared" si="181"/>
        <v>小白龙</v>
      </c>
      <c r="Z316" s="12"/>
      <c r="AA316" s="12"/>
      <c r="AB316" s="12" t="s">
        <v>226</v>
      </c>
      <c r="AC316" s="12">
        <v>2044</v>
      </c>
      <c r="AD316" s="12">
        <v>2045</v>
      </c>
      <c r="AE316" s="11">
        <v>2046</v>
      </c>
      <c r="AF316" s="11">
        <v>2456</v>
      </c>
      <c r="AG316" s="12"/>
      <c r="AH316" s="47" t="s">
        <v>52</v>
      </c>
      <c r="AI316" s="12" t="s">
        <v>47</v>
      </c>
      <c r="AJ316" s="12" t="s">
        <v>166</v>
      </c>
      <c r="AK316" s="12" t="s">
        <v>167</v>
      </c>
      <c r="AL316" s="12" t="s">
        <v>168</v>
      </c>
      <c r="AM316" s="12" t="s">
        <v>169</v>
      </c>
      <c r="AN316" s="47" t="s">
        <v>47</v>
      </c>
      <c r="AO316" s="12"/>
      <c r="AP316" s="12" t="s">
        <v>53</v>
      </c>
      <c r="AQ316" s="2">
        <v>0</v>
      </c>
    </row>
    <row r="317" s="2" customFormat="1" ht="12" spans="1:43">
      <c r="A317" s="11">
        <v>167501</v>
      </c>
      <c r="B317" s="11" t="s">
        <v>619</v>
      </c>
      <c r="C317" s="11"/>
      <c r="D317" s="11"/>
      <c r="E317" s="11"/>
      <c r="F317" s="11">
        <v>0</v>
      </c>
      <c r="G317" s="11" t="s">
        <v>47</v>
      </c>
      <c r="H317" s="11" t="s">
        <v>45</v>
      </c>
      <c r="I317" s="11" t="s">
        <v>45</v>
      </c>
      <c r="J317" s="12">
        <v>0</v>
      </c>
      <c r="K317" s="11" t="s">
        <v>46</v>
      </c>
      <c r="L317" s="47" t="s">
        <v>47</v>
      </c>
      <c r="M317" s="11">
        <v>1010148</v>
      </c>
      <c r="N317" s="11">
        <v>0</v>
      </c>
      <c r="O317" s="47" t="s">
        <v>48</v>
      </c>
      <c r="P317" s="11">
        <v>1675</v>
      </c>
      <c r="Q317" s="11"/>
      <c r="R317" s="11"/>
      <c r="S317" s="11">
        <v>79</v>
      </c>
      <c r="T317" s="11">
        <v>29</v>
      </c>
      <c r="U317" s="11"/>
      <c r="V317" s="11"/>
      <c r="W317" s="47" t="s">
        <v>47</v>
      </c>
      <c r="X317" s="47"/>
      <c r="Y317" s="47" t="str">
        <f t="shared" si="181"/>
        <v>大法官</v>
      </c>
      <c r="Z317" s="11"/>
      <c r="AA317" s="11"/>
      <c r="AB317" s="11" t="s">
        <v>619</v>
      </c>
      <c r="AC317" s="11">
        <v>2217</v>
      </c>
      <c r="AD317" s="11">
        <v>2218</v>
      </c>
      <c r="AE317" s="11">
        <v>2219</v>
      </c>
      <c r="AF317" s="11">
        <v>2220</v>
      </c>
      <c r="AG317" s="11"/>
      <c r="AH317" s="47" t="s">
        <v>52</v>
      </c>
      <c r="AI317" s="11" t="s">
        <v>47</v>
      </c>
      <c r="AJ317" s="11" t="s">
        <v>223</v>
      </c>
      <c r="AK317" s="11"/>
      <c r="AL317" s="11" t="s">
        <v>237</v>
      </c>
      <c r="AM317" s="11" t="s">
        <v>238</v>
      </c>
      <c r="AN317" s="47" t="s">
        <v>47</v>
      </c>
      <c r="AO317" s="11"/>
      <c r="AP317" s="11" t="s">
        <v>53</v>
      </c>
      <c r="AQ317" s="2">
        <v>0</v>
      </c>
    </row>
    <row r="318" s="3" customFormat="1" ht="12.75" spans="1:43">
      <c r="A318" s="12">
        <v>167502</v>
      </c>
      <c r="B318" s="12" t="s">
        <v>235</v>
      </c>
      <c r="C318" s="12"/>
      <c r="D318" s="12"/>
      <c r="E318" s="12"/>
      <c r="F318" s="12">
        <v>0</v>
      </c>
      <c r="G318" s="12" t="s">
        <v>47</v>
      </c>
      <c r="H318" s="12" t="s">
        <v>45</v>
      </c>
      <c r="I318" s="12" t="s">
        <v>45</v>
      </c>
      <c r="J318" s="12">
        <v>0</v>
      </c>
      <c r="K318" s="12" t="s">
        <v>46</v>
      </c>
      <c r="L318" s="47" t="s">
        <v>47</v>
      </c>
      <c r="M318" s="50">
        <v>1020106</v>
      </c>
      <c r="N318" s="12">
        <v>0</v>
      </c>
      <c r="O318" s="47" t="s">
        <v>48</v>
      </c>
      <c r="P318" s="12">
        <v>1675</v>
      </c>
      <c r="Q318" s="12"/>
      <c r="R318" s="12"/>
      <c r="S318" s="12">
        <v>57</v>
      </c>
      <c r="T318" s="12">
        <v>45</v>
      </c>
      <c r="U318" s="12"/>
      <c r="V318" s="12"/>
      <c r="W318" s="47" t="s">
        <v>47</v>
      </c>
      <c r="X318" s="47"/>
      <c r="Y318" s="47" t="str">
        <f t="shared" si="181"/>
        <v>猴王</v>
      </c>
      <c r="Z318" s="12" t="s">
        <v>407</v>
      </c>
      <c r="AA318" s="12"/>
      <c r="AB318" s="12" t="s">
        <v>235</v>
      </c>
      <c r="AC318" s="12">
        <v>2249</v>
      </c>
      <c r="AD318" s="12">
        <v>2250</v>
      </c>
      <c r="AE318" s="12">
        <v>2252</v>
      </c>
      <c r="AF318" s="12">
        <v>2250</v>
      </c>
      <c r="AG318" s="12"/>
      <c r="AH318" s="47" t="s">
        <v>52</v>
      </c>
      <c r="AI318" s="12">
        <v>0</v>
      </c>
      <c r="AJ318" s="12" t="s">
        <v>223</v>
      </c>
      <c r="AK318" s="12"/>
      <c r="AL318" s="12" t="s">
        <v>237</v>
      </c>
      <c r="AM318" s="12" t="s">
        <v>238</v>
      </c>
      <c r="AN318" s="47" t="s">
        <v>47</v>
      </c>
      <c r="AO318" s="12"/>
      <c r="AP318" s="12" t="s">
        <v>53</v>
      </c>
      <c r="AQ318" s="2">
        <v>0</v>
      </c>
    </row>
    <row r="319" s="7" customFormat="1" ht="12" spans="1:43">
      <c r="A319" s="44">
        <v>167503</v>
      </c>
      <c r="B319" s="44" t="s">
        <v>407</v>
      </c>
      <c r="C319" s="44"/>
      <c r="D319" s="44"/>
      <c r="E319" s="44"/>
      <c r="F319" s="44">
        <v>0</v>
      </c>
      <c r="G319" s="44" t="s">
        <v>47</v>
      </c>
      <c r="H319" s="44" t="s">
        <v>45</v>
      </c>
      <c r="I319" s="44" t="s">
        <v>45</v>
      </c>
      <c r="J319" s="12">
        <v>0</v>
      </c>
      <c r="K319" s="44" t="s">
        <v>46</v>
      </c>
      <c r="L319" s="47" t="s">
        <v>47</v>
      </c>
      <c r="M319" s="44">
        <v>1010132</v>
      </c>
      <c r="N319" s="44" t="s">
        <v>47</v>
      </c>
      <c r="O319" s="47" t="s">
        <v>48</v>
      </c>
      <c r="P319" s="44">
        <v>1675</v>
      </c>
      <c r="Q319" s="44"/>
      <c r="R319" s="44"/>
      <c r="S319" s="44">
        <v>54</v>
      </c>
      <c r="T319" s="44">
        <v>30</v>
      </c>
      <c r="U319" s="44"/>
      <c r="V319" s="44"/>
      <c r="W319" s="47" t="s">
        <v>47</v>
      </c>
      <c r="X319" s="47"/>
      <c r="Y319" s="47" t="str">
        <f t="shared" si="181"/>
        <v>陪审员</v>
      </c>
      <c r="Z319" s="44" t="s">
        <v>407</v>
      </c>
      <c r="AA319" s="44"/>
      <c r="AB319" s="44" t="s">
        <v>429</v>
      </c>
      <c r="AC319" s="44">
        <v>2131</v>
      </c>
      <c r="AD319" s="44">
        <v>2132</v>
      </c>
      <c r="AE319" s="44">
        <v>2133</v>
      </c>
      <c r="AF319" s="44">
        <v>2133</v>
      </c>
      <c r="AG319" s="44"/>
      <c r="AH319" s="47" t="s">
        <v>52</v>
      </c>
      <c r="AI319" s="44">
        <v>1</v>
      </c>
      <c r="AJ319" s="44" t="s">
        <v>203</v>
      </c>
      <c r="AK319" s="44" t="s">
        <v>204</v>
      </c>
      <c r="AL319" s="44" t="s">
        <v>205</v>
      </c>
      <c r="AM319" s="44" t="s">
        <v>206</v>
      </c>
      <c r="AN319" s="47" t="s">
        <v>47</v>
      </c>
      <c r="AO319" s="44"/>
      <c r="AP319" s="44" t="s">
        <v>53</v>
      </c>
      <c r="AQ319" s="2">
        <v>0</v>
      </c>
    </row>
    <row r="320" s="7" customFormat="1" ht="12" spans="1:43">
      <c r="A320" s="44">
        <v>167504</v>
      </c>
      <c r="B320" s="44" t="s">
        <v>345</v>
      </c>
      <c r="C320" s="44"/>
      <c r="D320" s="44"/>
      <c r="E320" s="44"/>
      <c r="F320" s="44">
        <v>0</v>
      </c>
      <c r="G320" s="44" t="s">
        <v>47</v>
      </c>
      <c r="H320" s="44" t="s">
        <v>45</v>
      </c>
      <c r="I320" s="44" t="s">
        <v>45</v>
      </c>
      <c r="J320" s="12">
        <v>0</v>
      </c>
      <c r="K320" s="44" t="s">
        <v>46</v>
      </c>
      <c r="L320" s="47" t="s">
        <v>47</v>
      </c>
      <c r="M320" s="44">
        <v>1010131</v>
      </c>
      <c r="N320" s="44">
        <v>0</v>
      </c>
      <c r="O320" s="47" t="s">
        <v>48</v>
      </c>
      <c r="P320" s="44">
        <v>1675</v>
      </c>
      <c r="Q320" s="44"/>
      <c r="R320" s="44"/>
      <c r="S320" s="44">
        <v>50</v>
      </c>
      <c r="T320" s="44">
        <v>45</v>
      </c>
      <c r="U320" s="44">
        <v>1</v>
      </c>
      <c r="V320" s="44"/>
      <c r="W320" s="47" t="s">
        <v>47</v>
      </c>
      <c r="X320" s="47"/>
      <c r="Y320" s="47" t="str">
        <f t="shared" si="181"/>
        <v>元帅</v>
      </c>
      <c r="Z320" s="44" t="s">
        <v>407</v>
      </c>
      <c r="AA320" s="44"/>
      <c r="AB320" s="44" t="s">
        <v>345</v>
      </c>
      <c r="AC320" s="44">
        <v>2217</v>
      </c>
      <c r="AD320" s="44">
        <v>2218</v>
      </c>
      <c r="AE320" s="44">
        <v>2220</v>
      </c>
      <c r="AG320" s="44"/>
      <c r="AH320" s="47" t="s">
        <v>52</v>
      </c>
      <c r="AI320" s="44">
        <v>0</v>
      </c>
      <c r="AJ320" s="44" t="s">
        <v>223</v>
      </c>
      <c r="AK320" s="44"/>
      <c r="AL320" s="44" t="s">
        <v>237</v>
      </c>
      <c r="AM320" s="44" t="s">
        <v>238</v>
      </c>
      <c r="AN320" s="47" t="s">
        <v>47</v>
      </c>
      <c r="AO320" s="44"/>
      <c r="AP320" s="44" t="s">
        <v>53</v>
      </c>
      <c r="AQ320" s="2">
        <v>0</v>
      </c>
    </row>
    <row r="321" s="7" customFormat="1" ht="12" spans="1:43">
      <c r="A321" s="44">
        <v>167505</v>
      </c>
      <c r="B321" s="44" t="s">
        <v>407</v>
      </c>
      <c r="C321" s="44"/>
      <c r="D321" s="44"/>
      <c r="E321" s="44"/>
      <c r="F321" s="44">
        <v>0</v>
      </c>
      <c r="G321" s="44" t="s">
        <v>47</v>
      </c>
      <c r="H321" s="44" t="s">
        <v>45</v>
      </c>
      <c r="I321" s="44" t="s">
        <v>45</v>
      </c>
      <c r="J321" s="12">
        <v>0</v>
      </c>
      <c r="K321" s="44" t="s">
        <v>46</v>
      </c>
      <c r="L321" s="47" t="s">
        <v>47</v>
      </c>
      <c r="M321" s="44" t="s">
        <v>296</v>
      </c>
      <c r="N321" s="44" t="s">
        <v>47</v>
      </c>
      <c r="O321" s="47" t="s">
        <v>48</v>
      </c>
      <c r="P321" s="44">
        <v>1675</v>
      </c>
      <c r="Q321" s="44"/>
      <c r="R321" s="44"/>
      <c r="S321" s="44">
        <v>55</v>
      </c>
      <c r="T321" s="44">
        <v>48</v>
      </c>
      <c r="U321" s="44"/>
      <c r="V321" s="44"/>
      <c r="W321" s="47" t="s">
        <v>47</v>
      </c>
      <c r="X321" s="47"/>
      <c r="Y321" s="47" t="str">
        <f t="shared" ref="Y321" si="182">B321</f>
        <v>陪审员</v>
      </c>
      <c r="Z321" s="44" t="s">
        <v>407</v>
      </c>
      <c r="AA321" s="44"/>
      <c r="AB321" s="44" t="s">
        <v>407</v>
      </c>
      <c r="AC321" s="44">
        <v>2022</v>
      </c>
      <c r="AD321" s="44">
        <v>2031</v>
      </c>
      <c r="AE321" s="44">
        <v>2035</v>
      </c>
      <c r="AF321" s="44">
        <v>2217</v>
      </c>
      <c r="AG321" s="44"/>
      <c r="AH321" s="47" t="s">
        <v>52</v>
      </c>
      <c r="AI321" s="44">
        <v>0</v>
      </c>
      <c r="AJ321" s="44" t="s">
        <v>223</v>
      </c>
      <c r="AK321" s="44"/>
      <c r="AL321" s="44" t="s">
        <v>237</v>
      </c>
      <c r="AM321" s="44" t="s">
        <v>238</v>
      </c>
      <c r="AN321" s="47" t="s">
        <v>47</v>
      </c>
      <c r="AO321" s="44"/>
      <c r="AP321" s="44" t="s">
        <v>53</v>
      </c>
      <c r="AQ321" s="2">
        <v>0</v>
      </c>
    </row>
    <row r="322" s="7" customFormat="1" ht="12" spans="1:43">
      <c r="A322" s="44">
        <v>167506</v>
      </c>
      <c r="B322" s="44" t="s">
        <v>407</v>
      </c>
      <c r="C322" s="44"/>
      <c r="D322" s="44"/>
      <c r="E322" s="44"/>
      <c r="F322" s="44">
        <v>0</v>
      </c>
      <c r="G322" s="44" t="s">
        <v>47</v>
      </c>
      <c r="H322" s="44" t="s">
        <v>45</v>
      </c>
      <c r="I322" s="44" t="s">
        <v>45</v>
      </c>
      <c r="J322" s="12">
        <v>0</v>
      </c>
      <c r="K322" s="44" t="s">
        <v>46</v>
      </c>
      <c r="L322" s="47" t="s">
        <v>47</v>
      </c>
      <c r="M322" s="44" t="s">
        <v>409</v>
      </c>
      <c r="N322" s="44">
        <v>0</v>
      </c>
      <c r="O322" s="47" t="s">
        <v>48</v>
      </c>
      <c r="P322" s="44">
        <v>1675</v>
      </c>
      <c r="Q322" s="44"/>
      <c r="R322" s="44"/>
      <c r="S322" s="44">
        <v>55</v>
      </c>
      <c r="T322" s="44">
        <v>48</v>
      </c>
      <c r="U322" s="44">
        <v>0</v>
      </c>
      <c r="V322" s="44"/>
      <c r="W322" s="47" t="s">
        <v>47</v>
      </c>
      <c r="X322" s="47"/>
      <c r="Y322" s="47" t="str">
        <f t="shared" ref="Y322" si="183">B322</f>
        <v>陪审员</v>
      </c>
      <c r="Z322" s="44" t="s">
        <v>407</v>
      </c>
      <c r="AA322" s="44"/>
      <c r="AB322" s="44" t="s">
        <v>407</v>
      </c>
      <c r="AC322" s="44">
        <v>2022</v>
      </c>
      <c r="AD322" s="44">
        <v>2031</v>
      </c>
      <c r="AE322" s="44">
        <v>2035</v>
      </c>
      <c r="AF322" s="44">
        <v>2217</v>
      </c>
      <c r="AG322" s="44"/>
      <c r="AH322" s="47" t="s">
        <v>52</v>
      </c>
      <c r="AI322" s="44">
        <v>0</v>
      </c>
      <c r="AJ322" s="44" t="s">
        <v>223</v>
      </c>
      <c r="AK322" s="44"/>
      <c r="AL322" s="44" t="s">
        <v>237</v>
      </c>
      <c r="AM322" s="44" t="s">
        <v>238</v>
      </c>
      <c r="AN322" s="47" t="s">
        <v>47</v>
      </c>
      <c r="AO322" s="44"/>
      <c r="AP322" s="44" t="s">
        <v>53</v>
      </c>
      <c r="AQ322" s="2">
        <v>0</v>
      </c>
    </row>
    <row r="323" s="7" customFormat="1" ht="12" spans="1:43">
      <c r="A323" s="44">
        <v>167507</v>
      </c>
      <c r="B323" s="44" t="s">
        <v>407</v>
      </c>
      <c r="C323" s="44"/>
      <c r="D323" s="44"/>
      <c r="E323" s="44"/>
      <c r="F323" s="44">
        <v>0</v>
      </c>
      <c r="G323" s="44" t="s">
        <v>47</v>
      </c>
      <c r="H323" s="44" t="s">
        <v>45</v>
      </c>
      <c r="I323" s="44" t="s">
        <v>45</v>
      </c>
      <c r="J323" s="12">
        <v>0</v>
      </c>
      <c r="K323" s="44" t="s">
        <v>46</v>
      </c>
      <c r="L323" s="47" t="s">
        <v>47</v>
      </c>
      <c r="M323" s="44" t="s">
        <v>410</v>
      </c>
      <c r="N323" s="44">
        <v>0</v>
      </c>
      <c r="O323" s="47" t="s">
        <v>48</v>
      </c>
      <c r="P323" s="44">
        <v>1675</v>
      </c>
      <c r="Q323" s="44"/>
      <c r="R323" s="44"/>
      <c r="S323" s="44">
        <v>55</v>
      </c>
      <c r="T323" s="44">
        <v>48</v>
      </c>
      <c r="U323" s="44">
        <v>1</v>
      </c>
      <c r="V323" s="44"/>
      <c r="W323" s="47" t="s">
        <v>47</v>
      </c>
      <c r="X323" s="47"/>
      <c r="Y323" s="47" t="str">
        <f t="shared" ref="Y323" si="184">B323</f>
        <v>陪审员</v>
      </c>
      <c r="Z323" s="44" t="s">
        <v>407</v>
      </c>
      <c r="AA323" s="44"/>
      <c r="AB323" s="44" t="s">
        <v>407</v>
      </c>
      <c r="AC323" s="44">
        <v>2022</v>
      </c>
      <c r="AD323" s="44">
        <v>2031</v>
      </c>
      <c r="AE323" s="44">
        <v>2035</v>
      </c>
      <c r="AF323" s="44">
        <v>2217</v>
      </c>
      <c r="AG323" s="44"/>
      <c r="AH323" s="47" t="s">
        <v>52</v>
      </c>
      <c r="AI323" s="44">
        <v>0</v>
      </c>
      <c r="AJ323" s="44" t="s">
        <v>203</v>
      </c>
      <c r="AK323" s="44" t="s">
        <v>204</v>
      </c>
      <c r="AL323" s="44" t="s">
        <v>205</v>
      </c>
      <c r="AM323" s="44" t="s">
        <v>206</v>
      </c>
      <c r="AN323" s="47" t="s">
        <v>47</v>
      </c>
      <c r="AO323" s="44"/>
      <c r="AP323" s="44" t="s">
        <v>53</v>
      </c>
      <c r="AQ323" s="2">
        <v>0</v>
      </c>
    </row>
    <row r="324" s="3" customFormat="1" ht="12" spans="1:43">
      <c r="A324" s="12">
        <v>167508</v>
      </c>
      <c r="B324" s="12" t="s">
        <v>407</v>
      </c>
      <c r="C324" s="12"/>
      <c r="D324" s="12"/>
      <c r="E324" s="12"/>
      <c r="F324" s="12">
        <v>0</v>
      </c>
      <c r="G324" s="12" t="s">
        <v>47</v>
      </c>
      <c r="H324" s="12" t="s">
        <v>45</v>
      </c>
      <c r="I324" s="12" t="s">
        <v>45</v>
      </c>
      <c r="J324" s="12">
        <v>0</v>
      </c>
      <c r="K324" s="12" t="s">
        <v>46</v>
      </c>
      <c r="L324" s="47" t="s">
        <v>47</v>
      </c>
      <c r="M324" s="12" t="s">
        <v>411</v>
      </c>
      <c r="N324" s="12">
        <v>0</v>
      </c>
      <c r="O324" s="47" t="s">
        <v>48</v>
      </c>
      <c r="P324" s="12">
        <v>1675</v>
      </c>
      <c r="Q324" s="12"/>
      <c r="R324" s="12"/>
      <c r="S324" s="12">
        <v>55</v>
      </c>
      <c r="T324" s="12">
        <v>48</v>
      </c>
      <c r="U324" s="12">
        <v>2</v>
      </c>
      <c r="V324" s="12"/>
      <c r="W324" s="47" t="s">
        <v>47</v>
      </c>
      <c r="X324" s="47"/>
      <c r="Y324" s="47" t="str">
        <f t="shared" ref="Y324:Y325" si="185">B324</f>
        <v>陪审员</v>
      </c>
      <c r="Z324" s="12" t="s">
        <v>407</v>
      </c>
      <c r="AA324" s="12"/>
      <c r="AB324" s="12" t="s">
        <v>407</v>
      </c>
      <c r="AC324" s="12">
        <v>2022</v>
      </c>
      <c r="AD324" s="12">
        <v>2031</v>
      </c>
      <c r="AE324" s="12">
        <v>2035</v>
      </c>
      <c r="AF324" s="12">
        <v>2217</v>
      </c>
      <c r="AG324" s="12"/>
      <c r="AH324" s="47" t="s">
        <v>52</v>
      </c>
      <c r="AI324" s="12">
        <v>0</v>
      </c>
      <c r="AJ324" s="12" t="s">
        <v>223</v>
      </c>
      <c r="AK324" s="12"/>
      <c r="AL324" s="12" t="s">
        <v>237</v>
      </c>
      <c r="AM324" s="12" t="s">
        <v>238</v>
      </c>
      <c r="AN324" s="47" t="s">
        <v>47</v>
      </c>
      <c r="AO324" s="12"/>
      <c r="AP324" s="12" t="s">
        <v>53</v>
      </c>
      <c r="AQ324" s="2">
        <v>0</v>
      </c>
    </row>
    <row r="325" s="2" customFormat="1" ht="12" spans="1:43">
      <c r="A325" s="11">
        <v>167509</v>
      </c>
      <c r="B325" s="11" t="s">
        <v>620</v>
      </c>
      <c r="C325" s="11"/>
      <c r="D325" s="11"/>
      <c r="E325" s="11"/>
      <c r="F325" s="11">
        <v>0</v>
      </c>
      <c r="G325" s="11" t="s">
        <v>47</v>
      </c>
      <c r="H325" s="11" t="s">
        <v>45</v>
      </c>
      <c r="I325" s="11" t="s">
        <v>45</v>
      </c>
      <c r="J325" s="12">
        <v>0</v>
      </c>
      <c r="K325" s="11" t="s">
        <v>46</v>
      </c>
      <c r="L325" s="47" t="s">
        <v>47</v>
      </c>
      <c r="M325" s="11">
        <v>1010153</v>
      </c>
      <c r="N325" s="11">
        <v>0</v>
      </c>
      <c r="O325" s="47" t="s">
        <v>48</v>
      </c>
      <c r="P325" s="11">
        <v>1675</v>
      </c>
      <c r="Q325" s="11"/>
      <c r="R325" s="11"/>
      <c r="S325" s="11">
        <v>54</v>
      </c>
      <c r="T325" s="11">
        <v>30</v>
      </c>
      <c r="U325" s="11">
        <v>3</v>
      </c>
      <c r="V325" s="11"/>
      <c r="W325" s="47" t="s">
        <v>47</v>
      </c>
      <c r="X325" s="47"/>
      <c r="Y325" s="47" t="str">
        <f t="shared" si="185"/>
        <v>炎魔</v>
      </c>
      <c r="Z325" s="11"/>
      <c r="AA325" s="11"/>
      <c r="AB325" s="11" t="s">
        <v>620</v>
      </c>
      <c r="AC325" s="11">
        <v>2141</v>
      </c>
      <c r="AD325" s="11">
        <v>2141</v>
      </c>
      <c r="AE325" s="11">
        <v>2141</v>
      </c>
      <c r="AF325" s="11">
        <v>2141</v>
      </c>
      <c r="AG325" s="11"/>
      <c r="AH325" s="47" t="s">
        <v>52</v>
      </c>
      <c r="AI325" s="11">
        <v>1</v>
      </c>
      <c r="AJ325" s="11" t="s">
        <v>203</v>
      </c>
      <c r="AK325" s="11" t="s">
        <v>204</v>
      </c>
      <c r="AL325" s="11" t="s">
        <v>205</v>
      </c>
      <c r="AM325" s="11" t="s">
        <v>206</v>
      </c>
      <c r="AN325" s="47" t="s">
        <v>47</v>
      </c>
      <c r="AO325" s="11"/>
      <c r="AP325" s="11" t="s">
        <v>53</v>
      </c>
      <c r="AQ325" s="2">
        <v>0</v>
      </c>
    </row>
    <row r="326" s="3" customFormat="1" ht="12" spans="1:43">
      <c r="A326" s="12">
        <v>167510</v>
      </c>
      <c r="B326" s="12" t="s">
        <v>209</v>
      </c>
      <c r="C326" s="12"/>
      <c r="D326" s="12"/>
      <c r="E326" s="12"/>
      <c r="F326" s="12">
        <v>0</v>
      </c>
      <c r="G326" s="12" t="s">
        <v>47</v>
      </c>
      <c r="H326" s="12" t="s">
        <v>45</v>
      </c>
      <c r="I326" s="12" t="s">
        <v>45</v>
      </c>
      <c r="J326" s="12">
        <v>0</v>
      </c>
      <c r="K326" s="12" t="s">
        <v>46</v>
      </c>
      <c r="L326" s="47" t="s">
        <v>47</v>
      </c>
      <c r="M326" s="44">
        <v>1020131</v>
      </c>
      <c r="N326" s="12" t="s">
        <v>47</v>
      </c>
      <c r="O326" s="47" t="s">
        <v>48</v>
      </c>
      <c r="P326" s="12">
        <v>1675</v>
      </c>
      <c r="Q326" s="12"/>
      <c r="R326" s="12"/>
      <c r="S326" s="12">
        <v>72</v>
      </c>
      <c r="T326" s="12">
        <v>45</v>
      </c>
      <c r="U326" s="12">
        <v>4</v>
      </c>
      <c r="V326" s="12"/>
      <c r="W326" s="47" t="s">
        <v>47</v>
      </c>
      <c r="X326" s="47"/>
      <c r="Y326" s="47" t="str">
        <f t="shared" ref="Y326" si="186">B326</f>
        <v>袁守城</v>
      </c>
      <c r="Z326" s="12"/>
      <c r="AA326" s="12"/>
      <c r="AB326" s="12" t="s">
        <v>590</v>
      </c>
      <c r="AC326" s="12">
        <v>2166</v>
      </c>
      <c r="AD326" s="12">
        <v>2167</v>
      </c>
      <c r="AE326" s="12">
        <v>2168</v>
      </c>
      <c r="AF326" s="12">
        <v>2169</v>
      </c>
      <c r="AG326" s="12"/>
      <c r="AH326" s="47" t="s">
        <v>52</v>
      </c>
      <c r="AI326" s="12">
        <v>1</v>
      </c>
      <c r="AJ326" s="12" t="s">
        <v>211</v>
      </c>
      <c r="AK326" s="12" t="s">
        <v>212</v>
      </c>
      <c r="AL326" s="12" t="s">
        <v>213</v>
      </c>
      <c r="AM326" s="12" t="s">
        <v>214</v>
      </c>
      <c r="AN326" s="47" t="s">
        <v>47</v>
      </c>
      <c r="AO326" s="12"/>
      <c r="AP326" s="12" t="s">
        <v>53</v>
      </c>
      <c r="AQ326" s="2">
        <v>0</v>
      </c>
    </row>
    <row r="327" s="2" customFormat="1" ht="12" spans="1:43">
      <c r="A327" s="11">
        <v>167511</v>
      </c>
      <c r="B327" s="11" t="s">
        <v>621</v>
      </c>
      <c r="C327" s="11"/>
      <c r="D327" s="11"/>
      <c r="E327" s="11"/>
      <c r="F327" s="11">
        <v>0</v>
      </c>
      <c r="G327" s="11" t="s">
        <v>47</v>
      </c>
      <c r="H327" s="11" t="s">
        <v>45</v>
      </c>
      <c r="I327" s="11" t="s">
        <v>45</v>
      </c>
      <c r="J327" s="12">
        <v>0</v>
      </c>
      <c r="K327" s="11" t="s">
        <v>46</v>
      </c>
      <c r="L327" s="47" t="s">
        <v>47</v>
      </c>
      <c r="M327" s="11">
        <v>1030002</v>
      </c>
      <c r="N327" s="11">
        <v>0</v>
      </c>
      <c r="O327" s="47" t="s">
        <v>48</v>
      </c>
      <c r="P327" s="11">
        <v>1675</v>
      </c>
      <c r="Q327" s="11"/>
      <c r="R327" s="11"/>
      <c r="S327" s="11">
        <v>65</v>
      </c>
      <c r="T327" s="11">
        <v>60</v>
      </c>
      <c r="U327" s="11">
        <v>5</v>
      </c>
      <c r="V327" s="11"/>
      <c r="W327" s="47" t="s">
        <v>47</v>
      </c>
      <c r="X327" s="47"/>
      <c r="Y327" s="47" t="str">
        <f t="shared" ref="Y327" si="187">B327</f>
        <v>测试NPC</v>
      </c>
      <c r="Z327" s="11"/>
      <c r="AA327" s="11"/>
      <c r="AB327" s="11" t="s">
        <v>621</v>
      </c>
      <c r="AC327" s="11">
        <v>2044</v>
      </c>
      <c r="AD327" s="11">
        <v>2045</v>
      </c>
      <c r="AE327" s="11">
        <v>2046</v>
      </c>
      <c r="AF327" s="11" t="s">
        <v>51</v>
      </c>
      <c r="AG327" s="11"/>
      <c r="AH327" s="47" t="s">
        <v>52</v>
      </c>
      <c r="AI327" s="11" t="s">
        <v>47</v>
      </c>
      <c r="AJ327" s="11"/>
      <c r="AK327" s="11"/>
      <c r="AL327" s="11"/>
      <c r="AM327" s="11"/>
      <c r="AN327" s="47" t="s">
        <v>47</v>
      </c>
      <c r="AO327" s="11"/>
      <c r="AP327" s="11" t="s">
        <v>53</v>
      </c>
      <c r="AQ327" s="2">
        <v>0</v>
      </c>
    </row>
    <row r="328" s="3" customFormat="1" ht="12" spans="1:43">
      <c r="A328" s="12">
        <v>167512</v>
      </c>
      <c r="B328" s="12" t="s">
        <v>621</v>
      </c>
      <c r="C328" s="12"/>
      <c r="D328" s="12"/>
      <c r="E328" s="12"/>
      <c r="F328" s="12">
        <v>0</v>
      </c>
      <c r="G328" s="12" t="s">
        <v>47</v>
      </c>
      <c r="H328" s="12" t="s">
        <v>45</v>
      </c>
      <c r="I328" s="12" t="s">
        <v>45</v>
      </c>
      <c r="J328" s="12">
        <v>0</v>
      </c>
      <c r="K328" s="12" t="s">
        <v>46</v>
      </c>
      <c r="L328" s="47" t="s">
        <v>47</v>
      </c>
      <c r="M328" s="12">
        <v>1030002</v>
      </c>
      <c r="N328" s="12" t="s">
        <v>47</v>
      </c>
      <c r="O328" s="47" t="s">
        <v>48</v>
      </c>
      <c r="P328" s="12">
        <v>1675</v>
      </c>
      <c r="Q328" s="12"/>
      <c r="R328" s="12"/>
      <c r="S328" s="12">
        <v>54</v>
      </c>
      <c r="T328" s="12">
        <v>56</v>
      </c>
      <c r="U328" s="12">
        <v>6</v>
      </c>
      <c r="V328" s="12"/>
      <c r="W328" s="47" t="s">
        <v>47</v>
      </c>
      <c r="X328" s="47"/>
      <c r="Y328" s="47" t="str">
        <f t="shared" ref="Y328" si="188">B328</f>
        <v>测试NPC</v>
      </c>
      <c r="Z328" s="12"/>
      <c r="AA328" s="12"/>
      <c r="AB328" s="12" t="s">
        <v>621</v>
      </c>
      <c r="AC328" s="12">
        <v>2131</v>
      </c>
      <c r="AD328" s="12">
        <v>2132</v>
      </c>
      <c r="AE328" s="12">
        <v>2133</v>
      </c>
      <c r="AF328" s="12" t="s">
        <v>51</v>
      </c>
      <c r="AG328" s="12"/>
      <c r="AH328" s="47" t="s">
        <v>52</v>
      </c>
      <c r="AI328" s="12" t="s">
        <v>47</v>
      </c>
      <c r="AJ328" s="12"/>
      <c r="AK328" s="12"/>
      <c r="AL328" s="12"/>
      <c r="AM328" s="12"/>
      <c r="AN328" s="47" t="s">
        <v>47</v>
      </c>
      <c r="AO328" s="12"/>
      <c r="AP328" s="12" t="s">
        <v>53</v>
      </c>
      <c r="AQ328" s="2">
        <v>0</v>
      </c>
    </row>
    <row r="329" s="2" customFormat="1" ht="12.75" spans="1:43">
      <c r="A329" s="11">
        <v>167513</v>
      </c>
      <c r="B329" s="11" t="s">
        <v>242</v>
      </c>
      <c r="C329" s="11"/>
      <c r="D329" s="11"/>
      <c r="E329" s="11"/>
      <c r="F329" s="11">
        <v>0</v>
      </c>
      <c r="G329" s="11" t="s">
        <v>47</v>
      </c>
      <c r="H329" s="11" t="s">
        <v>45</v>
      </c>
      <c r="I329" s="11">
        <v>10</v>
      </c>
      <c r="J329" s="12">
        <v>0</v>
      </c>
      <c r="K329" s="11" t="s">
        <v>46</v>
      </c>
      <c r="L329" s="47" t="s">
        <v>47</v>
      </c>
      <c r="M329" s="64">
        <v>1030001</v>
      </c>
      <c r="N329" s="11" t="s">
        <v>47</v>
      </c>
      <c r="O329" s="47" t="s">
        <v>48</v>
      </c>
      <c r="P329" s="11">
        <v>0</v>
      </c>
      <c r="Q329" s="11"/>
      <c r="R329" s="11"/>
      <c r="S329" s="11">
        <v>44</v>
      </c>
      <c r="T329" s="11">
        <v>51</v>
      </c>
      <c r="U329" s="11">
        <v>0</v>
      </c>
      <c r="V329" s="11"/>
      <c r="W329" s="47" t="s">
        <v>47</v>
      </c>
      <c r="X329" s="47"/>
      <c r="Y329" s="47" t="str">
        <f t="shared" ref="Y329" si="189">B329</f>
        <v>陈员外</v>
      </c>
      <c r="Z329" s="11"/>
      <c r="AA329" s="11"/>
      <c r="AB329" s="11" t="s">
        <v>621</v>
      </c>
      <c r="AC329" s="11">
        <v>2048</v>
      </c>
      <c r="AD329" s="11">
        <v>2049</v>
      </c>
      <c r="AE329" s="11">
        <v>2050</v>
      </c>
      <c r="AF329" s="11">
        <v>2051</v>
      </c>
      <c r="AG329" s="11"/>
      <c r="AH329" s="47" t="s">
        <v>52</v>
      </c>
      <c r="AI329" s="11" t="s">
        <v>47</v>
      </c>
      <c r="AJ329" s="11" t="s">
        <v>117</v>
      </c>
      <c r="AK329" s="11" t="s">
        <v>118</v>
      </c>
      <c r="AL329" s="11" t="s">
        <v>119</v>
      </c>
      <c r="AM329" s="11" t="s">
        <v>120</v>
      </c>
      <c r="AN329" s="47" t="s">
        <v>47</v>
      </c>
      <c r="AO329" s="11"/>
      <c r="AP329" s="11" t="s">
        <v>53</v>
      </c>
      <c r="AQ329" s="2">
        <v>0</v>
      </c>
    </row>
    <row r="330" s="3" customFormat="1" ht="12" spans="1:43">
      <c r="A330" s="12">
        <v>167514</v>
      </c>
      <c r="B330" s="12" t="s">
        <v>288</v>
      </c>
      <c r="C330" s="12"/>
      <c r="D330" s="12"/>
      <c r="E330" s="12"/>
      <c r="F330" s="12">
        <v>0</v>
      </c>
      <c r="G330" s="12" t="s">
        <v>47</v>
      </c>
      <c r="H330" s="12" t="s">
        <v>45</v>
      </c>
      <c r="I330" s="12">
        <v>10</v>
      </c>
      <c r="J330" s="12">
        <v>0</v>
      </c>
      <c r="K330" s="12" t="s">
        <v>46</v>
      </c>
      <c r="L330" s="47" t="s">
        <v>47</v>
      </c>
      <c r="M330" s="12">
        <v>1020115</v>
      </c>
      <c r="N330" s="12" t="s">
        <v>47</v>
      </c>
      <c r="O330" s="47" t="s">
        <v>48</v>
      </c>
      <c r="P330" s="12">
        <v>0</v>
      </c>
      <c r="Q330" s="12"/>
      <c r="R330" s="12"/>
      <c r="S330" s="12">
        <v>0</v>
      </c>
      <c r="T330" s="12">
        <v>0</v>
      </c>
      <c r="U330" s="12">
        <v>0</v>
      </c>
      <c r="V330" s="12"/>
      <c r="W330" s="47" t="s">
        <v>47</v>
      </c>
      <c r="X330" s="47"/>
      <c r="Y330" s="47" t="str">
        <f t="shared" ref="Y330" si="190">B330</f>
        <v>小德</v>
      </c>
      <c r="Z330" s="12"/>
      <c r="AA330" s="12"/>
      <c r="AB330" s="12" t="s">
        <v>621</v>
      </c>
      <c r="AC330" s="12">
        <v>2056</v>
      </c>
      <c r="AD330" s="12">
        <v>2057</v>
      </c>
      <c r="AE330" s="12">
        <v>2058</v>
      </c>
      <c r="AF330" s="12">
        <v>2059</v>
      </c>
      <c r="AG330" s="12"/>
      <c r="AH330" s="47" t="s">
        <v>52</v>
      </c>
      <c r="AI330" s="12">
        <v>1</v>
      </c>
      <c r="AJ330" s="12" t="s">
        <v>149</v>
      </c>
      <c r="AK330" s="12" t="s">
        <v>150</v>
      </c>
      <c r="AL330" s="12" t="s">
        <v>151</v>
      </c>
      <c r="AM330" s="12" t="s">
        <v>152</v>
      </c>
      <c r="AN330" s="47" t="s">
        <v>47</v>
      </c>
      <c r="AO330" s="12"/>
      <c r="AP330" s="12" t="s">
        <v>53</v>
      </c>
      <c r="AQ330" s="2">
        <v>0</v>
      </c>
    </row>
    <row r="331" s="7" customFormat="1" ht="12.75" spans="1:43">
      <c r="A331" s="44">
        <v>167515</v>
      </c>
      <c r="B331" s="44" t="s">
        <v>235</v>
      </c>
      <c r="C331" s="44"/>
      <c r="D331" s="44"/>
      <c r="E331" s="44"/>
      <c r="F331" s="44">
        <v>0</v>
      </c>
      <c r="G331" s="44" t="s">
        <v>47</v>
      </c>
      <c r="H331" s="44" t="s">
        <v>45</v>
      </c>
      <c r="I331" s="44">
        <v>10</v>
      </c>
      <c r="J331" s="12">
        <v>0</v>
      </c>
      <c r="K331" s="44" t="s">
        <v>46</v>
      </c>
      <c r="L331" s="47" t="s">
        <v>47</v>
      </c>
      <c r="M331" s="50">
        <v>1020106</v>
      </c>
      <c r="N331" s="44" t="s">
        <v>47</v>
      </c>
      <c r="O331" s="47" t="s">
        <v>48</v>
      </c>
      <c r="P331" s="44">
        <v>0</v>
      </c>
      <c r="Q331" s="44"/>
      <c r="R331" s="44"/>
      <c r="S331" s="44">
        <v>44</v>
      </c>
      <c r="T331" s="44">
        <v>51</v>
      </c>
      <c r="U331" s="44">
        <v>0</v>
      </c>
      <c r="V331" s="44"/>
      <c r="W331" s="47" t="s">
        <v>47</v>
      </c>
      <c r="X331" s="47"/>
      <c r="Y331" s="47" t="str">
        <f t="shared" ref="Y331" si="191">B331</f>
        <v>猴王</v>
      </c>
      <c r="Z331" s="44"/>
      <c r="AA331" s="44"/>
      <c r="AB331" s="44" t="s">
        <v>621</v>
      </c>
      <c r="AC331" s="44">
        <v>2213</v>
      </c>
      <c r="AD331" s="44">
        <v>2214</v>
      </c>
      <c r="AE331" s="44">
        <v>2215</v>
      </c>
      <c r="AF331" s="44">
        <v>2216</v>
      </c>
      <c r="AG331" s="44"/>
      <c r="AH331" s="47" t="s">
        <v>52</v>
      </c>
      <c r="AI331" s="44" t="s">
        <v>47</v>
      </c>
      <c r="AJ331" s="44" t="s">
        <v>223</v>
      </c>
      <c r="AK331" s="44"/>
      <c r="AL331" s="44" t="s">
        <v>237</v>
      </c>
      <c r="AM331" s="44" t="s">
        <v>238</v>
      </c>
      <c r="AN331" s="47" t="s">
        <v>47</v>
      </c>
      <c r="AO331" s="44"/>
      <c r="AP331" s="44" t="s">
        <v>53</v>
      </c>
      <c r="AQ331" s="2">
        <v>0</v>
      </c>
    </row>
    <row r="332" s="7" customFormat="1" ht="12" spans="1:43">
      <c r="A332" s="44">
        <v>167801</v>
      </c>
      <c r="B332" s="44" t="s">
        <v>622</v>
      </c>
      <c r="C332" s="44"/>
      <c r="D332" s="44"/>
      <c r="E332" s="44"/>
      <c r="F332" s="44">
        <v>0</v>
      </c>
      <c r="G332" s="44">
        <v>0</v>
      </c>
      <c r="H332" s="44">
        <v>1</v>
      </c>
      <c r="I332" s="44">
        <v>1</v>
      </c>
      <c r="J332" s="12">
        <v>0</v>
      </c>
      <c r="K332" s="44" t="s">
        <v>46</v>
      </c>
      <c r="L332" s="47">
        <v>0</v>
      </c>
      <c r="M332" s="44">
        <v>1010150</v>
      </c>
      <c r="N332" s="44">
        <v>0</v>
      </c>
      <c r="O332" s="47">
        <v>-1</v>
      </c>
      <c r="P332" s="44">
        <v>1678</v>
      </c>
      <c r="Q332" s="44">
        <v>676</v>
      </c>
      <c r="R332" s="44">
        <v>667</v>
      </c>
      <c r="S332" s="44">
        <v>42</v>
      </c>
      <c r="T332" s="44">
        <v>41</v>
      </c>
      <c r="U332" s="44">
        <v>3</v>
      </c>
      <c r="V332" s="44"/>
      <c r="W332" s="47">
        <v>0</v>
      </c>
      <c r="X332" s="47"/>
      <c r="Y332" s="47" t="str">
        <f t="shared" ref="Y332" si="192">B332</f>
        <v>魔物斥候</v>
      </c>
      <c r="Z332" s="44"/>
      <c r="AA332" s="44"/>
      <c r="AB332" s="44"/>
      <c r="AC332" s="44">
        <v>2299</v>
      </c>
      <c r="AD332" s="44">
        <v>2300</v>
      </c>
      <c r="AE332" s="44">
        <v>2301</v>
      </c>
      <c r="AF332" s="44" t="s">
        <v>51</v>
      </c>
      <c r="AG332" s="44"/>
      <c r="AH332" s="47" t="s">
        <v>52</v>
      </c>
      <c r="AI332" s="44">
        <v>1</v>
      </c>
      <c r="AJ332" s="44" t="s">
        <v>223</v>
      </c>
      <c r="AK332" s="44"/>
      <c r="AL332" s="44" t="s">
        <v>237</v>
      </c>
      <c r="AM332" s="44" t="s">
        <v>238</v>
      </c>
      <c r="AN332" s="47">
        <v>0</v>
      </c>
      <c r="AO332" s="44"/>
      <c r="AP332" s="44" t="s">
        <v>53</v>
      </c>
      <c r="AQ332" s="2">
        <v>0</v>
      </c>
    </row>
    <row r="333" s="7" customFormat="1" ht="12" spans="1:43">
      <c r="A333" s="44">
        <v>167802</v>
      </c>
      <c r="B333" s="44" t="s">
        <v>623</v>
      </c>
      <c r="C333" s="44"/>
      <c r="D333" s="44"/>
      <c r="E333" s="44"/>
      <c r="F333" s="44">
        <v>0</v>
      </c>
      <c r="G333" s="44">
        <v>0</v>
      </c>
      <c r="H333" s="44">
        <v>1</v>
      </c>
      <c r="I333" s="44">
        <v>1</v>
      </c>
      <c r="J333" s="12">
        <v>0</v>
      </c>
      <c r="K333" s="44" t="s">
        <v>46</v>
      </c>
      <c r="L333" s="47">
        <v>0</v>
      </c>
      <c r="M333" s="44">
        <v>1020116</v>
      </c>
      <c r="N333" s="44">
        <v>0</v>
      </c>
      <c r="O333" s="47">
        <v>-1</v>
      </c>
      <c r="P333" s="44">
        <v>1678</v>
      </c>
      <c r="Q333" s="44">
        <v>466</v>
      </c>
      <c r="R333" s="44">
        <v>484</v>
      </c>
      <c r="S333" s="44">
        <v>29</v>
      </c>
      <c r="T333" s="44">
        <v>30</v>
      </c>
      <c r="U333" s="44">
        <v>3</v>
      </c>
      <c r="V333" s="44"/>
      <c r="W333" s="47">
        <v>0</v>
      </c>
      <c r="X333" s="47"/>
      <c r="Y333" s="47" t="str">
        <f t="shared" ref="Y333" si="193">B333</f>
        <v>神秘隐士</v>
      </c>
      <c r="Z333" s="44"/>
      <c r="AA333" s="44"/>
      <c r="AB333" s="44"/>
      <c r="AC333" s="44">
        <v>2302</v>
      </c>
      <c r="AD333" s="44">
        <v>2303</v>
      </c>
      <c r="AE333" s="44">
        <v>2304</v>
      </c>
      <c r="AF333" s="44">
        <v>2305</v>
      </c>
      <c r="AG333" s="44"/>
      <c r="AH333" s="47" t="s">
        <v>52</v>
      </c>
      <c r="AI333" s="44">
        <v>1</v>
      </c>
      <c r="AJ333" s="44" t="s">
        <v>223</v>
      </c>
      <c r="AK333" s="44"/>
      <c r="AL333" s="44" t="s">
        <v>237</v>
      </c>
      <c r="AM333" s="44" t="s">
        <v>238</v>
      </c>
      <c r="AN333" s="47">
        <v>0</v>
      </c>
      <c r="AO333" s="44"/>
      <c r="AP333" s="44" t="s">
        <v>53</v>
      </c>
      <c r="AQ333" s="2">
        <v>0</v>
      </c>
    </row>
    <row r="334" s="7" customFormat="1" ht="12" spans="1:43">
      <c r="A334" s="44">
        <v>167803</v>
      </c>
      <c r="B334" s="44" t="s">
        <v>624</v>
      </c>
      <c r="C334" s="44"/>
      <c r="D334" s="44"/>
      <c r="E334" s="44"/>
      <c r="F334" s="44">
        <v>0</v>
      </c>
      <c r="G334" s="44">
        <v>0</v>
      </c>
      <c r="H334" s="44">
        <v>1</v>
      </c>
      <c r="I334" s="44">
        <v>1</v>
      </c>
      <c r="J334" s="12">
        <v>0</v>
      </c>
      <c r="K334" s="44" t="s">
        <v>46</v>
      </c>
      <c r="L334" s="47">
        <v>0</v>
      </c>
      <c r="M334" s="44">
        <v>1020116</v>
      </c>
      <c r="N334" s="44">
        <v>0</v>
      </c>
      <c r="O334" s="47">
        <v>-1</v>
      </c>
      <c r="P334" s="44">
        <v>1678</v>
      </c>
      <c r="Q334" s="44">
        <v>468</v>
      </c>
      <c r="R334" s="44">
        <v>484</v>
      </c>
      <c r="S334" s="44">
        <v>29</v>
      </c>
      <c r="T334" s="44">
        <v>30</v>
      </c>
      <c r="U334" s="44">
        <v>3</v>
      </c>
      <c r="V334" s="44"/>
      <c r="W334" s="47">
        <v>0</v>
      </c>
      <c r="X334" s="47"/>
      <c r="Y334" s="47" t="str">
        <f t="shared" ref="Y334" si="194">B334</f>
        <v>隐士</v>
      </c>
      <c r="Z334" s="44"/>
      <c r="AA334" s="44"/>
      <c r="AB334" s="44"/>
      <c r="AC334" s="44">
        <v>2302</v>
      </c>
      <c r="AD334" s="44">
        <v>2303</v>
      </c>
      <c r="AE334" s="44">
        <v>2304</v>
      </c>
      <c r="AF334" s="44">
        <v>2305</v>
      </c>
      <c r="AG334" s="44"/>
      <c r="AH334" s="47" t="s">
        <v>52</v>
      </c>
      <c r="AI334" s="44">
        <v>1</v>
      </c>
      <c r="AJ334" s="44" t="s">
        <v>223</v>
      </c>
      <c r="AK334" s="44"/>
      <c r="AL334" s="44" t="s">
        <v>237</v>
      </c>
      <c r="AM334" s="44" t="s">
        <v>238</v>
      </c>
      <c r="AN334" s="47">
        <v>0</v>
      </c>
      <c r="AO334" s="44"/>
      <c r="AP334" s="44" t="s">
        <v>53</v>
      </c>
      <c r="AQ334" s="2">
        <v>0</v>
      </c>
    </row>
    <row r="335" s="7" customFormat="1" ht="12" spans="1:43">
      <c r="A335" s="44">
        <v>167804</v>
      </c>
      <c r="B335" s="44" t="s">
        <v>625</v>
      </c>
      <c r="C335" s="44"/>
      <c r="D335" s="44"/>
      <c r="E335" s="44"/>
      <c r="F335" s="44">
        <v>0</v>
      </c>
      <c r="G335" s="44">
        <v>0</v>
      </c>
      <c r="H335" s="44">
        <v>1</v>
      </c>
      <c r="I335" s="44">
        <v>1</v>
      </c>
      <c r="J335" s="12">
        <v>0</v>
      </c>
      <c r="K335" s="44" t="s">
        <v>46</v>
      </c>
      <c r="L335" s="47">
        <v>0</v>
      </c>
      <c r="M335" s="44">
        <v>1020131</v>
      </c>
      <c r="N335" s="44">
        <v>0</v>
      </c>
      <c r="O335" s="47">
        <v>-1</v>
      </c>
      <c r="P335" s="44">
        <v>1678</v>
      </c>
      <c r="Q335" s="44">
        <v>193</v>
      </c>
      <c r="R335" s="44">
        <v>680</v>
      </c>
      <c r="S335" s="44">
        <v>12</v>
      </c>
      <c r="T335" s="44">
        <v>42</v>
      </c>
      <c r="U335" s="44">
        <v>3</v>
      </c>
      <c r="V335" s="44"/>
      <c r="W335" s="47">
        <v>0</v>
      </c>
      <c r="X335" s="47"/>
      <c r="Y335" s="47" t="str">
        <f t="shared" ref="Y335" si="195">B335</f>
        <v>地中海</v>
      </c>
      <c r="Z335" s="44"/>
      <c r="AA335" s="44"/>
      <c r="AB335" s="44"/>
      <c r="AC335" s="44">
        <v>2092</v>
      </c>
      <c r="AD335" s="44">
        <v>2093</v>
      </c>
      <c r="AE335" s="44">
        <v>2094</v>
      </c>
      <c r="AF335" s="44">
        <v>2500</v>
      </c>
      <c r="AG335" s="44"/>
      <c r="AH335" s="47" t="s">
        <v>52</v>
      </c>
      <c r="AI335" s="44">
        <v>1</v>
      </c>
      <c r="AJ335" s="44" t="s">
        <v>626</v>
      </c>
      <c r="AK335" s="44" t="s">
        <v>627</v>
      </c>
      <c r="AL335" s="44" t="s">
        <v>628</v>
      </c>
      <c r="AM335" s="44" t="s">
        <v>629</v>
      </c>
      <c r="AN335" s="47">
        <v>0</v>
      </c>
      <c r="AO335" s="44"/>
      <c r="AP335" s="44" t="s">
        <v>53</v>
      </c>
      <c r="AQ335" s="2">
        <v>0</v>
      </c>
    </row>
    <row r="336" s="7" customFormat="1" ht="12" spans="1:43">
      <c r="A336" s="44">
        <v>167901</v>
      </c>
      <c r="B336" s="44" t="s">
        <v>630</v>
      </c>
      <c r="C336" s="44"/>
      <c r="D336" s="44"/>
      <c r="E336" s="44"/>
      <c r="F336" s="44">
        <v>0</v>
      </c>
      <c r="G336" s="44">
        <v>0</v>
      </c>
      <c r="H336" s="44">
        <v>1</v>
      </c>
      <c r="I336" s="44">
        <v>1</v>
      </c>
      <c r="J336" s="12">
        <v>0</v>
      </c>
      <c r="K336" s="44" t="s">
        <v>46</v>
      </c>
      <c r="L336" s="47">
        <v>0</v>
      </c>
      <c r="M336" s="44">
        <v>1010142</v>
      </c>
      <c r="N336" s="44">
        <v>0</v>
      </c>
      <c r="O336" s="47">
        <v>-1</v>
      </c>
      <c r="P336" s="44">
        <v>1679</v>
      </c>
      <c r="Q336" s="44">
        <v>370</v>
      </c>
      <c r="R336" s="44">
        <v>555</v>
      </c>
      <c r="S336" s="44">
        <v>23</v>
      </c>
      <c r="T336" s="44">
        <v>34</v>
      </c>
      <c r="U336" s="44">
        <v>3</v>
      </c>
      <c r="V336" s="44"/>
      <c r="W336" s="47">
        <v>0</v>
      </c>
      <c r="X336" s="47"/>
      <c r="Y336" s="47" t="str">
        <f t="shared" ref="Y336" si="196">B336</f>
        <v>画师</v>
      </c>
      <c r="Z336" s="44"/>
      <c r="AA336" s="44"/>
      <c r="AB336" s="44"/>
      <c r="AC336" s="44">
        <v>2306</v>
      </c>
      <c r="AD336" s="44">
        <v>2307</v>
      </c>
      <c r="AE336" s="44">
        <v>2308</v>
      </c>
      <c r="AF336" s="44">
        <v>2309</v>
      </c>
      <c r="AG336" s="44"/>
      <c r="AH336" s="47" t="s">
        <v>52</v>
      </c>
      <c r="AI336" s="44">
        <v>1</v>
      </c>
      <c r="AJ336" s="44" t="s">
        <v>223</v>
      </c>
      <c r="AK336" s="44"/>
      <c r="AL336" s="44" t="s">
        <v>237</v>
      </c>
      <c r="AM336" s="44" t="s">
        <v>238</v>
      </c>
      <c r="AN336" s="47">
        <v>0</v>
      </c>
      <c r="AO336" s="44"/>
      <c r="AP336" s="44" t="s">
        <v>53</v>
      </c>
      <c r="AQ336" s="2">
        <v>0</v>
      </c>
    </row>
    <row r="337" s="7" customFormat="1" ht="12" spans="1:43">
      <c r="A337" s="44">
        <v>168001</v>
      </c>
      <c r="B337" s="44" t="s">
        <v>631</v>
      </c>
      <c r="C337" s="44"/>
      <c r="D337" s="44"/>
      <c r="E337" s="44"/>
      <c r="F337" s="44">
        <v>0</v>
      </c>
      <c r="G337" s="44">
        <v>0</v>
      </c>
      <c r="H337" s="44">
        <v>1</v>
      </c>
      <c r="I337" s="44">
        <v>1</v>
      </c>
      <c r="J337" s="12">
        <v>0</v>
      </c>
      <c r="K337" s="44" t="s">
        <v>46</v>
      </c>
      <c r="L337" s="47">
        <v>0</v>
      </c>
      <c r="M337" s="44">
        <v>1010129</v>
      </c>
      <c r="N337" s="44">
        <v>0</v>
      </c>
      <c r="O337" s="47">
        <v>-1</v>
      </c>
      <c r="P337" s="44">
        <v>1680</v>
      </c>
      <c r="Q337" s="44">
        <v>382</v>
      </c>
      <c r="R337" s="44">
        <v>358</v>
      </c>
      <c r="S337" s="44">
        <v>23</v>
      </c>
      <c r="T337" s="44">
        <v>22</v>
      </c>
      <c r="U337" s="44">
        <v>3</v>
      </c>
      <c r="V337" s="44"/>
      <c r="W337" s="47">
        <v>0</v>
      </c>
      <c r="X337" s="47"/>
      <c r="Y337" s="47" t="str">
        <f t="shared" ref="Y337" si="197">B337</f>
        <v>不速之客</v>
      </c>
      <c r="Z337" s="44"/>
      <c r="AA337" s="44"/>
      <c r="AB337" s="44"/>
      <c r="AC337" s="44">
        <v>2310</v>
      </c>
      <c r="AD337" s="44">
        <v>2311</v>
      </c>
      <c r="AE337" s="44">
        <v>2312</v>
      </c>
      <c r="AF337" s="44" t="s">
        <v>51</v>
      </c>
      <c r="AG337" s="44"/>
      <c r="AH337" s="47" t="s">
        <v>52</v>
      </c>
      <c r="AI337" s="44">
        <v>1</v>
      </c>
      <c r="AJ337" s="44" t="s">
        <v>223</v>
      </c>
      <c r="AK337" s="44"/>
      <c r="AL337" s="44" t="s">
        <v>237</v>
      </c>
      <c r="AM337" s="44" t="s">
        <v>238</v>
      </c>
      <c r="AN337" s="47">
        <v>0</v>
      </c>
      <c r="AO337" s="44"/>
      <c r="AP337" s="44" t="s">
        <v>53</v>
      </c>
      <c r="AQ337" s="2">
        <v>0</v>
      </c>
    </row>
    <row r="338" s="7" customFormat="1" ht="12" spans="1:43">
      <c r="A338" s="44">
        <v>168002</v>
      </c>
      <c r="B338" s="44" t="s">
        <v>632</v>
      </c>
      <c r="C338" s="44"/>
      <c r="D338" s="44"/>
      <c r="E338" s="44"/>
      <c r="F338" s="44">
        <v>0</v>
      </c>
      <c r="G338" s="44">
        <v>0</v>
      </c>
      <c r="H338" s="44">
        <v>1</v>
      </c>
      <c r="I338" s="44">
        <v>1</v>
      </c>
      <c r="J338" s="12">
        <v>0</v>
      </c>
      <c r="K338" s="44" t="s">
        <v>46</v>
      </c>
      <c r="L338" s="47">
        <v>0</v>
      </c>
      <c r="M338" s="44">
        <v>1020123</v>
      </c>
      <c r="N338" s="44">
        <v>0</v>
      </c>
      <c r="O338" s="47">
        <v>-1</v>
      </c>
      <c r="P338" s="44">
        <v>1680</v>
      </c>
      <c r="Q338" s="44">
        <v>1764</v>
      </c>
      <c r="R338" s="44">
        <v>711</v>
      </c>
      <c r="S338" s="44">
        <v>110</v>
      </c>
      <c r="T338" s="44">
        <v>44</v>
      </c>
      <c r="U338" s="44">
        <v>3</v>
      </c>
      <c r="V338" s="44"/>
      <c r="W338" s="47">
        <v>0</v>
      </c>
      <c r="X338" s="47"/>
      <c r="Y338" s="47" t="str">
        <f t="shared" ref="Y338" si="198">B338</f>
        <v>九头虫</v>
      </c>
      <c r="Z338" s="44"/>
      <c r="AA338" s="44"/>
      <c r="AB338" s="44"/>
      <c r="AC338" s="44">
        <v>2313</v>
      </c>
      <c r="AD338" s="44">
        <v>2314</v>
      </c>
      <c r="AE338" s="44">
        <v>2315</v>
      </c>
      <c r="AF338" s="44" t="s">
        <v>51</v>
      </c>
      <c r="AG338" s="44"/>
      <c r="AH338" s="47" t="s">
        <v>52</v>
      </c>
      <c r="AI338" s="44">
        <v>1</v>
      </c>
      <c r="AJ338" s="44" t="s">
        <v>223</v>
      </c>
      <c r="AK338" s="44"/>
      <c r="AL338" s="44" t="s">
        <v>237</v>
      </c>
      <c r="AM338" s="44" t="s">
        <v>238</v>
      </c>
      <c r="AN338" s="47">
        <v>0</v>
      </c>
      <c r="AO338" s="44"/>
      <c r="AP338" s="44" t="s">
        <v>53</v>
      </c>
      <c r="AQ338" s="2">
        <v>0</v>
      </c>
    </row>
    <row r="339" s="7" customFormat="1" ht="12" spans="1:43">
      <c r="A339" s="44">
        <v>168101</v>
      </c>
      <c r="B339" s="44" t="s">
        <v>299</v>
      </c>
      <c r="C339" s="44"/>
      <c r="D339" s="44"/>
      <c r="E339" s="44"/>
      <c r="F339" s="44">
        <v>0</v>
      </c>
      <c r="G339" s="44">
        <v>0</v>
      </c>
      <c r="H339" s="44">
        <v>1</v>
      </c>
      <c r="I339" s="44">
        <v>1</v>
      </c>
      <c r="J339" s="12">
        <v>0</v>
      </c>
      <c r="K339" s="44" t="s">
        <v>46</v>
      </c>
      <c r="L339" s="47">
        <v>0</v>
      </c>
      <c r="M339" s="44">
        <v>1030007</v>
      </c>
      <c r="N339" s="44">
        <v>0</v>
      </c>
      <c r="O339" s="47">
        <v>-1</v>
      </c>
      <c r="P339" s="44">
        <v>1681</v>
      </c>
      <c r="Q339" s="44">
        <v>512</v>
      </c>
      <c r="R339" s="44">
        <v>264</v>
      </c>
      <c r="S339" s="44">
        <v>32</v>
      </c>
      <c r="T339" s="44">
        <v>16</v>
      </c>
      <c r="U339" s="44">
        <v>3</v>
      </c>
      <c r="V339" s="44"/>
      <c r="W339" s="47">
        <v>0</v>
      </c>
      <c r="X339" s="47"/>
      <c r="Y339" s="47" t="str">
        <f t="shared" ref="Y339" si="199">B339</f>
        <v>熟人</v>
      </c>
      <c r="Z339" s="44"/>
      <c r="AA339" s="44"/>
      <c r="AB339" s="44"/>
      <c r="AC339" s="44">
        <v>2316</v>
      </c>
      <c r="AD339" s="44">
        <v>2317</v>
      </c>
      <c r="AE339" s="44">
        <v>2318</v>
      </c>
      <c r="AF339" s="44">
        <v>2319</v>
      </c>
      <c r="AG339" s="44"/>
      <c r="AH339" s="47" t="s">
        <v>52</v>
      </c>
      <c r="AI339" s="44">
        <v>1</v>
      </c>
      <c r="AJ339" s="44" t="s">
        <v>203</v>
      </c>
      <c r="AK339" s="44" t="s">
        <v>204</v>
      </c>
      <c r="AL339" s="44" t="s">
        <v>205</v>
      </c>
      <c r="AM339" s="44" t="s">
        <v>206</v>
      </c>
      <c r="AN339" s="47">
        <v>0</v>
      </c>
      <c r="AO339" s="44"/>
      <c r="AP339" s="44" t="s">
        <v>53</v>
      </c>
      <c r="AQ339" s="2">
        <v>0</v>
      </c>
    </row>
    <row r="340" s="7" customFormat="1" ht="12" spans="1:43">
      <c r="A340" s="44">
        <v>168201</v>
      </c>
      <c r="B340" s="44" t="s">
        <v>633</v>
      </c>
      <c r="C340" s="44"/>
      <c r="D340" s="44"/>
      <c r="E340" s="44"/>
      <c r="F340" s="44">
        <v>0</v>
      </c>
      <c r="G340" s="44">
        <v>0</v>
      </c>
      <c r="H340" s="44">
        <v>1</v>
      </c>
      <c r="I340" s="44">
        <v>1</v>
      </c>
      <c r="J340" s="12">
        <v>0</v>
      </c>
      <c r="K340" s="44" t="s">
        <v>46</v>
      </c>
      <c r="L340" s="47">
        <v>0</v>
      </c>
      <c r="M340" s="44">
        <v>1030010</v>
      </c>
      <c r="N340" s="44">
        <v>0</v>
      </c>
      <c r="O340" s="47">
        <v>-1</v>
      </c>
      <c r="P340" s="44">
        <v>1682</v>
      </c>
      <c r="Q340" s="44">
        <v>435</v>
      </c>
      <c r="R340" s="44">
        <v>478</v>
      </c>
      <c r="S340" s="44">
        <f t="shared" ref="S340:S342" si="200">FLOOR(Q340/16,1)</f>
        <v>27</v>
      </c>
      <c r="T340" s="44">
        <f t="shared" ref="T340:T346" si="201">FLOOR(R340/16,1)</f>
        <v>29</v>
      </c>
      <c r="U340" s="44">
        <v>3</v>
      </c>
      <c r="V340" s="44"/>
      <c r="W340" s="47">
        <v>0</v>
      </c>
      <c r="X340" s="47"/>
      <c r="Y340" s="47" t="str">
        <f t="shared" ref="Y340" si="202">B340</f>
        <v>守城人</v>
      </c>
      <c r="Z340" s="44"/>
      <c r="AA340" s="44"/>
      <c r="AB340" s="44"/>
      <c r="AC340" s="44">
        <v>2320</v>
      </c>
      <c r="AD340" s="44">
        <v>2321</v>
      </c>
      <c r="AE340" s="44">
        <v>2322</v>
      </c>
      <c r="AF340" s="44">
        <v>2323</v>
      </c>
      <c r="AG340" s="44"/>
      <c r="AH340" s="47" t="s">
        <v>52</v>
      </c>
      <c r="AI340" s="44">
        <v>1</v>
      </c>
      <c r="AJ340" s="44" t="s">
        <v>223</v>
      </c>
      <c r="AK340" s="44"/>
      <c r="AL340" s="44" t="s">
        <v>237</v>
      </c>
      <c r="AM340" s="44" t="s">
        <v>238</v>
      </c>
      <c r="AN340" s="47">
        <v>0</v>
      </c>
      <c r="AO340" s="44"/>
      <c r="AP340" s="44" t="s">
        <v>53</v>
      </c>
      <c r="AQ340" s="2">
        <v>0</v>
      </c>
    </row>
    <row r="341" s="7" customFormat="1" ht="12" spans="1:43">
      <c r="A341" s="44">
        <v>168202</v>
      </c>
      <c r="B341" s="44" t="s">
        <v>216</v>
      </c>
      <c r="C341" s="44"/>
      <c r="D341" s="44"/>
      <c r="E341" s="44"/>
      <c r="F341" s="44">
        <v>0</v>
      </c>
      <c r="G341" s="44">
        <v>0</v>
      </c>
      <c r="H341" s="44">
        <v>1</v>
      </c>
      <c r="I341" s="44">
        <v>1</v>
      </c>
      <c r="J341" s="12">
        <v>0</v>
      </c>
      <c r="K341" s="44" t="s">
        <v>46</v>
      </c>
      <c r="L341" s="47">
        <v>0</v>
      </c>
      <c r="M341" s="44">
        <v>1020132</v>
      </c>
      <c r="N341" s="44">
        <v>0</v>
      </c>
      <c r="O341" s="47">
        <v>-1</v>
      </c>
      <c r="P341" s="44">
        <v>1682</v>
      </c>
      <c r="Q341" s="44">
        <v>1228</v>
      </c>
      <c r="R341" s="44">
        <v>1005</v>
      </c>
      <c r="S341" s="44">
        <f t="shared" si="200"/>
        <v>76</v>
      </c>
      <c r="T341" s="44">
        <f t="shared" si="201"/>
        <v>62</v>
      </c>
      <c r="U341" s="44">
        <v>5</v>
      </c>
      <c r="V341" s="44"/>
      <c r="W341" s="47">
        <v>0</v>
      </c>
      <c r="X341" s="47"/>
      <c r="Y341" s="47" t="str">
        <f t="shared" ref="Y341" si="203">B341</f>
        <v>魔物</v>
      </c>
      <c r="Z341" s="44"/>
      <c r="AA341" s="44"/>
      <c r="AB341" s="44"/>
      <c r="AC341" s="44">
        <v>2324</v>
      </c>
      <c r="AD341" s="44">
        <v>2325</v>
      </c>
      <c r="AE341" s="44">
        <v>2326</v>
      </c>
      <c r="AF341" s="44">
        <v>2327</v>
      </c>
      <c r="AG341" s="44"/>
      <c r="AH341" s="47" t="s">
        <v>52</v>
      </c>
      <c r="AI341" s="44">
        <v>1</v>
      </c>
      <c r="AJ341" s="44" t="s">
        <v>223</v>
      </c>
      <c r="AK341" s="44"/>
      <c r="AL341" s="44" t="s">
        <v>237</v>
      </c>
      <c r="AM341" s="44" t="s">
        <v>238</v>
      </c>
      <c r="AN341" s="47">
        <v>0</v>
      </c>
      <c r="AO341" s="44"/>
      <c r="AP341" s="44" t="s">
        <v>53</v>
      </c>
      <c r="AQ341" s="2">
        <v>0</v>
      </c>
    </row>
    <row r="342" s="7" customFormat="1" ht="12" spans="1:43">
      <c r="A342" s="44">
        <v>168203</v>
      </c>
      <c r="B342" s="44" t="s">
        <v>216</v>
      </c>
      <c r="C342" s="44"/>
      <c r="D342" s="44"/>
      <c r="E342" s="44"/>
      <c r="F342" s="44">
        <v>0</v>
      </c>
      <c r="G342" s="44">
        <v>0</v>
      </c>
      <c r="H342" s="44">
        <v>1</v>
      </c>
      <c r="I342" s="44">
        <v>1</v>
      </c>
      <c r="J342" s="12">
        <v>0</v>
      </c>
      <c r="K342" s="44" t="s">
        <v>46</v>
      </c>
      <c r="L342" s="47">
        <v>0</v>
      </c>
      <c r="M342" s="44">
        <v>1010130</v>
      </c>
      <c r="N342" s="44">
        <v>0</v>
      </c>
      <c r="O342" s="47">
        <v>-1</v>
      </c>
      <c r="P342" s="44">
        <v>1682</v>
      </c>
      <c r="Q342" s="44">
        <v>468</v>
      </c>
      <c r="R342" s="44">
        <v>672</v>
      </c>
      <c r="S342" s="44">
        <f t="shared" si="200"/>
        <v>29</v>
      </c>
      <c r="T342" s="44">
        <f t="shared" si="201"/>
        <v>42</v>
      </c>
      <c r="U342" s="44">
        <v>3</v>
      </c>
      <c r="V342" s="44"/>
      <c r="W342" s="47">
        <v>0</v>
      </c>
      <c r="X342" s="47"/>
      <c r="Y342" s="47" t="str">
        <f t="shared" ref="Y342" si="204">B342</f>
        <v>魔物</v>
      </c>
      <c r="Z342" s="44"/>
      <c r="AA342" s="44"/>
      <c r="AB342" s="44" t="s">
        <v>634</v>
      </c>
      <c r="AC342" s="44">
        <v>2329</v>
      </c>
      <c r="AD342" s="44">
        <v>2329</v>
      </c>
      <c r="AE342" s="44">
        <v>2329</v>
      </c>
      <c r="AF342" s="44">
        <v>2329</v>
      </c>
      <c r="AG342" s="44"/>
      <c r="AH342" s="47" t="s">
        <v>52</v>
      </c>
      <c r="AI342" s="44">
        <v>1</v>
      </c>
      <c r="AJ342" s="44" t="s">
        <v>223</v>
      </c>
      <c r="AK342" s="44"/>
      <c r="AL342" s="44" t="s">
        <v>237</v>
      </c>
      <c r="AM342" s="44" t="s">
        <v>238</v>
      </c>
      <c r="AN342" s="47">
        <v>0</v>
      </c>
      <c r="AO342" s="44"/>
      <c r="AP342" s="44" t="s">
        <v>53</v>
      </c>
      <c r="AQ342" s="2">
        <v>0</v>
      </c>
    </row>
    <row r="343" s="7" customFormat="1" ht="12" spans="1:43">
      <c r="A343" s="44">
        <v>168204</v>
      </c>
      <c r="B343" s="44" t="s">
        <v>216</v>
      </c>
      <c r="C343" s="44"/>
      <c r="D343" s="44"/>
      <c r="E343" s="44"/>
      <c r="F343" s="44">
        <v>0</v>
      </c>
      <c r="G343" s="44">
        <v>0</v>
      </c>
      <c r="H343" s="44">
        <v>1</v>
      </c>
      <c r="I343" s="44">
        <v>1</v>
      </c>
      <c r="J343" s="12">
        <v>0</v>
      </c>
      <c r="K343" s="44" t="s">
        <v>46</v>
      </c>
      <c r="L343" s="47">
        <v>0</v>
      </c>
      <c r="M343" s="44">
        <v>1010130</v>
      </c>
      <c r="N343" s="44">
        <v>0</v>
      </c>
      <c r="O343" s="47">
        <v>-1</v>
      </c>
      <c r="P343" s="44">
        <v>1682</v>
      </c>
      <c r="Q343" s="44">
        <v>636</v>
      </c>
      <c r="R343" s="44">
        <v>499</v>
      </c>
      <c r="S343" s="44">
        <f t="shared" ref="S343:S346" si="205">FLOOR(Q343/16,1)</f>
        <v>39</v>
      </c>
      <c r="T343" s="44">
        <f t="shared" si="201"/>
        <v>31</v>
      </c>
      <c r="U343" s="44">
        <v>3</v>
      </c>
      <c r="V343" s="44"/>
      <c r="W343" s="47">
        <v>0</v>
      </c>
      <c r="X343" s="47"/>
      <c r="Y343" s="47" t="str">
        <f t="shared" ref="Y343" si="206">B343</f>
        <v>魔物</v>
      </c>
      <c r="Z343" s="44"/>
      <c r="AA343" s="44"/>
      <c r="AB343" s="44" t="s">
        <v>634</v>
      </c>
      <c r="AC343" s="44">
        <v>2329</v>
      </c>
      <c r="AD343" s="44">
        <v>2329</v>
      </c>
      <c r="AE343" s="44">
        <v>2329</v>
      </c>
      <c r="AF343" s="44">
        <v>2329</v>
      </c>
      <c r="AG343" s="44"/>
      <c r="AH343" s="47" t="s">
        <v>52</v>
      </c>
      <c r="AI343" s="44">
        <v>1</v>
      </c>
      <c r="AJ343" s="44" t="s">
        <v>223</v>
      </c>
      <c r="AK343" s="44"/>
      <c r="AL343" s="44" t="s">
        <v>237</v>
      </c>
      <c r="AM343" s="44" t="s">
        <v>238</v>
      </c>
      <c r="AN343" s="47">
        <v>0</v>
      </c>
      <c r="AO343" s="44"/>
      <c r="AP343" s="44" t="s">
        <v>53</v>
      </c>
      <c r="AQ343" s="2">
        <v>0</v>
      </c>
    </row>
    <row r="344" s="7" customFormat="1" ht="12" spans="1:43">
      <c r="A344" s="44">
        <v>168205</v>
      </c>
      <c r="B344" s="44" t="s">
        <v>216</v>
      </c>
      <c r="C344" s="44"/>
      <c r="D344" s="44"/>
      <c r="E344" s="44"/>
      <c r="F344" s="44">
        <v>0</v>
      </c>
      <c r="G344" s="44">
        <v>0</v>
      </c>
      <c r="H344" s="44">
        <v>1</v>
      </c>
      <c r="I344" s="44">
        <v>1</v>
      </c>
      <c r="J344" s="12">
        <v>0</v>
      </c>
      <c r="K344" s="44" t="s">
        <v>46</v>
      </c>
      <c r="L344" s="47">
        <v>0</v>
      </c>
      <c r="M344" s="44">
        <v>1010130</v>
      </c>
      <c r="N344" s="44">
        <v>0</v>
      </c>
      <c r="O344" s="47">
        <v>-1</v>
      </c>
      <c r="P344" s="44">
        <v>1682</v>
      </c>
      <c r="Q344" s="44">
        <v>1382</v>
      </c>
      <c r="R344" s="44">
        <v>1034</v>
      </c>
      <c r="S344" s="44">
        <f t="shared" si="205"/>
        <v>86</v>
      </c>
      <c r="T344" s="44">
        <f t="shared" si="201"/>
        <v>64</v>
      </c>
      <c r="U344" s="44">
        <v>5</v>
      </c>
      <c r="V344" s="44"/>
      <c r="W344" s="47">
        <v>0</v>
      </c>
      <c r="X344" s="47"/>
      <c r="Y344" s="47" t="str">
        <f t="shared" ref="Y344" si="207">B344</f>
        <v>魔物</v>
      </c>
      <c r="Z344" s="44"/>
      <c r="AA344" s="44"/>
      <c r="AB344" s="44" t="s">
        <v>635</v>
      </c>
      <c r="AC344" s="44">
        <v>2329</v>
      </c>
      <c r="AD344" s="44">
        <v>2329</v>
      </c>
      <c r="AE344" s="44">
        <v>2329</v>
      </c>
      <c r="AF344" s="44">
        <v>2329</v>
      </c>
      <c r="AG344" s="44"/>
      <c r="AH344" s="47" t="s">
        <v>52</v>
      </c>
      <c r="AI344" s="44">
        <v>1</v>
      </c>
      <c r="AJ344" s="44" t="s">
        <v>223</v>
      </c>
      <c r="AK344" s="44"/>
      <c r="AL344" s="44" t="s">
        <v>237</v>
      </c>
      <c r="AM344" s="44" t="s">
        <v>238</v>
      </c>
      <c r="AN344" s="47">
        <v>0</v>
      </c>
      <c r="AO344" s="44"/>
      <c r="AP344" s="44" t="s">
        <v>53</v>
      </c>
      <c r="AQ344" s="2">
        <v>0</v>
      </c>
    </row>
    <row r="345" s="7" customFormat="1" ht="12" spans="1:43">
      <c r="A345" s="44">
        <v>168206</v>
      </c>
      <c r="B345" s="44" t="s">
        <v>216</v>
      </c>
      <c r="C345" s="44"/>
      <c r="D345" s="44"/>
      <c r="E345" s="44"/>
      <c r="F345" s="44">
        <v>0</v>
      </c>
      <c r="G345" s="44">
        <v>0</v>
      </c>
      <c r="H345" s="44">
        <v>1</v>
      </c>
      <c r="I345" s="44">
        <v>1</v>
      </c>
      <c r="J345" s="12">
        <v>0</v>
      </c>
      <c r="K345" s="44" t="s">
        <v>46</v>
      </c>
      <c r="L345" s="47">
        <v>0</v>
      </c>
      <c r="M345" s="44">
        <v>1010130</v>
      </c>
      <c r="N345" s="44">
        <v>0</v>
      </c>
      <c r="O345" s="47">
        <v>-1</v>
      </c>
      <c r="P345" s="44">
        <v>1682</v>
      </c>
      <c r="Q345" s="44">
        <v>1197</v>
      </c>
      <c r="R345" s="44">
        <v>890</v>
      </c>
      <c r="S345" s="44">
        <f t="shared" si="205"/>
        <v>74</v>
      </c>
      <c r="T345" s="44">
        <f t="shared" si="201"/>
        <v>55</v>
      </c>
      <c r="U345" s="44">
        <v>5</v>
      </c>
      <c r="V345" s="44"/>
      <c r="W345" s="47">
        <v>0</v>
      </c>
      <c r="X345" s="47"/>
      <c r="Y345" s="47" t="str">
        <f t="shared" ref="Y345" si="208">B345</f>
        <v>魔物</v>
      </c>
      <c r="Z345" s="44"/>
      <c r="AA345" s="44"/>
      <c r="AB345" s="44" t="s">
        <v>635</v>
      </c>
      <c r="AC345" s="44">
        <v>2329</v>
      </c>
      <c r="AD345" s="44">
        <v>2329</v>
      </c>
      <c r="AE345" s="44">
        <v>2329</v>
      </c>
      <c r="AF345" s="44">
        <v>2329</v>
      </c>
      <c r="AG345" s="44"/>
      <c r="AH345" s="47" t="s">
        <v>52</v>
      </c>
      <c r="AI345" s="44">
        <v>1</v>
      </c>
      <c r="AJ345" s="44" t="s">
        <v>223</v>
      </c>
      <c r="AK345" s="44"/>
      <c r="AL345" s="44" t="s">
        <v>237</v>
      </c>
      <c r="AM345" s="44" t="s">
        <v>238</v>
      </c>
      <c r="AN345" s="47">
        <v>0</v>
      </c>
      <c r="AO345" s="44"/>
      <c r="AP345" s="44" t="s">
        <v>53</v>
      </c>
      <c r="AQ345" s="2">
        <v>0</v>
      </c>
    </row>
    <row r="346" s="7" customFormat="1" ht="12" spans="1:43">
      <c r="A346" s="44">
        <v>168207</v>
      </c>
      <c r="B346" s="44" t="s">
        <v>633</v>
      </c>
      <c r="C346" s="44"/>
      <c r="D346" s="44"/>
      <c r="E346" s="44"/>
      <c r="F346" s="44">
        <v>0</v>
      </c>
      <c r="G346" s="44">
        <v>0</v>
      </c>
      <c r="H346" s="44">
        <v>1</v>
      </c>
      <c r="I346" s="44">
        <v>1</v>
      </c>
      <c r="J346" s="12">
        <v>0</v>
      </c>
      <c r="K346" s="44" t="s">
        <v>46</v>
      </c>
      <c r="L346" s="47">
        <v>0</v>
      </c>
      <c r="M346" s="44">
        <v>1030010</v>
      </c>
      <c r="N346" s="44">
        <v>0</v>
      </c>
      <c r="O346" s="47">
        <v>-1</v>
      </c>
      <c r="P346" s="44">
        <v>1682</v>
      </c>
      <c r="Q346" s="44">
        <v>1043</v>
      </c>
      <c r="R346" s="44">
        <v>931</v>
      </c>
      <c r="S346" s="44">
        <f t="shared" si="205"/>
        <v>65</v>
      </c>
      <c r="T346" s="44">
        <f t="shared" si="201"/>
        <v>58</v>
      </c>
      <c r="U346" s="44">
        <v>3</v>
      </c>
      <c r="V346" s="44"/>
      <c r="W346" s="47">
        <v>0</v>
      </c>
      <c r="X346" s="47"/>
      <c r="Y346" s="47" t="str">
        <f t="shared" ref="Y346" si="209">B346</f>
        <v>守城人</v>
      </c>
      <c r="Z346" s="44"/>
      <c r="AA346" s="44"/>
      <c r="AB346" s="44"/>
      <c r="AC346" s="44">
        <v>2320</v>
      </c>
      <c r="AD346" s="44">
        <v>2321</v>
      </c>
      <c r="AE346" s="44">
        <v>2322</v>
      </c>
      <c r="AF346" s="44">
        <v>2323</v>
      </c>
      <c r="AG346" s="44"/>
      <c r="AH346" s="47" t="s">
        <v>52</v>
      </c>
      <c r="AI346" s="44">
        <v>1</v>
      </c>
      <c r="AJ346" s="44" t="s">
        <v>223</v>
      </c>
      <c r="AK346" s="44"/>
      <c r="AL346" s="44" t="s">
        <v>237</v>
      </c>
      <c r="AM346" s="44" t="s">
        <v>238</v>
      </c>
      <c r="AN346" s="47">
        <v>0</v>
      </c>
      <c r="AO346" s="44"/>
      <c r="AP346" s="44" t="s">
        <v>53</v>
      </c>
      <c r="AQ346" s="2">
        <v>0</v>
      </c>
    </row>
    <row r="347" s="7" customFormat="1" ht="12" spans="1:43">
      <c r="A347" s="44">
        <v>168301</v>
      </c>
      <c r="B347" s="44" t="s">
        <v>216</v>
      </c>
      <c r="C347" s="44"/>
      <c r="D347" s="44"/>
      <c r="E347" s="44"/>
      <c r="F347" s="44">
        <v>0</v>
      </c>
      <c r="G347" s="44">
        <v>0</v>
      </c>
      <c r="H347" s="44">
        <v>1</v>
      </c>
      <c r="I347" s="44">
        <v>1</v>
      </c>
      <c r="J347" s="12">
        <v>0</v>
      </c>
      <c r="K347" s="44" t="s">
        <v>46</v>
      </c>
      <c r="L347" s="47">
        <v>0</v>
      </c>
      <c r="M347" s="44">
        <v>1010130</v>
      </c>
      <c r="N347" s="44">
        <v>0</v>
      </c>
      <c r="O347" s="47">
        <v>-1</v>
      </c>
      <c r="P347" s="44">
        <v>1683</v>
      </c>
      <c r="Q347" s="44">
        <v>1022</v>
      </c>
      <c r="R347" s="44">
        <v>609</v>
      </c>
      <c r="S347" s="44">
        <v>63</v>
      </c>
      <c r="T347" s="44">
        <v>38</v>
      </c>
      <c r="U347" s="44">
        <v>3</v>
      </c>
      <c r="V347" s="44"/>
      <c r="W347" s="47">
        <v>0</v>
      </c>
      <c r="X347" s="47"/>
      <c r="Y347" s="47" t="str">
        <f t="shared" ref="Y347" si="210">B347</f>
        <v>魔物</v>
      </c>
      <c r="Z347" s="44"/>
      <c r="AA347" s="44"/>
      <c r="AB347" s="44"/>
      <c r="AC347" s="44">
        <v>2328</v>
      </c>
      <c r="AD347" s="44">
        <v>2328</v>
      </c>
      <c r="AE347" s="44">
        <v>2328</v>
      </c>
      <c r="AF347" s="44">
        <v>2328</v>
      </c>
      <c r="AG347" s="44"/>
      <c r="AH347" s="47" t="s">
        <v>52</v>
      </c>
      <c r="AI347" s="44">
        <v>1</v>
      </c>
      <c r="AJ347" s="44" t="s">
        <v>223</v>
      </c>
      <c r="AK347" s="44"/>
      <c r="AL347" s="44" t="s">
        <v>237</v>
      </c>
      <c r="AM347" s="44" t="s">
        <v>238</v>
      </c>
      <c r="AN347" s="47">
        <v>0</v>
      </c>
      <c r="AO347" s="44"/>
      <c r="AP347" s="44" t="s">
        <v>53</v>
      </c>
      <c r="AQ347" s="2">
        <v>0</v>
      </c>
    </row>
    <row r="348" s="7" customFormat="1" ht="12" spans="1:43">
      <c r="A348" s="44">
        <v>168302</v>
      </c>
      <c r="B348" s="44" t="s">
        <v>216</v>
      </c>
      <c r="C348" s="44"/>
      <c r="D348" s="44"/>
      <c r="E348" s="44"/>
      <c r="F348" s="44">
        <v>0</v>
      </c>
      <c r="G348" s="44">
        <v>0</v>
      </c>
      <c r="H348" s="44">
        <v>1</v>
      </c>
      <c r="I348" s="44">
        <v>1</v>
      </c>
      <c r="J348" s="12">
        <v>0</v>
      </c>
      <c r="K348" s="44" t="s">
        <v>46</v>
      </c>
      <c r="L348" s="47">
        <v>0</v>
      </c>
      <c r="M348" s="44">
        <v>1010130</v>
      </c>
      <c r="N348" s="44">
        <v>0</v>
      </c>
      <c r="O348" s="47">
        <v>-1</v>
      </c>
      <c r="P348" s="44">
        <v>1683</v>
      </c>
      <c r="Q348" s="44">
        <v>960</v>
      </c>
      <c r="R348" s="44">
        <v>563</v>
      </c>
      <c r="S348" s="44">
        <v>60</v>
      </c>
      <c r="T348" s="44">
        <v>35</v>
      </c>
      <c r="U348" s="44">
        <v>3</v>
      </c>
      <c r="V348" s="44"/>
      <c r="W348" s="47">
        <v>0</v>
      </c>
      <c r="X348" s="47"/>
      <c r="Y348" s="47" t="str">
        <f t="shared" ref="Y348:Y353" si="211">B348</f>
        <v>魔物</v>
      </c>
      <c r="Z348" s="44"/>
      <c r="AA348" s="44"/>
      <c r="AB348" s="44"/>
      <c r="AC348" s="44">
        <v>2329</v>
      </c>
      <c r="AD348" s="44">
        <v>2329</v>
      </c>
      <c r="AE348" s="44">
        <v>2329</v>
      </c>
      <c r="AF348" s="44">
        <v>2329</v>
      </c>
      <c r="AG348" s="44"/>
      <c r="AH348" s="47" t="s">
        <v>52</v>
      </c>
      <c r="AI348" s="44">
        <v>1</v>
      </c>
      <c r="AJ348" s="44" t="s">
        <v>223</v>
      </c>
      <c r="AK348" s="44"/>
      <c r="AL348" s="44" t="s">
        <v>237</v>
      </c>
      <c r="AM348" s="44" t="s">
        <v>238</v>
      </c>
      <c r="AN348" s="47">
        <v>0</v>
      </c>
      <c r="AO348" s="44"/>
      <c r="AP348" s="44" t="s">
        <v>53</v>
      </c>
      <c r="AQ348" s="2">
        <v>0</v>
      </c>
    </row>
    <row r="349" s="7" customFormat="1" ht="12" spans="1:43">
      <c r="A349" s="44">
        <v>168303</v>
      </c>
      <c r="B349" s="44" t="s">
        <v>216</v>
      </c>
      <c r="C349" s="44"/>
      <c r="D349" s="44"/>
      <c r="E349" s="44"/>
      <c r="F349" s="44">
        <v>0</v>
      </c>
      <c r="G349" s="44">
        <v>0</v>
      </c>
      <c r="H349" s="44">
        <v>1</v>
      </c>
      <c r="I349" s="44">
        <v>1</v>
      </c>
      <c r="J349" s="12">
        <v>0</v>
      </c>
      <c r="K349" s="44" t="s">
        <v>46</v>
      </c>
      <c r="L349" s="47">
        <v>0</v>
      </c>
      <c r="M349" s="44">
        <v>1010130</v>
      </c>
      <c r="N349" s="44">
        <v>0</v>
      </c>
      <c r="O349" s="47">
        <v>-1</v>
      </c>
      <c r="P349" s="44">
        <v>1683</v>
      </c>
      <c r="Q349" s="44">
        <v>1112</v>
      </c>
      <c r="R349" s="44">
        <v>688</v>
      </c>
      <c r="S349" s="44">
        <v>69</v>
      </c>
      <c r="T349" s="44">
        <v>43</v>
      </c>
      <c r="U349" s="44">
        <v>3</v>
      </c>
      <c r="V349" s="44"/>
      <c r="W349" s="47">
        <v>0</v>
      </c>
      <c r="X349" s="47"/>
      <c r="Y349" s="47" t="str">
        <f t="shared" si="211"/>
        <v>魔物</v>
      </c>
      <c r="Z349" s="44"/>
      <c r="AA349" s="44"/>
      <c r="AB349" s="44"/>
      <c r="AC349" s="44">
        <v>2329</v>
      </c>
      <c r="AD349" s="44">
        <v>2329</v>
      </c>
      <c r="AE349" s="44">
        <v>2329</v>
      </c>
      <c r="AF349" s="44">
        <v>2329</v>
      </c>
      <c r="AG349" s="44"/>
      <c r="AH349" s="47" t="s">
        <v>52</v>
      </c>
      <c r="AI349" s="44">
        <v>1</v>
      </c>
      <c r="AJ349" s="44" t="s">
        <v>223</v>
      </c>
      <c r="AK349" s="44"/>
      <c r="AL349" s="44" t="s">
        <v>237</v>
      </c>
      <c r="AM349" s="44" t="s">
        <v>238</v>
      </c>
      <c r="AN349" s="47">
        <v>0</v>
      </c>
      <c r="AO349" s="44"/>
      <c r="AP349" s="44" t="s">
        <v>53</v>
      </c>
      <c r="AQ349" s="2">
        <v>0</v>
      </c>
    </row>
    <row r="350" s="7" customFormat="1" ht="12" spans="1:43">
      <c r="A350" s="44">
        <v>168304</v>
      </c>
      <c r="B350" s="44" t="s">
        <v>216</v>
      </c>
      <c r="C350" s="44"/>
      <c r="D350" s="44"/>
      <c r="E350" s="44"/>
      <c r="F350" s="44">
        <v>0</v>
      </c>
      <c r="G350" s="44">
        <v>0</v>
      </c>
      <c r="H350" s="44">
        <v>1</v>
      </c>
      <c r="I350" s="44">
        <v>1</v>
      </c>
      <c r="J350" s="12">
        <v>0</v>
      </c>
      <c r="K350" s="44" t="s">
        <v>46</v>
      </c>
      <c r="L350" s="47">
        <v>0</v>
      </c>
      <c r="M350" s="44">
        <v>1010130</v>
      </c>
      <c r="N350" s="44">
        <v>0</v>
      </c>
      <c r="O350" s="47">
        <v>-1</v>
      </c>
      <c r="P350" s="44">
        <v>1683</v>
      </c>
      <c r="Q350" s="44">
        <v>1185</v>
      </c>
      <c r="R350" s="44">
        <v>767</v>
      </c>
      <c r="S350" s="44">
        <v>74</v>
      </c>
      <c r="T350" s="44">
        <v>47</v>
      </c>
      <c r="U350" s="44">
        <v>3</v>
      </c>
      <c r="V350" s="44"/>
      <c r="W350" s="47">
        <v>0</v>
      </c>
      <c r="X350" s="47"/>
      <c r="Y350" s="47" t="str">
        <f t="shared" si="211"/>
        <v>魔物</v>
      </c>
      <c r="Z350" s="44"/>
      <c r="AA350" s="44"/>
      <c r="AB350" s="44"/>
      <c r="AC350" s="44">
        <v>2329</v>
      </c>
      <c r="AD350" s="44">
        <v>2329</v>
      </c>
      <c r="AE350" s="44">
        <v>2329</v>
      </c>
      <c r="AF350" s="44">
        <v>2329</v>
      </c>
      <c r="AG350" s="44"/>
      <c r="AH350" s="47" t="s">
        <v>52</v>
      </c>
      <c r="AI350" s="44">
        <v>1</v>
      </c>
      <c r="AJ350" s="44" t="s">
        <v>223</v>
      </c>
      <c r="AK350" s="44"/>
      <c r="AL350" s="44" t="s">
        <v>237</v>
      </c>
      <c r="AM350" s="44" t="s">
        <v>238</v>
      </c>
      <c r="AN350" s="47">
        <v>0</v>
      </c>
      <c r="AO350" s="44"/>
      <c r="AP350" s="44" t="s">
        <v>53</v>
      </c>
      <c r="AQ350" s="2">
        <v>0</v>
      </c>
    </row>
    <row r="351" s="7" customFormat="1" ht="12" spans="1:43">
      <c r="A351" s="44">
        <v>168305</v>
      </c>
      <c r="B351" s="44" t="s">
        <v>216</v>
      </c>
      <c r="C351" s="44"/>
      <c r="D351" s="44"/>
      <c r="E351" s="44"/>
      <c r="F351" s="44">
        <v>0</v>
      </c>
      <c r="G351" s="44">
        <v>0</v>
      </c>
      <c r="H351" s="44">
        <v>1</v>
      </c>
      <c r="I351" s="44">
        <v>1</v>
      </c>
      <c r="J351" s="12">
        <v>0</v>
      </c>
      <c r="K351" s="44" t="s">
        <v>46</v>
      </c>
      <c r="L351" s="47">
        <v>0</v>
      </c>
      <c r="M351" s="44">
        <v>1010130</v>
      </c>
      <c r="N351" s="44">
        <v>0</v>
      </c>
      <c r="O351" s="47">
        <v>-1</v>
      </c>
      <c r="P351" s="44">
        <v>1683</v>
      </c>
      <c r="Q351" s="44">
        <v>779</v>
      </c>
      <c r="R351" s="44">
        <v>532</v>
      </c>
      <c r="S351" s="44">
        <v>48</v>
      </c>
      <c r="T351" s="44">
        <v>33</v>
      </c>
      <c r="U351" s="44">
        <v>3</v>
      </c>
      <c r="V351" s="44"/>
      <c r="W351" s="47">
        <v>0</v>
      </c>
      <c r="X351" s="47"/>
      <c r="Y351" s="47" t="str">
        <f t="shared" si="211"/>
        <v>魔物</v>
      </c>
      <c r="Z351" s="44"/>
      <c r="AA351" s="44"/>
      <c r="AB351" s="44"/>
      <c r="AC351" s="44">
        <v>2329</v>
      </c>
      <c r="AD351" s="44">
        <v>2329</v>
      </c>
      <c r="AE351" s="44">
        <v>2329</v>
      </c>
      <c r="AF351" s="44">
        <v>2329</v>
      </c>
      <c r="AG351" s="44"/>
      <c r="AH351" s="47" t="s">
        <v>52</v>
      </c>
      <c r="AI351" s="44">
        <v>1</v>
      </c>
      <c r="AJ351" s="44" t="s">
        <v>223</v>
      </c>
      <c r="AK351" s="44"/>
      <c r="AL351" s="44" t="s">
        <v>237</v>
      </c>
      <c r="AM351" s="44" t="s">
        <v>238</v>
      </c>
      <c r="AN351" s="47">
        <v>0</v>
      </c>
      <c r="AO351" s="44"/>
      <c r="AP351" s="44" t="s">
        <v>53</v>
      </c>
      <c r="AQ351" s="2">
        <v>0</v>
      </c>
    </row>
    <row r="352" s="7" customFormat="1" ht="12" spans="1:43">
      <c r="A352" s="44">
        <v>168306</v>
      </c>
      <c r="B352" s="44" t="s">
        <v>636</v>
      </c>
      <c r="C352" s="44"/>
      <c r="D352" s="44"/>
      <c r="E352" s="44"/>
      <c r="F352" s="44">
        <v>0</v>
      </c>
      <c r="G352" s="44">
        <v>0</v>
      </c>
      <c r="H352" s="44">
        <v>1</v>
      </c>
      <c r="I352" s="44">
        <v>1</v>
      </c>
      <c r="J352" s="12">
        <v>0</v>
      </c>
      <c r="K352" s="44" t="s">
        <v>46</v>
      </c>
      <c r="L352" s="47">
        <v>0</v>
      </c>
      <c r="M352" s="44">
        <v>1010131</v>
      </c>
      <c r="N352" s="44">
        <v>0</v>
      </c>
      <c r="O352" s="47">
        <v>-1</v>
      </c>
      <c r="P352" s="44">
        <v>1683</v>
      </c>
      <c r="Q352" s="44">
        <v>1130</v>
      </c>
      <c r="R352" s="44">
        <v>553</v>
      </c>
      <c r="S352" s="44">
        <v>70</v>
      </c>
      <c r="T352" s="44">
        <v>34</v>
      </c>
      <c r="U352" s="44">
        <v>3</v>
      </c>
      <c r="V352" s="44"/>
      <c r="W352" s="47">
        <v>0</v>
      </c>
      <c r="X352" s="47"/>
      <c r="Y352" s="47" t="str">
        <f t="shared" si="211"/>
        <v>地牢指挥官</v>
      </c>
      <c r="Z352" s="44"/>
      <c r="AA352" s="44"/>
      <c r="AB352" s="44"/>
      <c r="AC352" s="44">
        <v>2330</v>
      </c>
      <c r="AD352" s="44">
        <v>2331</v>
      </c>
      <c r="AE352" s="44">
        <v>2330</v>
      </c>
      <c r="AF352" s="44">
        <v>2331</v>
      </c>
      <c r="AG352" s="44"/>
      <c r="AH352" s="47" t="s">
        <v>52</v>
      </c>
      <c r="AI352" s="44">
        <v>1</v>
      </c>
      <c r="AJ352" s="44" t="s">
        <v>223</v>
      </c>
      <c r="AK352" s="44"/>
      <c r="AL352" s="44" t="s">
        <v>237</v>
      </c>
      <c r="AM352" s="44" t="s">
        <v>238</v>
      </c>
      <c r="AN352" s="47">
        <v>0</v>
      </c>
      <c r="AO352" s="44"/>
      <c r="AP352" s="44" t="s">
        <v>53</v>
      </c>
      <c r="AQ352" s="2">
        <v>0</v>
      </c>
    </row>
    <row r="353" s="7" customFormat="1" ht="12" spans="1:43">
      <c r="A353" s="44">
        <v>168307</v>
      </c>
      <c r="B353" s="44" t="s">
        <v>637</v>
      </c>
      <c r="C353" s="44"/>
      <c r="D353" s="44"/>
      <c r="E353" s="44"/>
      <c r="F353" s="44">
        <v>0</v>
      </c>
      <c r="G353" s="44">
        <v>0</v>
      </c>
      <c r="H353" s="44">
        <v>1</v>
      </c>
      <c r="I353" s="44">
        <v>1</v>
      </c>
      <c r="J353" s="12">
        <v>0</v>
      </c>
      <c r="K353" s="44" t="s">
        <v>46</v>
      </c>
      <c r="L353" s="47">
        <v>0</v>
      </c>
      <c r="M353" s="44">
        <v>1010132</v>
      </c>
      <c r="N353" s="44">
        <v>0</v>
      </c>
      <c r="O353" s="47">
        <v>-1</v>
      </c>
      <c r="P353" s="44">
        <v>1683</v>
      </c>
      <c r="Q353" s="44">
        <v>1205</v>
      </c>
      <c r="R353" s="44">
        <v>632</v>
      </c>
      <c r="S353" s="44">
        <v>75</v>
      </c>
      <c r="T353" s="44">
        <v>39</v>
      </c>
      <c r="U353" s="44">
        <v>3</v>
      </c>
      <c r="V353" s="44"/>
      <c r="W353" s="47">
        <v>0</v>
      </c>
      <c r="X353" s="47"/>
      <c r="Y353" s="47" t="str">
        <f t="shared" si="211"/>
        <v>中奶怀特</v>
      </c>
      <c r="Z353" s="44"/>
      <c r="AA353" s="44"/>
      <c r="AB353" s="44"/>
      <c r="AC353" s="44">
        <v>2332</v>
      </c>
      <c r="AD353" s="44">
        <v>2333</v>
      </c>
      <c r="AE353" s="44">
        <v>2332</v>
      </c>
      <c r="AF353" s="44">
        <v>2333</v>
      </c>
      <c r="AG353" s="44"/>
      <c r="AH353" s="47" t="s">
        <v>52</v>
      </c>
      <c r="AI353" s="44">
        <v>1</v>
      </c>
      <c r="AJ353" s="44" t="s">
        <v>203</v>
      </c>
      <c r="AK353" s="44" t="s">
        <v>204</v>
      </c>
      <c r="AL353" s="44" t="s">
        <v>205</v>
      </c>
      <c r="AM353" s="44" t="s">
        <v>206</v>
      </c>
      <c r="AN353" s="47">
        <v>0</v>
      </c>
      <c r="AO353" s="44"/>
      <c r="AP353" s="44" t="s">
        <v>53</v>
      </c>
      <c r="AQ353" s="2">
        <v>0</v>
      </c>
    </row>
    <row r="354" s="7" customFormat="1" ht="12.75" spans="1:43">
      <c r="A354" s="44">
        <v>168308</v>
      </c>
      <c r="B354" s="44" t="s">
        <v>226</v>
      </c>
      <c r="C354" s="44"/>
      <c r="D354" s="44"/>
      <c r="E354" s="44"/>
      <c r="F354" s="44">
        <v>0</v>
      </c>
      <c r="G354" s="44">
        <v>0</v>
      </c>
      <c r="H354" s="44">
        <v>1</v>
      </c>
      <c r="I354" s="44">
        <v>1</v>
      </c>
      <c r="J354" s="12">
        <v>0</v>
      </c>
      <c r="K354" s="44" t="s">
        <v>46</v>
      </c>
      <c r="L354" s="47">
        <v>0</v>
      </c>
      <c r="M354" s="50">
        <v>1020113</v>
      </c>
      <c r="N354" s="44">
        <v>0</v>
      </c>
      <c r="O354" s="47">
        <v>-1</v>
      </c>
      <c r="P354" s="44">
        <v>1683</v>
      </c>
      <c r="Q354" s="44">
        <v>1061</v>
      </c>
      <c r="R354" s="44">
        <v>515</v>
      </c>
      <c r="S354" s="44">
        <v>66</v>
      </c>
      <c r="T354" s="44">
        <v>32</v>
      </c>
      <c r="U354" s="44">
        <v>3</v>
      </c>
      <c r="V354" s="44"/>
      <c r="W354" s="47">
        <v>0</v>
      </c>
      <c r="X354" s="47"/>
      <c r="Y354" s="47" t="str">
        <f t="shared" ref="Y354" si="212">B354</f>
        <v>小白龙</v>
      </c>
      <c r="Z354" s="44"/>
      <c r="AA354" s="44"/>
      <c r="AB354" s="44"/>
      <c r="AC354" s="44">
        <v>2335</v>
      </c>
      <c r="AD354" s="44">
        <v>2336</v>
      </c>
      <c r="AE354" s="44">
        <v>2335</v>
      </c>
      <c r="AF354" s="44">
        <v>2336</v>
      </c>
      <c r="AG354" s="44"/>
      <c r="AH354" s="47" t="s">
        <v>52</v>
      </c>
      <c r="AI354" s="44">
        <v>1</v>
      </c>
      <c r="AJ354" s="44" t="s">
        <v>223</v>
      </c>
      <c r="AK354" s="44"/>
      <c r="AL354" s="44" t="s">
        <v>237</v>
      </c>
      <c r="AM354" s="44" t="s">
        <v>238</v>
      </c>
      <c r="AN354" s="47">
        <v>0</v>
      </c>
      <c r="AO354" s="44"/>
      <c r="AP354" s="44" t="s">
        <v>53</v>
      </c>
      <c r="AQ354" s="2">
        <v>0</v>
      </c>
    </row>
    <row r="355" s="7" customFormat="1" ht="12" spans="1:43">
      <c r="A355" s="44">
        <v>168309</v>
      </c>
      <c r="B355" s="44" t="s">
        <v>216</v>
      </c>
      <c r="C355" s="44"/>
      <c r="D355" s="44"/>
      <c r="E355" s="44"/>
      <c r="F355" s="44">
        <v>0</v>
      </c>
      <c r="G355" s="44">
        <v>0</v>
      </c>
      <c r="H355" s="44">
        <v>1</v>
      </c>
      <c r="I355" s="44">
        <v>1</v>
      </c>
      <c r="J355" s="12">
        <v>0</v>
      </c>
      <c r="K355" s="44" t="s">
        <v>46</v>
      </c>
      <c r="L355" s="47">
        <v>0</v>
      </c>
      <c r="M355" s="44">
        <v>1010130</v>
      </c>
      <c r="N355" s="44">
        <v>0</v>
      </c>
      <c r="O355" s="47">
        <v>-1</v>
      </c>
      <c r="P355" s="44">
        <v>1683</v>
      </c>
      <c r="Q355" s="44">
        <v>1061</v>
      </c>
      <c r="R355" s="44">
        <v>515</v>
      </c>
      <c r="S355" s="44">
        <v>66</v>
      </c>
      <c r="T355" s="44">
        <v>32</v>
      </c>
      <c r="U355" s="44">
        <v>3</v>
      </c>
      <c r="V355" s="44"/>
      <c r="W355" s="47">
        <v>0</v>
      </c>
      <c r="X355" s="47"/>
      <c r="Y355" s="47" t="str">
        <f t="shared" ref="Y355" si="213">B355</f>
        <v>魔物</v>
      </c>
      <c r="Z355" s="44"/>
      <c r="AA355" s="44"/>
      <c r="AB355" s="44"/>
      <c r="AC355" s="44">
        <v>2328</v>
      </c>
      <c r="AD355" s="44">
        <v>2328</v>
      </c>
      <c r="AE355" s="44">
        <v>2328</v>
      </c>
      <c r="AF355" s="44">
        <v>2328</v>
      </c>
      <c r="AG355" s="44"/>
      <c r="AH355" s="47" t="s">
        <v>52</v>
      </c>
      <c r="AI355" s="44">
        <v>1</v>
      </c>
      <c r="AJ355" s="44" t="s">
        <v>223</v>
      </c>
      <c r="AK355" s="44"/>
      <c r="AL355" s="44" t="s">
        <v>237</v>
      </c>
      <c r="AM355" s="44" t="s">
        <v>238</v>
      </c>
      <c r="AN355" s="47">
        <v>0</v>
      </c>
      <c r="AO355" s="44"/>
      <c r="AP355" s="44" t="s">
        <v>53</v>
      </c>
      <c r="AQ355" s="2">
        <v>0</v>
      </c>
    </row>
    <row r="356" s="7" customFormat="1" ht="12" spans="1:43">
      <c r="A356" s="44">
        <v>168310</v>
      </c>
      <c r="B356" s="44" t="s">
        <v>216</v>
      </c>
      <c r="C356" s="44"/>
      <c r="D356" s="44"/>
      <c r="E356" s="44"/>
      <c r="F356" s="44">
        <v>0</v>
      </c>
      <c r="G356" s="44">
        <v>0</v>
      </c>
      <c r="H356" s="44">
        <v>1</v>
      </c>
      <c r="I356" s="44">
        <v>1</v>
      </c>
      <c r="J356" s="12">
        <v>0</v>
      </c>
      <c r="K356" s="44" t="s">
        <v>46</v>
      </c>
      <c r="L356" s="47">
        <v>0</v>
      </c>
      <c r="M356" s="44">
        <v>1010130</v>
      </c>
      <c r="N356" s="44">
        <v>0</v>
      </c>
      <c r="O356" s="47">
        <v>-1</v>
      </c>
      <c r="P356" s="44">
        <v>1683</v>
      </c>
      <c r="Q356" s="44">
        <v>964</v>
      </c>
      <c r="R356" s="44">
        <v>691</v>
      </c>
      <c r="S356" s="44">
        <f t="shared" ref="S356" si="214">FLOOR(Q356/16,1)</f>
        <v>60</v>
      </c>
      <c r="T356" s="44">
        <f t="shared" ref="T356:T359" si="215">FLOOR(R356/16,1)</f>
        <v>43</v>
      </c>
      <c r="U356" s="44">
        <v>3</v>
      </c>
      <c r="V356" s="44"/>
      <c r="W356" s="47">
        <v>0</v>
      </c>
      <c r="X356" s="47"/>
      <c r="Y356" s="47" t="str">
        <f t="shared" ref="Y356" si="216">B356</f>
        <v>魔物</v>
      </c>
      <c r="Z356" s="44"/>
      <c r="AA356" s="44"/>
      <c r="AB356" s="44"/>
      <c r="AC356" s="44">
        <v>2329</v>
      </c>
      <c r="AD356" s="44"/>
      <c r="AE356" s="44"/>
      <c r="AF356" s="44"/>
      <c r="AG356" s="44"/>
      <c r="AH356" s="47" t="s">
        <v>52</v>
      </c>
      <c r="AI356" s="44">
        <v>1</v>
      </c>
      <c r="AJ356" s="44"/>
      <c r="AK356" s="44"/>
      <c r="AL356" s="44"/>
      <c r="AM356" s="44"/>
      <c r="AN356" s="47">
        <v>0</v>
      </c>
      <c r="AO356" s="44"/>
      <c r="AP356" s="44" t="s">
        <v>53</v>
      </c>
      <c r="AQ356" s="2">
        <v>0</v>
      </c>
    </row>
    <row r="357" s="7" customFormat="1" ht="12" spans="1:43">
      <c r="A357" s="44">
        <v>168311</v>
      </c>
      <c r="B357" s="44" t="s">
        <v>638</v>
      </c>
      <c r="C357" s="44"/>
      <c r="D357" s="44"/>
      <c r="E357" s="44"/>
      <c r="F357" s="44">
        <v>0</v>
      </c>
      <c r="G357" s="44">
        <v>0</v>
      </c>
      <c r="H357" s="44">
        <v>1</v>
      </c>
      <c r="I357" s="44">
        <v>1</v>
      </c>
      <c r="J357" s="12">
        <v>0</v>
      </c>
      <c r="K357" s="44" t="s">
        <v>46</v>
      </c>
      <c r="L357" s="47">
        <v>0</v>
      </c>
      <c r="M357" s="44">
        <v>1010128</v>
      </c>
      <c r="N357" s="44">
        <v>0</v>
      </c>
      <c r="O357" s="47">
        <v>-1</v>
      </c>
      <c r="P357" s="44">
        <v>1683</v>
      </c>
      <c r="Q357" s="44">
        <v>220</v>
      </c>
      <c r="R357" s="44">
        <v>1583</v>
      </c>
      <c r="S357" s="44">
        <f t="shared" ref="S357:S359" si="217">FLOOR(Q357/16,1)</f>
        <v>13</v>
      </c>
      <c r="T357" s="44">
        <f t="shared" si="215"/>
        <v>98</v>
      </c>
      <c r="U357" s="44">
        <v>3</v>
      </c>
      <c r="V357" s="44"/>
      <c r="W357" s="47">
        <v>0</v>
      </c>
      <c r="X357" s="47"/>
      <c r="Y357" s="47" t="str">
        <f t="shared" ref="Y357" si="218">B357</f>
        <v>千年僵尸</v>
      </c>
      <c r="Z357" s="44"/>
      <c r="AA357" s="44"/>
      <c r="AB357" s="44"/>
      <c r="AC357" s="44">
        <v>2382</v>
      </c>
      <c r="AD357" s="44"/>
      <c r="AE357" s="44"/>
      <c r="AF357" s="44"/>
      <c r="AG357" s="44"/>
      <c r="AH357" s="47" t="s">
        <v>52</v>
      </c>
      <c r="AI357" s="44">
        <v>1</v>
      </c>
      <c r="AJ357" s="44"/>
      <c r="AK357" s="44"/>
      <c r="AL357" s="44"/>
      <c r="AM357" s="44"/>
      <c r="AN357" s="47">
        <v>0</v>
      </c>
      <c r="AO357" s="44"/>
      <c r="AP357" s="44" t="s">
        <v>53</v>
      </c>
      <c r="AQ357" s="2">
        <v>0</v>
      </c>
    </row>
    <row r="358" s="7" customFormat="1" ht="12" spans="1:43">
      <c r="A358" s="44">
        <v>168312</v>
      </c>
      <c r="B358" s="44" t="s">
        <v>639</v>
      </c>
      <c r="C358" s="44"/>
      <c r="D358" s="44"/>
      <c r="E358" s="44"/>
      <c r="F358" s="44">
        <v>0</v>
      </c>
      <c r="G358" s="44">
        <v>0</v>
      </c>
      <c r="H358" s="44">
        <v>1</v>
      </c>
      <c r="I358" s="44">
        <v>1</v>
      </c>
      <c r="J358" s="12">
        <v>0</v>
      </c>
      <c r="K358" s="44" t="s">
        <v>46</v>
      </c>
      <c r="L358" s="47">
        <v>0</v>
      </c>
      <c r="M358" s="44">
        <v>1030013</v>
      </c>
      <c r="N358" s="44">
        <v>0</v>
      </c>
      <c r="O358" s="47">
        <v>-1</v>
      </c>
      <c r="P358" s="44">
        <v>1683</v>
      </c>
      <c r="Q358" s="44">
        <v>88</v>
      </c>
      <c r="R358" s="44">
        <v>1726</v>
      </c>
      <c r="S358" s="44">
        <f t="shared" si="217"/>
        <v>5</v>
      </c>
      <c r="T358" s="44">
        <f t="shared" si="215"/>
        <v>107</v>
      </c>
      <c r="U358" s="44">
        <v>1</v>
      </c>
      <c r="V358" s="44"/>
      <c r="W358" s="47">
        <v>0</v>
      </c>
      <c r="X358" s="47"/>
      <c r="Y358" s="47" t="str">
        <f t="shared" ref="Y358" si="219">B358</f>
        <v>宝箱</v>
      </c>
      <c r="Z358" s="44"/>
      <c r="AA358" s="44"/>
      <c r="AB358" s="44"/>
      <c r="AC358" s="44">
        <v>2671</v>
      </c>
      <c r="AD358" s="44"/>
      <c r="AE358" s="44"/>
      <c r="AF358" s="44"/>
      <c r="AG358" s="44"/>
      <c r="AH358" s="47" t="s">
        <v>52</v>
      </c>
      <c r="AI358" s="44">
        <v>1</v>
      </c>
      <c r="AJ358" s="44"/>
      <c r="AK358" s="44"/>
      <c r="AL358" s="44"/>
      <c r="AM358" s="44"/>
      <c r="AN358" s="47">
        <v>0</v>
      </c>
      <c r="AO358" s="44"/>
      <c r="AP358" s="44" t="s">
        <v>53</v>
      </c>
      <c r="AQ358" s="2">
        <v>0</v>
      </c>
    </row>
    <row r="359" s="7" customFormat="1" ht="12" spans="1:43">
      <c r="A359" s="44">
        <v>168401</v>
      </c>
      <c r="B359" s="44" t="s">
        <v>640</v>
      </c>
      <c r="C359" s="44"/>
      <c r="D359" s="44"/>
      <c r="E359" s="44"/>
      <c r="F359" s="44">
        <v>0</v>
      </c>
      <c r="G359" s="44">
        <v>0</v>
      </c>
      <c r="H359" s="44">
        <v>1</v>
      </c>
      <c r="I359" s="44">
        <v>1</v>
      </c>
      <c r="J359" s="12">
        <v>0</v>
      </c>
      <c r="K359" s="44" t="s">
        <v>46</v>
      </c>
      <c r="L359" s="47">
        <v>0</v>
      </c>
      <c r="M359" s="44">
        <v>1020112</v>
      </c>
      <c r="N359" s="44">
        <v>0</v>
      </c>
      <c r="O359" s="47">
        <v>-1</v>
      </c>
      <c r="P359" s="44">
        <v>1684</v>
      </c>
      <c r="Q359" s="44">
        <v>976</v>
      </c>
      <c r="R359" s="44">
        <v>490</v>
      </c>
      <c r="S359" s="44">
        <f t="shared" si="217"/>
        <v>61</v>
      </c>
      <c r="T359" s="44">
        <f t="shared" si="215"/>
        <v>30</v>
      </c>
      <c r="U359" s="44">
        <v>3</v>
      </c>
      <c r="V359" s="44"/>
      <c r="W359" s="47">
        <v>0</v>
      </c>
      <c r="X359" s="47"/>
      <c r="Y359" s="47" t="str">
        <f t="shared" ref="Y359" si="220">B359</f>
        <v>范班</v>
      </c>
      <c r="Z359" s="44"/>
      <c r="AA359" s="44"/>
      <c r="AB359" s="44"/>
      <c r="AC359" s="44">
        <v>2334</v>
      </c>
      <c r="AD359" s="44">
        <v>2334</v>
      </c>
      <c r="AE359" s="44">
        <v>2334</v>
      </c>
      <c r="AF359" s="44">
        <v>2334</v>
      </c>
      <c r="AG359" s="44"/>
      <c r="AH359" s="47" t="s">
        <v>52</v>
      </c>
      <c r="AI359" s="44">
        <v>1</v>
      </c>
      <c r="AJ359" s="44" t="s">
        <v>223</v>
      </c>
      <c r="AK359" s="44"/>
      <c r="AL359" s="44" t="s">
        <v>237</v>
      </c>
      <c r="AM359" s="44" t="s">
        <v>238</v>
      </c>
      <c r="AN359" s="47">
        <v>0</v>
      </c>
      <c r="AO359" s="44"/>
      <c r="AP359" s="44" t="s">
        <v>53</v>
      </c>
      <c r="AQ359" s="2">
        <v>0</v>
      </c>
    </row>
    <row r="360" s="7" customFormat="1" ht="12.75" spans="1:43">
      <c r="A360" s="44">
        <v>168501</v>
      </c>
      <c r="B360" s="44" t="s">
        <v>226</v>
      </c>
      <c r="C360" s="44"/>
      <c r="D360" s="44"/>
      <c r="E360" s="44"/>
      <c r="F360" s="44">
        <v>0</v>
      </c>
      <c r="G360" s="44">
        <v>0</v>
      </c>
      <c r="H360" s="44">
        <v>1</v>
      </c>
      <c r="I360" s="44">
        <v>1</v>
      </c>
      <c r="J360" s="12">
        <v>0</v>
      </c>
      <c r="K360" s="44" t="s">
        <v>46</v>
      </c>
      <c r="L360" s="47">
        <v>0</v>
      </c>
      <c r="M360" s="50">
        <v>1020113</v>
      </c>
      <c r="N360" s="44">
        <v>0</v>
      </c>
      <c r="O360" s="47">
        <v>-1</v>
      </c>
      <c r="P360" s="44">
        <v>1685</v>
      </c>
      <c r="Q360" s="44">
        <v>1158</v>
      </c>
      <c r="R360" s="44">
        <v>591</v>
      </c>
      <c r="S360" s="44">
        <v>72</v>
      </c>
      <c r="T360" s="44">
        <v>36</v>
      </c>
      <c r="U360" s="44">
        <v>3</v>
      </c>
      <c r="V360" s="44"/>
      <c r="W360" s="47">
        <v>0</v>
      </c>
      <c r="X360" s="47"/>
      <c r="Y360" s="47" t="str">
        <f t="shared" ref="Y360" si="221">B360</f>
        <v>小白龙</v>
      </c>
      <c r="Z360" s="44"/>
      <c r="AA360" s="44"/>
      <c r="AB360" s="44"/>
      <c r="AC360" s="44">
        <v>2335</v>
      </c>
      <c r="AD360" s="44">
        <v>2336</v>
      </c>
      <c r="AE360" s="44">
        <v>2335</v>
      </c>
      <c r="AF360" s="44">
        <v>2336</v>
      </c>
      <c r="AG360" s="44"/>
      <c r="AH360" s="47" t="s">
        <v>52</v>
      </c>
      <c r="AI360" s="44">
        <v>1</v>
      </c>
      <c r="AJ360" s="44" t="s">
        <v>223</v>
      </c>
      <c r="AK360" s="44"/>
      <c r="AL360" s="44" t="s">
        <v>237</v>
      </c>
      <c r="AM360" s="44" t="s">
        <v>238</v>
      </c>
      <c r="AN360" s="47">
        <v>0</v>
      </c>
      <c r="AO360" s="44"/>
      <c r="AP360" s="44" t="s">
        <v>53</v>
      </c>
      <c r="AQ360" s="2">
        <v>0</v>
      </c>
    </row>
    <row r="361" s="7" customFormat="1" ht="12" spans="1:43">
      <c r="A361" s="44">
        <v>168502</v>
      </c>
      <c r="B361" s="44" t="s">
        <v>641</v>
      </c>
      <c r="C361" s="44"/>
      <c r="D361" s="44"/>
      <c r="E361" s="44"/>
      <c r="F361" s="44">
        <v>0</v>
      </c>
      <c r="G361" s="44">
        <v>0</v>
      </c>
      <c r="H361" s="44">
        <v>1</v>
      </c>
      <c r="I361" s="44">
        <v>1</v>
      </c>
      <c r="J361" s="12">
        <v>0</v>
      </c>
      <c r="K361" s="44" t="s">
        <v>46</v>
      </c>
      <c r="L361" s="47">
        <v>0</v>
      </c>
      <c r="M361" s="44">
        <v>1000105</v>
      </c>
      <c r="N361" s="44">
        <v>0</v>
      </c>
      <c r="O361" s="47">
        <v>-1</v>
      </c>
      <c r="P361" s="44">
        <v>1685</v>
      </c>
      <c r="Q361" s="44">
        <v>824</v>
      </c>
      <c r="R361" s="44">
        <v>842</v>
      </c>
      <c r="S361" s="44">
        <v>51</v>
      </c>
      <c r="T361" s="44">
        <v>52</v>
      </c>
      <c r="U361" s="44">
        <v>3</v>
      </c>
      <c r="V361" s="44"/>
      <c r="W361" s="47">
        <v>0</v>
      </c>
      <c r="X361" s="47"/>
      <c r="Y361" s="47" t="str">
        <f t="shared" ref="Y361" si="222">B361</f>
        <v>龙傲</v>
      </c>
      <c r="Z361" s="44"/>
      <c r="AA361" s="44"/>
      <c r="AB361" s="44"/>
      <c r="AC361" s="44">
        <v>2337</v>
      </c>
      <c r="AD361" s="44">
        <v>2338</v>
      </c>
      <c r="AE361" s="44">
        <v>2337</v>
      </c>
      <c r="AF361" s="44">
        <v>2338</v>
      </c>
      <c r="AG361" s="44"/>
      <c r="AH361" s="47" t="s">
        <v>52</v>
      </c>
      <c r="AI361" s="44">
        <v>1</v>
      </c>
      <c r="AJ361" s="44" t="s">
        <v>223</v>
      </c>
      <c r="AK361" s="44"/>
      <c r="AL361" s="44" t="s">
        <v>237</v>
      </c>
      <c r="AM361" s="44" t="s">
        <v>238</v>
      </c>
      <c r="AN361" s="47">
        <v>0</v>
      </c>
      <c r="AO361" s="44"/>
      <c r="AP361" s="44" t="s">
        <v>53</v>
      </c>
      <c r="AQ361" s="2">
        <v>0</v>
      </c>
    </row>
    <row r="362" s="7" customFormat="1" ht="12" spans="1:43">
      <c r="A362" s="44">
        <v>168503</v>
      </c>
      <c r="B362" s="44" t="s">
        <v>642</v>
      </c>
      <c r="C362" s="44"/>
      <c r="D362" s="44"/>
      <c r="E362" s="44"/>
      <c r="F362" s="44">
        <v>0</v>
      </c>
      <c r="G362" s="44">
        <v>0</v>
      </c>
      <c r="H362" s="44">
        <v>1</v>
      </c>
      <c r="I362" s="44">
        <v>1</v>
      </c>
      <c r="J362" s="12">
        <v>0</v>
      </c>
      <c r="K362" s="44" t="s">
        <v>46</v>
      </c>
      <c r="L362" s="47">
        <v>0</v>
      </c>
      <c r="M362" s="44">
        <v>1010140</v>
      </c>
      <c r="N362" s="44">
        <v>0</v>
      </c>
      <c r="O362" s="47">
        <v>-1</v>
      </c>
      <c r="P362" s="44">
        <v>1685</v>
      </c>
      <c r="Q362" s="44">
        <v>944</v>
      </c>
      <c r="R362" s="44">
        <v>552</v>
      </c>
      <c r="S362" s="44">
        <v>59</v>
      </c>
      <c r="T362" s="44">
        <v>34</v>
      </c>
      <c r="U362" s="44">
        <v>3</v>
      </c>
      <c r="V362" s="44"/>
      <c r="W362" s="47">
        <v>0</v>
      </c>
      <c r="X362" s="47"/>
      <c r="Y362" s="47" t="str">
        <f t="shared" ref="Y362" si="223">B362</f>
        <v>魔物先锋</v>
      </c>
      <c r="Z362" s="44"/>
      <c r="AA362" s="44"/>
      <c r="AB362" s="44"/>
      <c r="AC362" s="44">
        <v>2339</v>
      </c>
      <c r="AD362" s="44">
        <v>2339</v>
      </c>
      <c r="AE362" s="44">
        <v>2339</v>
      </c>
      <c r="AF362" s="44">
        <v>2339</v>
      </c>
      <c r="AG362" s="44"/>
      <c r="AH362" s="47" t="s">
        <v>52</v>
      </c>
      <c r="AI362" s="44">
        <v>1</v>
      </c>
      <c r="AJ362" s="44" t="s">
        <v>223</v>
      </c>
      <c r="AK362" s="44"/>
      <c r="AL362" s="44" t="s">
        <v>237</v>
      </c>
      <c r="AM362" s="44" t="s">
        <v>238</v>
      </c>
      <c r="AN362" s="47">
        <v>0</v>
      </c>
      <c r="AO362" s="44"/>
      <c r="AP362" s="44" t="s">
        <v>53</v>
      </c>
      <c r="AQ362" s="2">
        <v>0</v>
      </c>
    </row>
    <row r="363" s="7" customFormat="1" ht="12" spans="1:43">
      <c r="A363" s="44">
        <v>168504</v>
      </c>
      <c r="B363" s="44" t="s">
        <v>642</v>
      </c>
      <c r="C363" s="44"/>
      <c r="D363" s="44"/>
      <c r="E363" s="44"/>
      <c r="F363" s="44">
        <v>0</v>
      </c>
      <c r="G363" s="44">
        <v>0</v>
      </c>
      <c r="H363" s="44">
        <v>1</v>
      </c>
      <c r="I363" s="44">
        <v>1</v>
      </c>
      <c r="J363" s="12">
        <v>0</v>
      </c>
      <c r="K363" s="44" t="s">
        <v>46</v>
      </c>
      <c r="L363" s="47">
        <v>0</v>
      </c>
      <c r="M363" s="44">
        <v>1010140</v>
      </c>
      <c r="N363" s="44">
        <v>0</v>
      </c>
      <c r="O363" s="47">
        <v>-1</v>
      </c>
      <c r="P363" s="44">
        <v>1685</v>
      </c>
      <c r="Q363" s="44">
        <v>1192</v>
      </c>
      <c r="R363" s="44">
        <v>809</v>
      </c>
      <c r="S363" s="44">
        <v>74</v>
      </c>
      <c r="T363" s="44">
        <v>50</v>
      </c>
      <c r="U363" s="44">
        <v>3</v>
      </c>
      <c r="V363" s="44"/>
      <c r="W363" s="47">
        <v>0</v>
      </c>
      <c r="X363" s="47"/>
      <c r="Y363" s="47" t="str">
        <f t="shared" ref="Y363" si="224">B363</f>
        <v>魔物先锋</v>
      </c>
      <c r="Z363" s="44"/>
      <c r="AA363" s="44"/>
      <c r="AB363" s="44"/>
      <c r="AC363" s="44">
        <v>2339</v>
      </c>
      <c r="AD363" s="44">
        <v>2339</v>
      </c>
      <c r="AE363" s="44">
        <v>2339</v>
      </c>
      <c r="AF363" s="44">
        <v>2339</v>
      </c>
      <c r="AG363" s="44"/>
      <c r="AH363" s="47" t="s">
        <v>52</v>
      </c>
      <c r="AI363" s="44">
        <v>1</v>
      </c>
      <c r="AJ363" s="44" t="s">
        <v>223</v>
      </c>
      <c r="AK363" s="44"/>
      <c r="AL363" s="44" t="s">
        <v>237</v>
      </c>
      <c r="AM363" s="44" t="s">
        <v>238</v>
      </c>
      <c r="AN363" s="47">
        <v>0</v>
      </c>
      <c r="AO363" s="44"/>
      <c r="AP363" s="44" t="s">
        <v>53</v>
      </c>
      <c r="AQ363" s="2">
        <v>0</v>
      </c>
    </row>
    <row r="364" s="7" customFormat="1" ht="12" spans="1:43">
      <c r="A364" s="44">
        <v>168505</v>
      </c>
      <c r="B364" s="44" t="s">
        <v>643</v>
      </c>
      <c r="C364" s="44"/>
      <c r="D364" s="44"/>
      <c r="E364" s="44"/>
      <c r="F364" s="44">
        <v>0</v>
      </c>
      <c r="G364" s="44">
        <v>0</v>
      </c>
      <c r="H364" s="44">
        <v>1</v>
      </c>
      <c r="I364" s="44">
        <v>1</v>
      </c>
      <c r="J364" s="12">
        <v>0</v>
      </c>
      <c r="K364" s="44" t="s">
        <v>46</v>
      </c>
      <c r="L364" s="47">
        <v>0</v>
      </c>
      <c r="M364" s="44">
        <v>1010129</v>
      </c>
      <c r="N364" s="44">
        <v>0</v>
      </c>
      <c r="O364" s="47">
        <v>-1</v>
      </c>
      <c r="P364" s="44">
        <v>1685</v>
      </c>
      <c r="Q364" s="44">
        <v>784</v>
      </c>
      <c r="R364" s="44">
        <v>565</v>
      </c>
      <c r="S364" s="44">
        <v>49</v>
      </c>
      <c r="T364" s="44">
        <v>35</v>
      </c>
      <c r="U364" s="44">
        <v>3</v>
      </c>
      <c r="V364" s="44"/>
      <c r="W364" s="47">
        <v>0</v>
      </c>
      <c r="X364" s="47"/>
      <c r="Y364" s="47" t="str">
        <f t="shared" ref="Y364" si="225">B364</f>
        <v>爪牙</v>
      </c>
      <c r="Z364" s="44"/>
      <c r="AA364" s="44"/>
      <c r="AB364" s="44"/>
      <c r="AC364" s="44">
        <v>2340</v>
      </c>
      <c r="AD364" s="44">
        <v>2340</v>
      </c>
      <c r="AE364" s="44">
        <v>2340</v>
      </c>
      <c r="AF364" s="44">
        <v>2340</v>
      </c>
      <c r="AG364" s="44"/>
      <c r="AH364" s="47" t="s">
        <v>52</v>
      </c>
      <c r="AI364" s="44">
        <v>1</v>
      </c>
      <c r="AJ364" s="44" t="s">
        <v>223</v>
      </c>
      <c r="AK364" s="44"/>
      <c r="AL364" s="44" t="s">
        <v>237</v>
      </c>
      <c r="AM364" s="44" t="s">
        <v>238</v>
      </c>
      <c r="AN364" s="47">
        <v>0</v>
      </c>
      <c r="AO364" s="44"/>
      <c r="AP364" s="44" t="s">
        <v>53</v>
      </c>
      <c r="AQ364" s="2">
        <v>0</v>
      </c>
    </row>
    <row r="365" s="7" customFormat="1" ht="12" spans="1:43">
      <c r="A365" s="44">
        <v>168506</v>
      </c>
      <c r="B365" s="44" t="s">
        <v>643</v>
      </c>
      <c r="C365" s="44"/>
      <c r="D365" s="44"/>
      <c r="E365" s="44"/>
      <c r="F365" s="44">
        <v>0</v>
      </c>
      <c r="G365" s="44">
        <v>0</v>
      </c>
      <c r="H365" s="44">
        <v>1</v>
      </c>
      <c r="I365" s="44">
        <v>1</v>
      </c>
      <c r="J365" s="12">
        <v>0</v>
      </c>
      <c r="K365" s="44" t="s">
        <v>46</v>
      </c>
      <c r="L365" s="47">
        <v>0</v>
      </c>
      <c r="M365" s="44">
        <v>1010129</v>
      </c>
      <c r="N365" s="44">
        <v>0</v>
      </c>
      <c r="O365" s="47">
        <v>-1</v>
      </c>
      <c r="P365" s="44">
        <v>1685</v>
      </c>
      <c r="Q365" s="44">
        <v>1234</v>
      </c>
      <c r="R365" s="44">
        <v>954</v>
      </c>
      <c r="S365" s="44">
        <v>77</v>
      </c>
      <c r="T365" s="44">
        <v>59</v>
      </c>
      <c r="U365" s="44">
        <v>3</v>
      </c>
      <c r="V365" s="44"/>
      <c r="W365" s="47">
        <v>0</v>
      </c>
      <c r="X365" s="47"/>
      <c r="Y365" s="47" t="str">
        <f t="shared" ref="Y365" si="226">B365</f>
        <v>爪牙</v>
      </c>
      <c r="Z365" s="44"/>
      <c r="AA365" s="44"/>
      <c r="AB365" s="44"/>
      <c r="AC365" s="44">
        <v>2340</v>
      </c>
      <c r="AD365" s="44">
        <v>2340</v>
      </c>
      <c r="AE365" s="44">
        <v>2340</v>
      </c>
      <c r="AF365" s="44">
        <v>2340</v>
      </c>
      <c r="AG365" s="44"/>
      <c r="AH365" s="47" t="s">
        <v>52</v>
      </c>
      <c r="AI365" s="44">
        <v>1</v>
      </c>
      <c r="AJ365" s="44" t="s">
        <v>223</v>
      </c>
      <c r="AK365" s="44"/>
      <c r="AL365" s="44" t="s">
        <v>237</v>
      </c>
      <c r="AM365" s="44" t="s">
        <v>238</v>
      </c>
      <c r="AN365" s="47">
        <v>0</v>
      </c>
      <c r="AO365" s="44"/>
      <c r="AP365" s="44" t="s">
        <v>53</v>
      </c>
      <c r="AQ365" s="2">
        <v>0</v>
      </c>
    </row>
    <row r="366" s="7" customFormat="1" ht="12" spans="1:43">
      <c r="A366" s="80">
        <v>168507</v>
      </c>
      <c r="B366" s="80" t="s">
        <v>644</v>
      </c>
      <c r="C366" s="80"/>
      <c r="D366" s="80"/>
      <c r="E366" s="80"/>
      <c r="F366" s="80">
        <v>0</v>
      </c>
      <c r="G366" s="80">
        <v>0</v>
      </c>
      <c r="H366" s="80">
        <v>1</v>
      </c>
      <c r="I366" s="80">
        <v>1</v>
      </c>
      <c r="J366" s="12">
        <v>0</v>
      </c>
      <c r="K366" s="80" t="s">
        <v>46</v>
      </c>
      <c r="L366" s="81">
        <v>0</v>
      </c>
      <c r="M366" s="80">
        <v>1010140</v>
      </c>
      <c r="N366" s="80">
        <v>0</v>
      </c>
      <c r="O366" s="81">
        <v>-1</v>
      </c>
      <c r="P366" s="80">
        <v>1685</v>
      </c>
      <c r="Q366" s="80">
        <v>1030</v>
      </c>
      <c r="R366" s="80">
        <v>634</v>
      </c>
      <c r="S366" s="44">
        <v>64</v>
      </c>
      <c r="T366" s="44">
        <v>39</v>
      </c>
      <c r="U366" s="80">
        <v>3</v>
      </c>
      <c r="V366" s="80"/>
      <c r="W366" s="81">
        <v>0</v>
      </c>
      <c r="X366" s="81"/>
      <c r="Y366" s="47" t="str">
        <f t="shared" ref="Y366" si="227">B366</f>
        <v>魔物精英</v>
      </c>
      <c r="Z366" s="80"/>
      <c r="AA366" s="80"/>
      <c r="AB366" s="80"/>
      <c r="AC366" s="80">
        <v>2339</v>
      </c>
      <c r="AD366" s="80">
        <v>2339</v>
      </c>
      <c r="AE366" s="80">
        <v>2339</v>
      </c>
      <c r="AF366" s="80">
        <v>2339</v>
      </c>
      <c r="AG366" s="80"/>
      <c r="AH366" s="81" t="s">
        <v>52</v>
      </c>
      <c r="AI366" s="44">
        <v>1</v>
      </c>
      <c r="AJ366" s="44" t="s">
        <v>223</v>
      </c>
      <c r="AK366" s="44"/>
      <c r="AL366" s="44" t="s">
        <v>237</v>
      </c>
      <c r="AM366" s="44" t="s">
        <v>238</v>
      </c>
      <c r="AN366" s="81">
        <v>0</v>
      </c>
      <c r="AO366" s="80"/>
      <c r="AP366" s="80" t="s">
        <v>53</v>
      </c>
      <c r="AQ366" s="2">
        <v>0</v>
      </c>
    </row>
    <row r="367" s="7" customFormat="1" ht="12" spans="1:43">
      <c r="A367" s="44">
        <v>168601</v>
      </c>
      <c r="B367" s="44" t="s">
        <v>645</v>
      </c>
      <c r="C367" s="44"/>
      <c r="D367" s="44"/>
      <c r="E367" s="44"/>
      <c r="F367" s="44">
        <v>0</v>
      </c>
      <c r="G367" s="44">
        <v>0</v>
      </c>
      <c r="H367" s="44">
        <v>1</v>
      </c>
      <c r="I367" s="44">
        <v>1</v>
      </c>
      <c r="J367" s="12">
        <v>0</v>
      </c>
      <c r="K367" s="44" t="s">
        <v>46</v>
      </c>
      <c r="L367" s="47">
        <v>0</v>
      </c>
      <c r="M367" s="44">
        <v>1010133</v>
      </c>
      <c r="N367" s="44">
        <v>0</v>
      </c>
      <c r="O367" s="47">
        <v>-1</v>
      </c>
      <c r="P367" s="44">
        <v>1686</v>
      </c>
      <c r="Q367" s="44">
        <v>1154</v>
      </c>
      <c r="R367" s="44">
        <v>856</v>
      </c>
      <c r="S367" s="11">
        <f t="shared" ref="S367" si="228">FLOOR(Q367/16,1)</f>
        <v>72</v>
      </c>
      <c r="T367" s="11">
        <f t="shared" ref="T367:T372" si="229">FLOOR(R367/16,1)</f>
        <v>53</v>
      </c>
      <c r="U367" s="44">
        <v>1</v>
      </c>
      <c r="V367" s="44"/>
      <c r="W367" s="47">
        <v>0</v>
      </c>
      <c r="X367" s="47"/>
      <c r="Y367" s="47" t="str">
        <f t="shared" ref="Y367" si="230">B367</f>
        <v>魔物爪牙</v>
      </c>
      <c r="Z367" s="44"/>
      <c r="AA367" s="44"/>
      <c r="AB367" s="44"/>
      <c r="AC367" s="44">
        <v>2341</v>
      </c>
      <c r="AD367" s="44">
        <v>2341</v>
      </c>
      <c r="AE367" s="44">
        <v>2341</v>
      </c>
      <c r="AF367" s="44">
        <v>2341</v>
      </c>
      <c r="AG367" s="44"/>
      <c r="AH367" s="47" t="s">
        <v>52</v>
      </c>
      <c r="AI367" s="44">
        <v>1</v>
      </c>
      <c r="AJ367" s="44" t="s">
        <v>223</v>
      </c>
      <c r="AK367" s="44"/>
      <c r="AL367" s="44" t="s">
        <v>237</v>
      </c>
      <c r="AM367" s="44" t="s">
        <v>238</v>
      </c>
      <c r="AN367" s="47">
        <v>0</v>
      </c>
      <c r="AO367" s="44"/>
      <c r="AP367" s="44" t="s">
        <v>53</v>
      </c>
      <c r="AQ367" s="2">
        <v>0</v>
      </c>
    </row>
    <row r="368" s="7" customFormat="1" ht="12" spans="1:43">
      <c r="A368" s="44">
        <v>168602</v>
      </c>
      <c r="B368" s="44" t="s">
        <v>643</v>
      </c>
      <c r="C368" s="44"/>
      <c r="D368" s="44"/>
      <c r="E368" s="44"/>
      <c r="F368" s="44">
        <v>0</v>
      </c>
      <c r="G368" s="44">
        <v>0</v>
      </c>
      <c r="H368" s="44">
        <v>1</v>
      </c>
      <c r="I368" s="44">
        <v>1</v>
      </c>
      <c r="J368" s="12">
        <v>0</v>
      </c>
      <c r="K368" s="44" t="s">
        <v>46</v>
      </c>
      <c r="L368" s="47">
        <v>0</v>
      </c>
      <c r="M368" s="44">
        <v>1010129</v>
      </c>
      <c r="N368" s="44">
        <v>0</v>
      </c>
      <c r="O368" s="47">
        <v>-1</v>
      </c>
      <c r="P368" s="44">
        <v>1686</v>
      </c>
      <c r="Q368" s="44">
        <v>1104</v>
      </c>
      <c r="R368" s="44">
        <v>711</v>
      </c>
      <c r="S368" s="11">
        <f t="shared" ref="S368:S372" si="231">FLOOR(Q368/16,1)</f>
        <v>69</v>
      </c>
      <c r="T368" s="11">
        <f t="shared" si="229"/>
        <v>44</v>
      </c>
      <c r="U368" s="44">
        <v>3</v>
      </c>
      <c r="V368" s="44"/>
      <c r="W368" s="47">
        <v>0</v>
      </c>
      <c r="X368" s="47"/>
      <c r="Y368" s="47" t="str">
        <f t="shared" ref="Y368" si="232">B368</f>
        <v>爪牙</v>
      </c>
      <c r="Z368" s="44"/>
      <c r="AA368" s="44"/>
      <c r="AB368" s="44"/>
      <c r="AC368" s="44">
        <v>2340</v>
      </c>
      <c r="AD368" s="44">
        <v>2340</v>
      </c>
      <c r="AE368" s="44">
        <v>2340</v>
      </c>
      <c r="AF368" s="44">
        <v>2340</v>
      </c>
      <c r="AG368" s="44"/>
      <c r="AH368" s="47" t="s">
        <v>52</v>
      </c>
      <c r="AI368" s="44">
        <v>1</v>
      </c>
      <c r="AJ368" s="44" t="s">
        <v>223</v>
      </c>
      <c r="AK368" s="44"/>
      <c r="AL368" s="44" t="s">
        <v>237</v>
      </c>
      <c r="AM368" s="44" t="s">
        <v>238</v>
      </c>
      <c r="AN368" s="47">
        <v>0</v>
      </c>
      <c r="AO368" s="44"/>
      <c r="AP368" s="44" t="s">
        <v>53</v>
      </c>
      <c r="AQ368" s="2">
        <v>0</v>
      </c>
    </row>
    <row r="369" s="7" customFormat="1" ht="12" spans="1:43">
      <c r="A369" s="44">
        <v>168603</v>
      </c>
      <c r="B369" s="44" t="s">
        <v>643</v>
      </c>
      <c r="C369" s="44"/>
      <c r="D369" s="44"/>
      <c r="E369" s="44"/>
      <c r="F369" s="44">
        <v>0</v>
      </c>
      <c r="G369" s="44">
        <v>0</v>
      </c>
      <c r="H369" s="44">
        <v>1</v>
      </c>
      <c r="I369" s="44">
        <v>1</v>
      </c>
      <c r="J369" s="12">
        <v>0</v>
      </c>
      <c r="K369" s="44" t="s">
        <v>46</v>
      </c>
      <c r="L369" s="47">
        <v>0</v>
      </c>
      <c r="M369" s="44">
        <v>1010129</v>
      </c>
      <c r="N369" s="44">
        <v>0</v>
      </c>
      <c r="O369" s="47">
        <v>-1</v>
      </c>
      <c r="P369" s="44">
        <v>1686</v>
      </c>
      <c r="Q369" s="44">
        <v>1357</v>
      </c>
      <c r="R369" s="44">
        <v>845</v>
      </c>
      <c r="S369" s="11">
        <f t="shared" si="231"/>
        <v>84</v>
      </c>
      <c r="T369" s="11">
        <f t="shared" si="229"/>
        <v>52</v>
      </c>
      <c r="U369" s="44">
        <v>7</v>
      </c>
      <c r="V369" s="44"/>
      <c r="W369" s="47">
        <v>0</v>
      </c>
      <c r="X369" s="47"/>
      <c r="Y369" s="47" t="str">
        <f t="shared" ref="Y369" si="233">B369</f>
        <v>爪牙</v>
      </c>
      <c r="Z369" s="44"/>
      <c r="AA369" s="44"/>
      <c r="AB369" s="44"/>
      <c r="AC369" s="44">
        <v>2340</v>
      </c>
      <c r="AD369" s="44">
        <v>2340</v>
      </c>
      <c r="AE369" s="44">
        <v>2340</v>
      </c>
      <c r="AF369" s="44">
        <v>2340</v>
      </c>
      <c r="AG369" s="44"/>
      <c r="AH369" s="47" t="s">
        <v>52</v>
      </c>
      <c r="AI369" s="44">
        <v>1</v>
      </c>
      <c r="AJ369" s="44" t="s">
        <v>223</v>
      </c>
      <c r="AK369" s="44"/>
      <c r="AL369" s="44" t="s">
        <v>237</v>
      </c>
      <c r="AM369" s="44" t="s">
        <v>238</v>
      </c>
      <c r="AN369" s="47">
        <v>0</v>
      </c>
      <c r="AO369" s="44"/>
      <c r="AP369" s="44" t="s">
        <v>53</v>
      </c>
      <c r="AQ369" s="2">
        <v>0</v>
      </c>
    </row>
    <row r="370" s="7" customFormat="1" ht="12" spans="1:43">
      <c r="A370" s="44">
        <v>168604</v>
      </c>
      <c r="B370" s="44" t="s">
        <v>643</v>
      </c>
      <c r="C370" s="44"/>
      <c r="D370" s="44"/>
      <c r="E370" s="44"/>
      <c r="F370" s="44">
        <v>0</v>
      </c>
      <c r="G370" s="44">
        <v>0</v>
      </c>
      <c r="H370" s="44">
        <v>1</v>
      </c>
      <c r="I370" s="44">
        <v>1</v>
      </c>
      <c r="J370" s="12">
        <v>0</v>
      </c>
      <c r="K370" s="44" t="s">
        <v>46</v>
      </c>
      <c r="L370" s="47">
        <v>0</v>
      </c>
      <c r="M370" s="44">
        <v>1010129</v>
      </c>
      <c r="N370" s="44">
        <v>0</v>
      </c>
      <c r="O370" s="47">
        <v>-1</v>
      </c>
      <c r="P370" s="44">
        <v>1686</v>
      </c>
      <c r="Q370" s="44">
        <v>967</v>
      </c>
      <c r="R370" s="44">
        <v>933</v>
      </c>
      <c r="S370" s="11">
        <f t="shared" si="231"/>
        <v>60</v>
      </c>
      <c r="T370" s="11">
        <f t="shared" si="229"/>
        <v>58</v>
      </c>
      <c r="U370" s="44">
        <v>3</v>
      </c>
      <c r="V370" s="44"/>
      <c r="W370" s="47">
        <v>0</v>
      </c>
      <c r="X370" s="47"/>
      <c r="Y370" s="47" t="str">
        <f t="shared" ref="Y370" si="234">B370</f>
        <v>爪牙</v>
      </c>
      <c r="Z370" s="44"/>
      <c r="AA370" s="44"/>
      <c r="AB370" s="44"/>
      <c r="AC370" s="44">
        <v>2340</v>
      </c>
      <c r="AD370" s="44">
        <v>2340</v>
      </c>
      <c r="AE370" s="44">
        <v>2340</v>
      </c>
      <c r="AF370" s="44">
        <v>2340</v>
      </c>
      <c r="AG370" s="44"/>
      <c r="AH370" s="47" t="s">
        <v>52</v>
      </c>
      <c r="AI370" s="44">
        <v>1</v>
      </c>
      <c r="AJ370" s="44" t="s">
        <v>223</v>
      </c>
      <c r="AK370" s="44"/>
      <c r="AL370" s="44" t="s">
        <v>237</v>
      </c>
      <c r="AM370" s="44" t="s">
        <v>238</v>
      </c>
      <c r="AN370" s="47">
        <v>0</v>
      </c>
      <c r="AO370" s="44"/>
      <c r="AP370" s="44" t="s">
        <v>53</v>
      </c>
      <c r="AQ370" s="2">
        <v>0</v>
      </c>
    </row>
    <row r="371" s="7" customFormat="1" ht="12" spans="1:43">
      <c r="A371" s="44">
        <v>168605</v>
      </c>
      <c r="B371" s="44" t="s">
        <v>643</v>
      </c>
      <c r="C371" s="44"/>
      <c r="D371" s="44"/>
      <c r="E371" s="44"/>
      <c r="F371" s="44">
        <v>0</v>
      </c>
      <c r="G371" s="44">
        <v>0</v>
      </c>
      <c r="H371" s="44">
        <v>1</v>
      </c>
      <c r="I371" s="44">
        <v>1</v>
      </c>
      <c r="J371" s="12">
        <v>0</v>
      </c>
      <c r="K371" s="44" t="s">
        <v>46</v>
      </c>
      <c r="L371" s="47">
        <v>0</v>
      </c>
      <c r="M371" s="44">
        <v>1010129</v>
      </c>
      <c r="N371" s="44">
        <v>0</v>
      </c>
      <c r="O371" s="47">
        <v>-1</v>
      </c>
      <c r="P371" s="44">
        <v>1686</v>
      </c>
      <c r="Q371" s="44">
        <v>1189</v>
      </c>
      <c r="R371" s="44">
        <v>1051</v>
      </c>
      <c r="S371" s="11">
        <f t="shared" si="231"/>
        <v>74</v>
      </c>
      <c r="T371" s="11">
        <f t="shared" si="229"/>
        <v>65</v>
      </c>
      <c r="U371" s="44">
        <v>7</v>
      </c>
      <c r="V371" s="44"/>
      <c r="W371" s="47">
        <v>0</v>
      </c>
      <c r="X371" s="47"/>
      <c r="Y371" s="47" t="str">
        <f t="shared" ref="Y371" si="235">B371</f>
        <v>爪牙</v>
      </c>
      <c r="Z371" s="44"/>
      <c r="AA371" s="44"/>
      <c r="AB371" s="44"/>
      <c r="AC371" s="44">
        <v>2340</v>
      </c>
      <c r="AD371" s="44">
        <v>2340</v>
      </c>
      <c r="AE371" s="44">
        <v>2340</v>
      </c>
      <c r="AF371" s="44">
        <v>2340</v>
      </c>
      <c r="AG371" s="44"/>
      <c r="AH371" s="47" t="s">
        <v>52</v>
      </c>
      <c r="AI371" s="44">
        <v>1</v>
      </c>
      <c r="AJ371" s="44" t="s">
        <v>223</v>
      </c>
      <c r="AK371" s="44"/>
      <c r="AL371" s="44" t="s">
        <v>237</v>
      </c>
      <c r="AM371" s="44" t="s">
        <v>238</v>
      </c>
      <c r="AN371" s="47">
        <v>0</v>
      </c>
      <c r="AO371" s="44"/>
      <c r="AP371" s="44" t="s">
        <v>53</v>
      </c>
      <c r="AQ371" s="2">
        <v>0</v>
      </c>
    </row>
    <row r="372" s="7" customFormat="1" ht="12" spans="1:43">
      <c r="A372" s="44">
        <v>168606</v>
      </c>
      <c r="B372" s="44" t="s">
        <v>641</v>
      </c>
      <c r="C372" s="44"/>
      <c r="D372" s="44"/>
      <c r="E372" s="44"/>
      <c r="F372" s="44">
        <v>0</v>
      </c>
      <c r="G372" s="44">
        <v>0</v>
      </c>
      <c r="H372" s="44">
        <v>1</v>
      </c>
      <c r="I372" s="44">
        <v>1</v>
      </c>
      <c r="J372" s="12">
        <v>0</v>
      </c>
      <c r="K372" s="44" t="s">
        <v>46</v>
      </c>
      <c r="L372" s="47">
        <v>0</v>
      </c>
      <c r="M372" s="44">
        <v>1000105</v>
      </c>
      <c r="N372" s="44">
        <v>0</v>
      </c>
      <c r="O372" s="47">
        <v>-1</v>
      </c>
      <c r="P372" s="44">
        <v>1686</v>
      </c>
      <c r="Q372" s="44">
        <v>162</v>
      </c>
      <c r="R372" s="44">
        <v>912</v>
      </c>
      <c r="S372" s="11">
        <f t="shared" si="231"/>
        <v>10</v>
      </c>
      <c r="T372" s="11">
        <f t="shared" si="229"/>
        <v>57</v>
      </c>
      <c r="U372" s="44">
        <v>3</v>
      </c>
      <c r="V372" s="44"/>
      <c r="W372" s="47">
        <v>0</v>
      </c>
      <c r="X372" s="47"/>
      <c r="Y372" s="47" t="str">
        <f t="shared" ref="Y372" si="236">B372</f>
        <v>龙傲</v>
      </c>
      <c r="Z372" s="44"/>
      <c r="AA372" s="44"/>
      <c r="AB372" s="44"/>
      <c r="AC372" s="44">
        <v>2342</v>
      </c>
      <c r="AD372" s="44">
        <v>2343</v>
      </c>
      <c r="AE372" s="44">
        <v>2342</v>
      </c>
      <c r="AF372" s="44">
        <v>2343</v>
      </c>
      <c r="AG372" s="44"/>
      <c r="AH372" s="47" t="s">
        <v>52</v>
      </c>
      <c r="AI372" s="44">
        <v>1</v>
      </c>
      <c r="AJ372" s="44" t="s">
        <v>223</v>
      </c>
      <c r="AK372" s="44"/>
      <c r="AL372" s="44" t="s">
        <v>237</v>
      </c>
      <c r="AM372" s="44" t="s">
        <v>238</v>
      </c>
      <c r="AN372" s="47">
        <v>0</v>
      </c>
      <c r="AO372" s="44"/>
      <c r="AP372" s="44" t="s">
        <v>53</v>
      </c>
      <c r="AQ372" s="2">
        <v>0</v>
      </c>
    </row>
    <row r="373" s="10" customFormat="1" ht="12.75" spans="1:43">
      <c r="A373" s="63">
        <v>168701</v>
      </c>
      <c r="B373" s="63" t="s">
        <v>95</v>
      </c>
      <c r="C373" s="63"/>
      <c r="D373" s="63"/>
      <c r="E373" s="63"/>
      <c r="F373" s="63">
        <v>0</v>
      </c>
      <c r="G373" s="63">
        <v>0</v>
      </c>
      <c r="H373" s="63">
        <v>1</v>
      </c>
      <c r="I373" s="63">
        <v>1</v>
      </c>
      <c r="J373" s="12">
        <v>0</v>
      </c>
      <c r="K373" s="63" t="s">
        <v>46</v>
      </c>
      <c r="L373" s="47">
        <v>0</v>
      </c>
      <c r="M373" s="50">
        <v>1020129</v>
      </c>
      <c r="N373" s="63">
        <v>0</v>
      </c>
      <c r="O373" s="47">
        <v>-1</v>
      </c>
      <c r="P373" s="63">
        <v>1687</v>
      </c>
      <c r="Q373" s="63">
        <v>1158</v>
      </c>
      <c r="R373" s="63">
        <v>1484</v>
      </c>
      <c r="S373" s="63">
        <v>72</v>
      </c>
      <c r="T373" s="63">
        <v>92</v>
      </c>
      <c r="U373" s="63">
        <v>6</v>
      </c>
      <c r="V373" s="63"/>
      <c r="W373" s="47">
        <v>0</v>
      </c>
      <c r="X373" s="47"/>
      <c r="Y373" s="47" t="str">
        <f t="shared" ref="Y373" si="237">B373</f>
        <v>观音娘娘</v>
      </c>
      <c r="Z373" s="63"/>
      <c r="AA373" s="63"/>
      <c r="AB373" s="63"/>
      <c r="AC373" s="63">
        <v>2375</v>
      </c>
      <c r="AD373" s="63">
        <v>2376</v>
      </c>
      <c r="AE373" s="63" t="s">
        <v>51</v>
      </c>
      <c r="AF373" s="63" t="s">
        <v>51</v>
      </c>
      <c r="AG373" s="63"/>
      <c r="AH373" s="47" t="s">
        <v>52</v>
      </c>
      <c r="AI373" s="63">
        <v>1</v>
      </c>
      <c r="AJ373" s="63" t="s">
        <v>203</v>
      </c>
      <c r="AK373" s="63" t="s">
        <v>204</v>
      </c>
      <c r="AL373" s="63" t="s">
        <v>205</v>
      </c>
      <c r="AM373" s="63" t="s">
        <v>206</v>
      </c>
      <c r="AN373" s="47">
        <v>0</v>
      </c>
      <c r="AO373" s="63"/>
      <c r="AP373" s="63" t="s">
        <v>53</v>
      </c>
      <c r="AQ373" s="2">
        <v>0</v>
      </c>
    </row>
    <row r="374" s="10" customFormat="1" ht="12.75" spans="1:43">
      <c r="A374" s="63">
        <v>168702</v>
      </c>
      <c r="B374" s="63" t="s">
        <v>226</v>
      </c>
      <c r="C374" s="63"/>
      <c r="D374" s="63"/>
      <c r="E374" s="63"/>
      <c r="F374" s="63">
        <v>0</v>
      </c>
      <c r="G374" s="63">
        <v>0</v>
      </c>
      <c r="H374" s="63">
        <v>1</v>
      </c>
      <c r="I374" s="63">
        <v>1</v>
      </c>
      <c r="J374" s="12">
        <v>0</v>
      </c>
      <c r="K374" s="63" t="s">
        <v>46</v>
      </c>
      <c r="L374" s="47">
        <v>0</v>
      </c>
      <c r="M374" s="50">
        <v>1020113</v>
      </c>
      <c r="N374" s="63">
        <v>0</v>
      </c>
      <c r="O374" s="47">
        <v>-1</v>
      </c>
      <c r="P374" s="63">
        <v>1687</v>
      </c>
      <c r="Q374" s="63">
        <v>1065</v>
      </c>
      <c r="R374" s="63">
        <v>1565</v>
      </c>
      <c r="S374" s="63">
        <v>66</v>
      </c>
      <c r="T374" s="63">
        <v>97</v>
      </c>
      <c r="U374" s="63">
        <v>1</v>
      </c>
      <c r="V374" s="63"/>
      <c r="W374" s="47">
        <v>0</v>
      </c>
      <c r="X374" s="47"/>
      <c r="Y374" s="47" t="str">
        <f t="shared" ref="Y374" si="238">B374</f>
        <v>小白龙</v>
      </c>
      <c r="Z374" s="63"/>
      <c r="AA374" s="63"/>
      <c r="AB374" s="63"/>
      <c r="AC374" s="63">
        <v>2367</v>
      </c>
      <c r="AD374" s="63">
        <v>2368</v>
      </c>
      <c r="AE374" s="63">
        <v>2369</v>
      </c>
      <c r="AF374" s="63">
        <v>2370</v>
      </c>
      <c r="AG374" s="63"/>
      <c r="AH374" s="47" t="s">
        <v>52</v>
      </c>
      <c r="AI374" s="63">
        <v>1</v>
      </c>
      <c r="AJ374" s="63" t="s">
        <v>223</v>
      </c>
      <c r="AK374" s="63"/>
      <c r="AL374" s="63" t="s">
        <v>237</v>
      </c>
      <c r="AM374" s="63" t="s">
        <v>238</v>
      </c>
      <c r="AN374" s="47">
        <v>0</v>
      </c>
      <c r="AO374" s="63"/>
      <c r="AP374" s="63" t="s">
        <v>53</v>
      </c>
      <c r="AQ374" s="2">
        <v>0</v>
      </c>
    </row>
    <row r="375" s="10" customFormat="1" ht="12.75" spans="1:43">
      <c r="A375" s="63">
        <v>168703</v>
      </c>
      <c r="B375" s="63" t="s">
        <v>109</v>
      </c>
      <c r="C375" s="63"/>
      <c r="D375" s="63"/>
      <c r="E375" s="63"/>
      <c r="F375" s="63">
        <v>0</v>
      </c>
      <c r="G375" s="63">
        <v>0</v>
      </c>
      <c r="H375" s="63">
        <v>1</v>
      </c>
      <c r="I375" s="63">
        <v>1</v>
      </c>
      <c r="J375" s="12">
        <v>0</v>
      </c>
      <c r="K375" s="63" t="s">
        <v>46</v>
      </c>
      <c r="L375" s="47">
        <v>0</v>
      </c>
      <c r="M375" s="50">
        <v>1020104</v>
      </c>
      <c r="N375" s="63">
        <v>0</v>
      </c>
      <c r="O375" s="47">
        <v>-1</v>
      </c>
      <c r="P375" s="63">
        <v>1687</v>
      </c>
      <c r="Q375" s="63">
        <v>1118</v>
      </c>
      <c r="R375" s="63">
        <v>1365</v>
      </c>
      <c r="S375" s="63">
        <v>69</v>
      </c>
      <c r="T375" s="63">
        <v>85</v>
      </c>
      <c r="U375" s="63">
        <v>4</v>
      </c>
      <c r="V375" s="63"/>
      <c r="W375" s="47">
        <v>0</v>
      </c>
      <c r="X375" s="47"/>
      <c r="Y375" s="47" t="str">
        <f t="shared" ref="Y375" si="239">B375</f>
        <v>大大王</v>
      </c>
      <c r="Z375" s="63"/>
      <c r="AA375" s="63"/>
      <c r="AB375" s="63"/>
      <c r="AC375" s="63">
        <v>2371</v>
      </c>
      <c r="AD375" s="63">
        <v>2372</v>
      </c>
      <c r="AE375" s="63">
        <v>2373</v>
      </c>
      <c r="AF375" s="63">
        <v>2374</v>
      </c>
      <c r="AG375" s="63"/>
      <c r="AH375" s="47" t="s">
        <v>52</v>
      </c>
      <c r="AI375" s="63">
        <v>1</v>
      </c>
      <c r="AJ375" s="63" t="s">
        <v>203</v>
      </c>
      <c r="AK375" s="63" t="s">
        <v>204</v>
      </c>
      <c r="AL375" s="63" t="s">
        <v>205</v>
      </c>
      <c r="AM375" s="63" t="s">
        <v>206</v>
      </c>
      <c r="AN375" s="47">
        <v>0</v>
      </c>
      <c r="AO375" s="63"/>
      <c r="AP375" s="63" t="s">
        <v>53</v>
      </c>
      <c r="AQ375" s="2">
        <v>0</v>
      </c>
    </row>
    <row r="376" s="10" customFormat="1" ht="12" spans="1:43">
      <c r="A376" s="63">
        <v>168704</v>
      </c>
      <c r="B376" s="63" t="s">
        <v>646</v>
      </c>
      <c r="C376" s="63"/>
      <c r="D376" s="63"/>
      <c r="E376" s="63"/>
      <c r="F376" s="63">
        <v>0</v>
      </c>
      <c r="G376" s="63">
        <v>0</v>
      </c>
      <c r="H376" s="63">
        <v>1</v>
      </c>
      <c r="I376" s="63">
        <v>1</v>
      </c>
      <c r="J376" s="12">
        <v>0</v>
      </c>
      <c r="K376" s="63" t="s">
        <v>46</v>
      </c>
      <c r="L376" s="47">
        <v>0</v>
      </c>
      <c r="M376" s="63">
        <v>1020121</v>
      </c>
      <c r="N376" s="63">
        <v>0</v>
      </c>
      <c r="O376" s="47">
        <v>-1</v>
      </c>
      <c r="P376" s="63">
        <v>1687</v>
      </c>
      <c r="Q376" s="63">
        <v>768</v>
      </c>
      <c r="R376" s="63">
        <v>1248</v>
      </c>
      <c r="S376" s="63">
        <v>48</v>
      </c>
      <c r="T376" s="63">
        <v>78</v>
      </c>
      <c r="U376" s="63">
        <v>3</v>
      </c>
      <c r="V376" s="63"/>
      <c r="W376" s="47">
        <v>0</v>
      </c>
      <c r="X376" s="47"/>
      <c r="Y376" s="47" t="str">
        <f t="shared" ref="Y376" si="240">B376</f>
        <v>盗贼姑娘</v>
      </c>
      <c r="Z376" s="63"/>
      <c r="AA376" s="63"/>
      <c r="AB376" s="63"/>
      <c r="AC376" s="11">
        <v>2272</v>
      </c>
      <c r="AD376" s="11">
        <v>2273</v>
      </c>
      <c r="AE376" s="11">
        <v>2274</v>
      </c>
      <c r="AF376" s="11">
        <v>2274</v>
      </c>
      <c r="AG376" s="11"/>
      <c r="AH376" s="47" t="s">
        <v>52</v>
      </c>
      <c r="AI376" s="11">
        <v>1</v>
      </c>
      <c r="AJ376" s="11" t="s">
        <v>203</v>
      </c>
      <c r="AK376" s="11" t="s">
        <v>204</v>
      </c>
      <c r="AL376" s="11" t="s">
        <v>205</v>
      </c>
      <c r="AM376" s="11" t="s">
        <v>206</v>
      </c>
      <c r="AN376" s="47">
        <v>0</v>
      </c>
      <c r="AO376" s="63"/>
      <c r="AP376" s="63" t="s">
        <v>53</v>
      </c>
      <c r="AQ376" s="2">
        <v>0</v>
      </c>
    </row>
    <row r="377" s="10" customFormat="1" ht="12" spans="1:43">
      <c r="A377" s="63">
        <v>168705</v>
      </c>
      <c r="B377" s="63" t="s">
        <v>327</v>
      </c>
      <c r="C377" s="63"/>
      <c r="D377" s="63"/>
      <c r="E377" s="63"/>
      <c r="F377" s="63">
        <v>0</v>
      </c>
      <c r="G377" s="63">
        <v>0</v>
      </c>
      <c r="H377" s="63">
        <v>1</v>
      </c>
      <c r="I377" s="63">
        <v>1</v>
      </c>
      <c r="J377" s="12">
        <v>0</v>
      </c>
      <c r="K377" s="63" t="s">
        <v>46</v>
      </c>
      <c r="L377" s="47">
        <v>0</v>
      </c>
      <c r="M377" s="63">
        <v>1020101</v>
      </c>
      <c r="N377" s="63">
        <v>0</v>
      </c>
      <c r="O377" s="47">
        <v>-1</v>
      </c>
      <c r="P377" s="63">
        <v>1687</v>
      </c>
      <c r="Q377" s="63">
        <v>956</v>
      </c>
      <c r="R377" s="63">
        <v>1279</v>
      </c>
      <c r="S377" s="63">
        <v>59</v>
      </c>
      <c r="T377" s="63">
        <v>79</v>
      </c>
      <c r="U377" s="63">
        <v>5</v>
      </c>
      <c r="V377" s="63"/>
      <c r="W377" s="47">
        <v>0</v>
      </c>
      <c r="X377" s="47"/>
      <c r="Y377" s="47" t="str">
        <f t="shared" ref="Y377" si="241">B377</f>
        <v>袁天罡</v>
      </c>
      <c r="Z377" s="63"/>
      <c r="AA377" s="63"/>
      <c r="AB377" s="63"/>
      <c r="AC377" s="11">
        <v>2040</v>
      </c>
      <c r="AD377" s="11">
        <v>2041</v>
      </c>
      <c r="AE377" s="11">
        <v>2042</v>
      </c>
      <c r="AF377" s="11">
        <v>2043</v>
      </c>
      <c r="AG377" s="11"/>
      <c r="AH377" s="47" t="s">
        <v>52</v>
      </c>
      <c r="AI377" s="11">
        <v>1</v>
      </c>
      <c r="AJ377" s="11" t="s">
        <v>90</v>
      </c>
      <c r="AK377" s="11" t="s">
        <v>228</v>
      </c>
      <c r="AL377" s="11" t="s">
        <v>91</v>
      </c>
      <c r="AM377" s="11" t="s">
        <v>93</v>
      </c>
      <c r="AN377" s="47">
        <v>0</v>
      </c>
      <c r="AO377" s="63"/>
      <c r="AP377" s="63" t="s">
        <v>53</v>
      </c>
      <c r="AQ377" s="2">
        <v>0</v>
      </c>
    </row>
    <row r="378" s="10" customFormat="1" ht="12.75" spans="1:43">
      <c r="A378" s="63">
        <v>168706</v>
      </c>
      <c r="B378" s="63" t="s">
        <v>647</v>
      </c>
      <c r="C378" s="63"/>
      <c r="D378" s="63"/>
      <c r="E378" s="63"/>
      <c r="F378" s="63">
        <v>0</v>
      </c>
      <c r="G378" s="63">
        <v>0</v>
      </c>
      <c r="H378" s="63">
        <v>1</v>
      </c>
      <c r="I378" s="63">
        <v>1</v>
      </c>
      <c r="J378" s="12">
        <v>0</v>
      </c>
      <c r="K378" s="63" t="s">
        <v>46</v>
      </c>
      <c r="L378" s="47">
        <v>0</v>
      </c>
      <c r="M378" s="54">
        <v>1010114</v>
      </c>
      <c r="N378" s="63">
        <v>0</v>
      </c>
      <c r="O378" s="47">
        <v>-1</v>
      </c>
      <c r="P378" s="63">
        <v>1687</v>
      </c>
      <c r="Q378" s="63">
        <v>576</v>
      </c>
      <c r="R378" s="63">
        <v>1417</v>
      </c>
      <c r="S378" s="63">
        <v>36</v>
      </c>
      <c r="T378" s="63">
        <v>88</v>
      </c>
      <c r="U378" s="63">
        <v>3</v>
      </c>
      <c r="V378" s="63"/>
      <c r="W378" s="47">
        <v>0</v>
      </c>
      <c r="X378" s="47"/>
      <c r="Y378" s="47" t="str">
        <f t="shared" ref="Y378" si="242">B378</f>
        <v>花妖</v>
      </c>
      <c r="Z378" s="63"/>
      <c r="AA378" s="63"/>
      <c r="AB378" s="63"/>
      <c r="AC378" s="63">
        <v>2382</v>
      </c>
      <c r="AD378" s="63" t="s">
        <v>51</v>
      </c>
      <c r="AE378" s="63" t="s">
        <v>51</v>
      </c>
      <c r="AF378" s="63" t="s">
        <v>51</v>
      </c>
      <c r="AG378" s="63"/>
      <c r="AH378" s="47" t="s">
        <v>52</v>
      </c>
      <c r="AI378" s="63">
        <v>1</v>
      </c>
      <c r="AJ378" s="63"/>
      <c r="AK378" s="63"/>
      <c r="AL378" s="63"/>
      <c r="AM378" s="63"/>
      <c r="AN378" s="47">
        <v>0</v>
      </c>
      <c r="AO378" s="63"/>
      <c r="AP378" s="63" t="s">
        <v>53</v>
      </c>
      <c r="AQ378" s="2">
        <v>0</v>
      </c>
    </row>
    <row r="379" s="7" customFormat="1" ht="12" spans="1:43">
      <c r="A379" s="44">
        <v>168707</v>
      </c>
      <c r="B379" s="44" t="s">
        <v>639</v>
      </c>
      <c r="C379" s="44"/>
      <c r="D379" s="44"/>
      <c r="E379" s="44"/>
      <c r="F379" s="44">
        <v>0</v>
      </c>
      <c r="G379" s="44">
        <v>0</v>
      </c>
      <c r="H379" s="44">
        <v>1</v>
      </c>
      <c r="I379" s="44">
        <v>1</v>
      </c>
      <c r="J379" s="12">
        <v>0</v>
      </c>
      <c r="K379" s="44" t="s">
        <v>46</v>
      </c>
      <c r="L379" s="47">
        <v>0</v>
      </c>
      <c r="M379" s="44">
        <v>1030013</v>
      </c>
      <c r="N379" s="44">
        <v>0</v>
      </c>
      <c r="O379" s="47">
        <v>-1</v>
      </c>
      <c r="P379" s="44">
        <v>1687</v>
      </c>
      <c r="Q379" s="44">
        <v>1332</v>
      </c>
      <c r="R379" s="44">
        <v>1539</v>
      </c>
      <c r="S379" s="44">
        <f>FLOOR(Q379/16,1)</f>
        <v>83</v>
      </c>
      <c r="T379" s="44">
        <f>FLOOR(R379/16,1)</f>
        <v>96</v>
      </c>
      <c r="U379" s="44">
        <v>5</v>
      </c>
      <c r="V379" s="44"/>
      <c r="W379" s="47">
        <v>0</v>
      </c>
      <c r="X379" s="47"/>
      <c r="Y379" s="47" t="str">
        <f t="shared" ref="Y379:Y384" si="243">B379</f>
        <v>宝箱</v>
      </c>
      <c r="Z379" s="44"/>
      <c r="AA379" s="44"/>
      <c r="AB379" s="44"/>
      <c r="AC379" s="44">
        <v>2671</v>
      </c>
      <c r="AD379" s="44"/>
      <c r="AE379" s="44"/>
      <c r="AF379" s="44"/>
      <c r="AG379" s="44"/>
      <c r="AH379" s="47" t="s">
        <v>52</v>
      </c>
      <c r="AI379" s="44">
        <v>1</v>
      </c>
      <c r="AJ379" s="44"/>
      <c r="AK379" s="44"/>
      <c r="AL379" s="44"/>
      <c r="AM379" s="44"/>
      <c r="AN379" s="47">
        <v>0</v>
      </c>
      <c r="AO379" s="44"/>
      <c r="AP379" s="44" t="s">
        <v>53</v>
      </c>
      <c r="AQ379" s="2">
        <v>0</v>
      </c>
    </row>
    <row r="380" s="10" customFormat="1" ht="12" spans="1:43">
      <c r="A380" s="63">
        <v>168801</v>
      </c>
      <c r="B380" s="63" t="s">
        <v>648</v>
      </c>
      <c r="C380" s="63"/>
      <c r="D380" s="63"/>
      <c r="E380" s="63"/>
      <c r="F380" s="63">
        <v>0</v>
      </c>
      <c r="G380" s="63">
        <v>0</v>
      </c>
      <c r="H380" s="63">
        <v>1</v>
      </c>
      <c r="I380" s="63">
        <v>1</v>
      </c>
      <c r="J380" s="12">
        <v>0</v>
      </c>
      <c r="K380" s="63" t="s">
        <v>46</v>
      </c>
      <c r="L380" s="47">
        <v>0</v>
      </c>
      <c r="M380" s="63">
        <v>1030010</v>
      </c>
      <c r="N380" s="63">
        <v>0</v>
      </c>
      <c r="O380" s="47">
        <v>-1</v>
      </c>
      <c r="P380" s="63">
        <v>1688</v>
      </c>
      <c r="Q380" s="63">
        <v>976</v>
      </c>
      <c r="R380" s="63">
        <v>352</v>
      </c>
      <c r="S380" s="63">
        <v>61</v>
      </c>
      <c r="T380" s="63">
        <v>22</v>
      </c>
      <c r="U380" s="63">
        <v>5</v>
      </c>
      <c r="V380" s="63"/>
      <c r="W380" s="47">
        <v>0</v>
      </c>
      <c r="X380" s="47"/>
      <c r="Y380" s="47" t="str">
        <f t="shared" si="243"/>
        <v>年轻人</v>
      </c>
      <c r="Z380" s="63"/>
      <c r="AA380" s="63"/>
      <c r="AB380" s="63"/>
      <c r="AC380" s="63">
        <v>2377</v>
      </c>
      <c r="AD380" s="63" t="s">
        <v>51</v>
      </c>
      <c r="AE380" s="63" t="s">
        <v>51</v>
      </c>
      <c r="AF380" s="63" t="s">
        <v>51</v>
      </c>
      <c r="AG380" s="63"/>
      <c r="AH380" s="47" t="s">
        <v>52</v>
      </c>
      <c r="AI380" s="63">
        <v>1</v>
      </c>
      <c r="AJ380" s="63" t="s">
        <v>223</v>
      </c>
      <c r="AK380" s="63" t="s">
        <v>237</v>
      </c>
      <c r="AL380" s="63" t="s">
        <v>238</v>
      </c>
      <c r="AM380" s="63"/>
      <c r="AN380" s="47">
        <v>0</v>
      </c>
      <c r="AO380" s="63"/>
      <c r="AP380" s="63" t="s">
        <v>53</v>
      </c>
      <c r="AQ380" s="2">
        <v>0</v>
      </c>
    </row>
    <row r="381" s="5" customFormat="1" ht="12" spans="1:43">
      <c r="A381" s="13">
        <v>169301</v>
      </c>
      <c r="B381" s="13" t="s">
        <v>649</v>
      </c>
      <c r="C381" s="13"/>
      <c r="D381" s="13"/>
      <c r="E381" s="13"/>
      <c r="F381" s="13">
        <v>0</v>
      </c>
      <c r="G381" s="13" t="s">
        <v>47</v>
      </c>
      <c r="H381" s="13" t="s">
        <v>45</v>
      </c>
      <c r="I381" s="13" t="s">
        <v>45</v>
      </c>
      <c r="J381" s="12">
        <v>0</v>
      </c>
      <c r="K381" s="13" t="s">
        <v>46</v>
      </c>
      <c r="L381" s="47" t="s">
        <v>47</v>
      </c>
      <c r="M381" s="13">
        <v>1030008</v>
      </c>
      <c r="N381" s="13">
        <v>0</v>
      </c>
      <c r="O381" s="47" t="s">
        <v>48</v>
      </c>
      <c r="P381" s="13">
        <v>1693</v>
      </c>
      <c r="Q381" s="13">
        <v>292</v>
      </c>
      <c r="R381" s="13">
        <v>207</v>
      </c>
      <c r="S381" s="13">
        <f t="shared" ref="S381:T381" si="244">FLOOR(Q381/16,1)</f>
        <v>18</v>
      </c>
      <c r="T381" s="13">
        <f t="shared" si="244"/>
        <v>12</v>
      </c>
      <c r="U381" s="13">
        <v>5</v>
      </c>
      <c r="V381" s="13"/>
      <c r="W381" s="47" t="s">
        <v>47</v>
      </c>
      <c r="X381" s="47"/>
      <c r="Y381" s="47" t="str">
        <f t="shared" si="243"/>
        <v>卫兵俘虏</v>
      </c>
      <c r="Z381" s="13"/>
      <c r="AA381" s="13"/>
      <c r="AB381" s="13" t="s">
        <v>649</v>
      </c>
      <c r="AC381" s="13">
        <v>2525</v>
      </c>
      <c r="AD381" s="13">
        <v>2526</v>
      </c>
      <c r="AE381" s="13">
        <v>2527</v>
      </c>
      <c r="AF381" s="13" t="s">
        <v>51</v>
      </c>
      <c r="AG381" s="13"/>
      <c r="AH381" s="47" t="s">
        <v>52</v>
      </c>
      <c r="AI381" s="13">
        <v>1</v>
      </c>
      <c r="AJ381" s="13"/>
      <c r="AK381" s="13"/>
      <c r="AL381" s="13"/>
      <c r="AM381" s="13"/>
      <c r="AN381" s="47" t="s">
        <v>47</v>
      </c>
      <c r="AO381" s="13"/>
      <c r="AP381" s="13" t="s">
        <v>53</v>
      </c>
      <c r="AQ381" s="2">
        <v>0</v>
      </c>
    </row>
    <row r="382" s="5" customFormat="1" ht="12" spans="1:43">
      <c r="A382" s="13">
        <v>169302</v>
      </c>
      <c r="B382" s="13" t="s">
        <v>650</v>
      </c>
      <c r="C382" s="13"/>
      <c r="D382" s="13"/>
      <c r="E382" s="13"/>
      <c r="F382" s="13">
        <v>0</v>
      </c>
      <c r="G382" s="13" t="s">
        <v>47</v>
      </c>
      <c r="H382" s="13" t="s">
        <v>45</v>
      </c>
      <c r="I382" s="13" t="s">
        <v>45</v>
      </c>
      <c r="J382" s="12">
        <v>0</v>
      </c>
      <c r="K382" s="13" t="s">
        <v>46</v>
      </c>
      <c r="L382" s="47" t="s">
        <v>47</v>
      </c>
      <c r="M382" s="13">
        <v>1010116</v>
      </c>
      <c r="N382" s="13">
        <v>0</v>
      </c>
      <c r="O382" s="47" t="s">
        <v>48</v>
      </c>
      <c r="P382" s="13">
        <v>1693</v>
      </c>
      <c r="Q382" s="13">
        <v>233</v>
      </c>
      <c r="R382" s="13">
        <v>297</v>
      </c>
      <c r="S382" s="13">
        <f t="shared" ref="S382" si="245">FLOOR(Q382/16,1)</f>
        <v>14</v>
      </c>
      <c r="T382" s="13">
        <f t="shared" ref="T382:T387" si="246">FLOOR(R382/16,1)</f>
        <v>18</v>
      </c>
      <c r="U382" s="13">
        <v>5</v>
      </c>
      <c r="V382" s="13"/>
      <c r="W382" s="47" t="s">
        <v>47</v>
      </c>
      <c r="X382" s="47"/>
      <c r="Y382" s="47" t="str">
        <f t="shared" si="243"/>
        <v>野蛮卫兵</v>
      </c>
      <c r="Z382" s="13"/>
      <c r="AA382" s="13"/>
      <c r="AB382" s="13" t="s">
        <v>650</v>
      </c>
      <c r="AC382" s="13">
        <v>2520</v>
      </c>
      <c r="AD382" s="13">
        <v>2521</v>
      </c>
      <c r="AE382" s="13">
        <v>2522</v>
      </c>
      <c r="AF382" s="13" t="s">
        <v>51</v>
      </c>
      <c r="AG382" s="13"/>
      <c r="AH382" s="47" t="s">
        <v>52</v>
      </c>
      <c r="AI382" s="13">
        <v>1</v>
      </c>
      <c r="AJ382" s="13"/>
      <c r="AK382" s="13"/>
      <c r="AL382" s="13"/>
      <c r="AM382" s="13"/>
      <c r="AN382" s="47" t="s">
        <v>47</v>
      </c>
      <c r="AO382" s="13"/>
      <c r="AP382" s="13" t="s">
        <v>53</v>
      </c>
      <c r="AQ382" s="2">
        <v>0</v>
      </c>
    </row>
    <row r="383" s="5" customFormat="1" ht="12" spans="1:43">
      <c r="A383" s="13">
        <v>169303</v>
      </c>
      <c r="B383" s="13" t="s">
        <v>562</v>
      </c>
      <c r="C383" s="13"/>
      <c r="D383" s="13"/>
      <c r="E383" s="13"/>
      <c r="F383" s="13">
        <v>0</v>
      </c>
      <c r="G383" s="13" t="s">
        <v>47</v>
      </c>
      <c r="H383" s="13" t="s">
        <v>45</v>
      </c>
      <c r="I383" s="13" t="s">
        <v>45</v>
      </c>
      <c r="J383" s="12">
        <v>0</v>
      </c>
      <c r="K383" s="13" t="s">
        <v>46</v>
      </c>
      <c r="L383" s="47" t="s">
        <v>47</v>
      </c>
      <c r="M383" s="13">
        <v>1030009</v>
      </c>
      <c r="N383" s="13">
        <v>0</v>
      </c>
      <c r="O383" s="47" t="s">
        <v>48</v>
      </c>
      <c r="P383" s="13">
        <v>1693</v>
      </c>
      <c r="Q383" s="13">
        <v>357</v>
      </c>
      <c r="R383" s="13">
        <v>401</v>
      </c>
      <c r="S383" s="13">
        <f t="shared" ref="S383:S387" si="247">FLOOR(Q383/16,1)</f>
        <v>22</v>
      </c>
      <c r="T383" s="13">
        <f t="shared" si="246"/>
        <v>25</v>
      </c>
      <c r="U383" s="13">
        <v>1</v>
      </c>
      <c r="V383" s="13"/>
      <c r="W383" s="47" t="s">
        <v>47</v>
      </c>
      <c r="X383" s="47"/>
      <c r="Y383" s="47" t="str">
        <f t="shared" si="243"/>
        <v>艾格纳</v>
      </c>
      <c r="Z383" s="13"/>
      <c r="AA383" s="13"/>
      <c r="AB383" s="13" t="s">
        <v>562</v>
      </c>
      <c r="AC383" s="13">
        <v>2510</v>
      </c>
      <c r="AD383" s="13">
        <v>2511</v>
      </c>
      <c r="AE383" s="13">
        <v>2512</v>
      </c>
      <c r="AF383" s="13">
        <v>2513</v>
      </c>
      <c r="AG383" s="13"/>
      <c r="AH383" s="47" t="s">
        <v>52</v>
      </c>
      <c r="AI383" s="13">
        <v>1</v>
      </c>
      <c r="AJ383" s="13"/>
      <c r="AK383" s="13"/>
      <c r="AL383" s="13"/>
      <c r="AM383" s="13"/>
      <c r="AN383" s="47" t="s">
        <v>47</v>
      </c>
      <c r="AO383" s="13"/>
      <c r="AP383" s="13" t="s">
        <v>53</v>
      </c>
      <c r="AQ383" s="2">
        <v>0</v>
      </c>
    </row>
    <row r="384" s="5" customFormat="1" ht="12" spans="1:43">
      <c r="A384" s="13">
        <v>169304</v>
      </c>
      <c r="B384" s="13" t="s">
        <v>651</v>
      </c>
      <c r="C384" s="13"/>
      <c r="D384" s="13"/>
      <c r="E384" s="13"/>
      <c r="F384" s="13">
        <v>0</v>
      </c>
      <c r="G384" s="13" t="s">
        <v>47</v>
      </c>
      <c r="H384" s="13" t="s">
        <v>45</v>
      </c>
      <c r="I384" s="13" t="s">
        <v>45</v>
      </c>
      <c r="J384" s="12">
        <v>0</v>
      </c>
      <c r="K384" s="13" t="s">
        <v>46</v>
      </c>
      <c r="L384" s="47" t="s">
        <v>47</v>
      </c>
      <c r="M384" s="13">
        <v>1030008</v>
      </c>
      <c r="N384" s="13">
        <v>0</v>
      </c>
      <c r="O384" s="47" t="s">
        <v>48</v>
      </c>
      <c r="P384" s="13">
        <v>1693</v>
      </c>
      <c r="Q384" s="13">
        <v>672</v>
      </c>
      <c r="R384" s="13">
        <v>582</v>
      </c>
      <c r="S384" s="13">
        <f t="shared" si="247"/>
        <v>42</v>
      </c>
      <c r="T384" s="13">
        <f t="shared" si="246"/>
        <v>36</v>
      </c>
      <c r="U384" s="13">
        <v>5</v>
      </c>
      <c r="V384" s="13"/>
      <c r="W384" s="47" t="s">
        <v>47</v>
      </c>
      <c r="X384" s="47"/>
      <c r="Y384" s="47" t="str">
        <f t="shared" si="243"/>
        <v>俘虏</v>
      </c>
      <c r="Z384" s="13"/>
      <c r="AA384" s="13"/>
      <c r="AB384" s="13" t="s">
        <v>651</v>
      </c>
      <c r="AC384" s="13">
        <v>2525</v>
      </c>
      <c r="AD384" s="13">
        <v>2526</v>
      </c>
      <c r="AE384" s="13">
        <v>2527</v>
      </c>
      <c r="AF384" s="13" t="s">
        <v>51</v>
      </c>
      <c r="AG384" s="13"/>
      <c r="AH384" s="47" t="s">
        <v>52</v>
      </c>
      <c r="AI384" s="13">
        <v>1</v>
      </c>
      <c r="AJ384" s="13"/>
      <c r="AK384" s="13"/>
      <c r="AL384" s="13"/>
      <c r="AM384" s="13"/>
      <c r="AN384" s="47" t="s">
        <v>47</v>
      </c>
      <c r="AO384" s="13"/>
      <c r="AP384" s="13" t="s">
        <v>53</v>
      </c>
      <c r="AQ384" s="2">
        <v>0</v>
      </c>
    </row>
    <row r="385" s="2" customFormat="1" ht="12" spans="1:43">
      <c r="A385" s="11">
        <v>169401</v>
      </c>
      <c r="B385" s="11" t="s">
        <v>652</v>
      </c>
      <c r="C385" s="11"/>
      <c r="D385" s="11"/>
      <c r="E385" s="11"/>
      <c r="F385" s="11">
        <v>0</v>
      </c>
      <c r="G385" s="11" t="s">
        <v>47</v>
      </c>
      <c r="H385" s="11" t="s">
        <v>45</v>
      </c>
      <c r="I385" s="11" t="s">
        <v>45</v>
      </c>
      <c r="J385" s="12">
        <v>0</v>
      </c>
      <c r="K385" s="11" t="s">
        <v>46</v>
      </c>
      <c r="L385" s="47" t="s">
        <v>47</v>
      </c>
      <c r="M385" s="11">
        <v>1020134</v>
      </c>
      <c r="N385" s="11">
        <v>0</v>
      </c>
      <c r="O385" s="47" t="s">
        <v>48</v>
      </c>
      <c r="P385" s="11">
        <v>1694</v>
      </c>
      <c r="Q385" s="11">
        <v>1198</v>
      </c>
      <c r="R385" s="11">
        <v>466</v>
      </c>
      <c r="S385" s="11">
        <f t="shared" si="247"/>
        <v>74</v>
      </c>
      <c r="T385" s="11">
        <f t="shared" si="246"/>
        <v>29</v>
      </c>
      <c r="U385" s="11">
        <v>5</v>
      </c>
      <c r="V385" s="11"/>
      <c r="W385" s="47" t="s">
        <v>47</v>
      </c>
      <c r="X385" s="47"/>
      <c r="Y385" s="47" t="str">
        <f t="shared" ref="Y385" si="248">B385</f>
        <v>妇人</v>
      </c>
      <c r="Z385" s="11"/>
      <c r="AA385" s="11"/>
      <c r="AB385" s="11" t="s">
        <v>652</v>
      </c>
      <c r="AC385" s="11">
        <v>2530</v>
      </c>
      <c r="AD385" s="11">
        <v>2531</v>
      </c>
      <c r="AE385" s="11">
        <v>2532</v>
      </c>
      <c r="AF385" s="11" t="s">
        <v>51</v>
      </c>
      <c r="AG385" s="11"/>
      <c r="AH385" s="47" t="s">
        <v>52</v>
      </c>
      <c r="AI385" s="11">
        <v>1</v>
      </c>
      <c r="AJ385" s="11"/>
      <c r="AK385" s="11"/>
      <c r="AL385" s="11"/>
      <c r="AM385" s="11"/>
      <c r="AN385" s="47" t="s">
        <v>47</v>
      </c>
      <c r="AO385" s="11"/>
      <c r="AP385" s="11" t="s">
        <v>53</v>
      </c>
      <c r="AQ385" s="2">
        <v>0</v>
      </c>
    </row>
    <row r="386" s="2" customFormat="1" ht="12" spans="1:43">
      <c r="A386" s="11">
        <v>169402</v>
      </c>
      <c r="B386" s="11" t="s">
        <v>653</v>
      </c>
      <c r="C386" s="11"/>
      <c r="D386" s="11"/>
      <c r="E386" s="11"/>
      <c r="F386" s="11">
        <v>0</v>
      </c>
      <c r="G386" s="11" t="s">
        <v>47</v>
      </c>
      <c r="H386" s="11" t="s">
        <v>45</v>
      </c>
      <c r="I386" s="11" t="s">
        <v>45</v>
      </c>
      <c r="J386" s="12">
        <v>0</v>
      </c>
      <c r="K386" s="11" t="s">
        <v>46</v>
      </c>
      <c r="L386" s="47" t="s">
        <v>47</v>
      </c>
      <c r="M386" s="11">
        <v>1010142</v>
      </c>
      <c r="N386" s="11">
        <v>0</v>
      </c>
      <c r="O386" s="47" t="s">
        <v>48</v>
      </c>
      <c r="P386" s="11">
        <v>1694</v>
      </c>
      <c r="Q386" s="11">
        <v>1906</v>
      </c>
      <c r="R386" s="11">
        <v>1056</v>
      </c>
      <c r="S386" s="11">
        <f t="shared" si="247"/>
        <v>119</v>
      </c>
      <c r="T386" s="11">
        <f t="shared" si="246"/>
        <v>66</v>
      </c>
      <c r="U386" s="11">
        <v>5</v>
      </c>
      <c r="V386" s="11"/>
      <c r="W386" s="47" t="s">
        <v>47</v>
      </c>
      <c r="X386" s="47"/>
      <c r="Y386" s="47" t="str">
        <f t="shared" ref="Y386" si="249">B386</f>
        <v>祖母盖瑞安</v>
      </c>
      <c r="Z386" s="11"/>
      <c r="AA386" s="11"/>
      <c r="AB386" s="11" t="s">
        <v>653</v>
      </c>
      <c r="AC386" s="11">
        <v>2535</v>
      </c>
      <c r="AD386" s="11">
        <v>2536</v>
      </c>
      <c r="AE386" s="11">
        <v>2537</v>
      </c>
      <c r="AF386" s="11" t="s">
        <v>51</v>
      </c>
      <c r="AG386" s="11"/>
      <c r="AH386" s="47" t="s">
        <v>52</v>
      </c>
      <c r="AI386" s="11">
        <v>0</v>
      </c>
      <c r="AJ386" s="11"/>
      <c r="AK386" s="11"/>
      <c r="AL386" s="11"/>
      <c r="AM386" s="11"/>
      <c r="AN386" s="47" t="s">
        <v>47</v>
      </c>
      <c r="AO386" s="11"/>
      <c r="AP386" s="11" t="s">
        <v>53</v>
      </c>
      <c r="AQ386" s="2">
        <v>0</v>
      </c>
    </row>
    <row r="387" s="2" customFormat="1" ht="12" spans="1:43">
      <c r="A387" s="11">
        <v>169403</v>
      </c>
      <c r="B387" s="11" t="s">
        <v>654</v>
      </c>
      <c r="C387" s="11"/>
      <c r="D387" s="11"/>
      <c r="E387" s="11"/>
      <c r="F387" s="11">
        <v>0</v>
      </c>
      <c r="G387" s="11" t="s">
        <v>47</v>
      </c>
      <c r="H387" s="11" t="s">
        <v>45</v>
      </c>
      <c r="I387" s="11" t="s">
        <v>45</v>
      </c>
      <c r="J387" s="12">
        <v>0</v>
      </c>
      <c r="K387" s="11" t="s">
        <v>46</v>
      </c>
      <c r="L387" s="47" t="s">
        <v>47</v>
      </c>
      <c r="M387" s="11">
        <v>1010159</v>
      </c>
      <c r="N387" s="11">
        <v>0</v>
      </c>
      <c r="O387" s="47" t="s">
        <v>48</v>
      </c>
      <c r="P387" s="11">
        <v>1694</v>
      </c>
      <c r="Q387" s="11">
        <v>237</v>
      </c>
      <c r="R387" s="11">
        <v>482</v>
      </c>
      <c r="S387" s="11">
        <f t="shared" si="247"/>
        <v>14</v>
      </c>
      <c r="T387" s="11">
        <f t="shared" si="246"/>
        <v>30</v>
      </c>
      <c r="U387" s="11">
        <v>3</v>
      </c>
      <c r="V387" s="11"/>
      <c r="W387" s="47" t="s">
        <v>47</v>
      </c>
      <c r="X387" s="47"/>
      <c r="Y387" s="47" t="str">
        <f t="shared" ref="Y387" si="250">B387</f>
        <v>医师</v>
      </c>
      <c r="Z387" s="11"/>
      <c r="AA387" s="11"/>
      <c r="AB387" s="11" t="s">
        <v>654</v>
      </c>
      <c r="AC387" s="11">
        <v>2540</v>
      </c>
      <c r="AD387" s="11">
        <v>2541</v>
      </c>
      <c r="AE387" s="11">
        <v>2542</v>
      </c>
      <c r="AF387" s="11" t="s">
        <v>51</v>
      </c>
      <c r="AG387" s="11"/>
      <c r="AH387" s="47" t="s">
        <v>52</v>
      </c>
      <c r="AI387" s="11">
        <v>0</v>
      </c>
      <c r="AJ387" s="11"/>
      <c r="AK387" s="11"/>
      <c r="AL387" s="11"/>
      <c r="AM387" s="11"/>
      <c r="AN387" s="47" t="s">
        <v>47</v>
      </c>
      <c r="AO387" s="11"/>
      <c r="AP387" s="11" t="s">
        <v>53</v>
      </c>
      <c r="AQ387" s="2">
        <v>0</v>
      </c>
    </row>
    <row r="388" s="2" customFormat="1" ht="12" spans="1:43">
      <c r="A388" s="11">
        <v>169404</v>
      </c>
      <c r="B388" s="11" t="s">
        <v>327</v>
      </c>
      <c r="C388" s="11"/>
      <c r="D388" s="11"/>
      <c r="E388" s="11"/>
      <c r="F388" s="11">
        <v>0</v>
      </c>
      <c r="G388" s="11" t="s">
        <v>47</v>
      </c>
      <c r="H388" s="11" t="s">
        <v>45</v>
      </c>
      <c r="I388" s="11" t="s">
        <v>45</v>
      </c>
      <c r="J388" s="12">
        <v>0</v>
      </c>
      <c r="K388" s="11" t="s">
        <v>46</v>
      </c>
      <c r="L388" s="47" t="s">
        <v>47</v>
      </c>
      <c r="M388" s="11">
        <v>1020101</v>
      </c>
      <c r="N388" s="11">
        <v>0</v>
      </c>
      <c r="O388" s="47" t="s">
        <v>48</v>
      </c>
      <c r="P388" s="11">
        <v>1694</v>
      </c>
      <c r="Q388" s="11"/>
      <c r="R388" s="11"/>
      <c r="S388" s="11"/>
      <c r="T388" s="11"/>
      <c r="U388" s="11">
        <v>5</v>
      </c>
      <c r="V388" s="11"/>
      <c r="W388" s="47" t="s">
        <v>47</v>
      </c>
      <c r="X388" s="47"/>
      <c r="Y388" s="47" t="str">
        <f t="shared" ref="Y388" si="251">B388</f>
        <v>袁天罡</v>
      </c>
      <c r="Z388" s="11"/>
      <c r="AA388" s="11"/>
      <c r="AB388" s="11" t="s">
        <v>327</v>
      </c>
      <c r="AC388" s="11">
        <v>2040</v>
      </c>
      <c r="AD388" s="11">
        <v>2041</v>
      </c>
      <c r="AE388" s="11">
        <v>2042</v>
      </c>
      <c r="AF388" s="11">
        <v>2043</v>
      </c>
      <c r="AG388" s="11"/>
      <c r="AH388" s="47" t="s">
        <v>52</v>
      </c>
      <c r="AI388" s="11" t="s">
        <v>47</v>
      </c>
      <c r="AJ388" s="11" t="s">
        <v>90</v>
      </c>
      <c r="AK388" s="11" t="s">
        <v>228</v>
      </c>
      <c r="AL388" s="11" t="s">
        <v>91</v>
      </c>
      <c r="AM388" s="11" t="s">
        <v>93</v>
      </c>
      <c r="AN388" s="47" t="s">
        <v>47</v>
      </c>
      <c r="AO388" s="11"/>
      <c r="AP388" s="11" t="s">
        <v>53</v>
      </c>
      <c r="AQ388" s="2">
        <v>0</v>
      </c>
    </row>
    <row r="389" s="2" customFormat="1" ht="12.75" spans="1:43">
      <c r="A389" s="11">
        <v>169405</v>
      </c>
      <c r="B389" s="11" t="s">
        <v>226</v>
      </c>
      <c r="C389" s="11"/>
      <c r="D389" s="11"/>
      <c r="E389" s="11"/>
      <c r="F389" s="11">
        <v>0</v>
      </c>
      <c r="G389" s="11" t="s">
        <v>47</v>
      </c>
      <c r="H389" s="11" t="s">
        <v>45</v>
      </c>
      <c r="I389" s="11" t="s">
        <v>45</v>
      </c>
      <c r="J389" s="12">
        <v>0</v>
      </c>
      <c r="K389" s="11" t="s">
        <v>46</v>
      </c>
      <c r="L389" s="47" t="s">
        <v>47</v>
      </c>
      <c r="M389" s="50">
        <v>1020113</v>
      </c>
      <c r="N389" s="11">
        <v>0</v>
      </c>
      <c r="O389" s="47" t="s">
        <v>48</v>
      </c>
      <c r="P389" s="11">
        <v>1694</v>
      </c>
      <c r="Q389" s="11"/>
      <c r="R389" s="11"/>
      <c r="S389" s="11"/>
      <c r="T389" s="11"/>
      <c r="U389" s="11">
        <v>5</v>
      </c>
      <c r="V389" s="11"/>
      <c r="W389" s="47" t="s">
        <v>47</v>
      </c>
      <c r="X389" s="47"/>
      <c r="Y389" s="47" t="str">
        <f t="shared" ref="Y389" si="252">B389</f>
        <v>小白龙</v>
      </c>
      <c r="Z389" s="11"/>
      <c r="AA389" s="11"/>
      <c r="AB389" s="11" t="s">
        <v>226</v>
      </c>
      <c r="AC389" s="11">
        <v>2044</v>
      </c>
      <c r="AD389" s="11">
        <v>2045</v>
      </c>
      <c r="AE389" s="11">
        <v>2046</v>
      </c>
      <c r="AF389" s="11">
        <v>2456</v>
      </c>
      <c r="AG389" s="11"/>
      <c r="AH389" s="47" t="s">
        <v>52</v>
      </c>
      <c r="AI389" s="11" t="s">
        <v>47</v>
      </c>
      <c r="AJ389" s="11" t="s">
        <v>166</v>
      </c>
      <c r="AK389" s="11" t="s">
        <v>167</v>
      </c>
      <c r="AL389" s="11" t="s">
        <v>168</v>
      </c>
      <c r="AM389" s="11" t="s">
        <v>169</v>
      </c>
      <c r="AN389" s="47" t="s">
        <v>47</v>
      </c>
      <c r="AO389" s="11"/>
      <c r="AP389" s="11" t="s">
        <v>53</v>
      </c>
      <c r="AQ389" s="2">
        <v>0</v>
      </c>
    </row>
    <row r="390" s="2" customFormat="1" ht="12" spans="1:43">
      <c r="A390" s="11">
        <v>169406</v>
      </c>
      <c r="B390" s="11" t="s">
        <v>546</v>
      </c>
      <c r="C390" s="11"/>
      <c r="D390" s="11"/>
      <c r="E390" s="11"/>
      <c r="F390" s="11">
        <v>0</v>
      </c>
      <c r="G390" s="11" t="s">
        <v>47</v>
      </c>
      <c r="H390" s="11" t="s">
        <v>45</v>
      </c>
      <c r="I390" s="11" t="s">
        <v>45</v>
      </c>
      <c r="J390" s="12">
        <v>0</v>
      </c>
      <c r="K390" s="11" t="s">
        <v>46</v>
      </c>
      <c r="L390" s="47" t="s">
        <v>47</v>
      </c>
      <c r="M390" s="11">
        <v>1030001</v>
      </c>
      <c r="N390" s="11">
        <v>0</v>
      </c>
      <c r="O390" s="47" t="s">
        <v>48</v>
      </c>
      <c r="P390" s="11">
        <v>1694</v>
      </c>
      <c r="Q390" s="11">
        <v>1006</v>
      </c>
      <c r="R390" s="11">
        <v>798</v>
      </c>
      <c r="S390" s="11">
        <f t="shared" ref="S390" si="253">FLOOR(Q390/16,1)</f>
        <v>62</v>
      </c>
      <c r="T390" s="11">
        <f t="shared" ref="T390:T393" si="254">FLOOR(R390/16,1)</f>
        <v>49</v>
      </c>
      <c r="U390" s="11">
        <v>1</v>
      </c>
      <c r="V390" s="11"/>
      <c r="W390" s="47" t="s">
        <v>47</v>
      </c>
      <c r="X390" s="47"/>
      <c r="Y390" s="47" t="str">
        <f t="shared" ref="Y390" si="255">B390</f>
        <v>索尔</v>
      </c>
      <c r="Z390" s="11"/>
      <c r="AA390" s="11"/>
      <c r="AB390" s="11" t="s">
        <v>546</v>
      </c>
      <c r="AC390" s="11">
        <v>2188</v>
      </c>
      <c r="AD390" s="11">
        <v>2189</v>
      </c>
      <c r="AE390" s="11">
        <v>2190</v>
      </c>
      <c r="AF390" s="11">
        <v>2191</v>
      </c>
      <c r="AG390" s="11"/>
      <c r="AH390" s="47" t="s">
        <v>52</v>
      </c>
      <c r="AI390" s="11">
        <v>1</v>
      </c>
      <c r="AJ390" s="11" t="s">
        <v>547</v>
      </c>
      <c r="AK390" s="11" t="s">
        <v>548</v>
      </c>
      <c r="AL390" s="11" t="s">
        <v>549</v>
      </c>
      <c r="AM390" s="11" t="s">
        <v>550</v>
      </c>
      <c r="AN390" s="47" t="s">
        <v>47</v>
      </c>
      <c r="AO390" s="11"/>
      <c r="AP390" s="11" t="s">
        <v>53</v>
      </c>
      <c r="AQ390" s="2">
        <v>0</v>
      </c>
    </row>
    <row r="391" s="17" customFormat="1" ht="12" spans="1:43">
      <c r="A391" s="82">
        <v>169501</v>
      </c>
      <c r="B391" s="82" t="s">
        <v>327</v>
      </c>
      <c r="C391" s="82"/>
      <c r="D391" s="82"/>
      <c r="E391" s="82"/>
      <c r="F391" s="82">
        <v>0</v>
      </c>
      <c r="G391" s="82" t="s">
        <v>47</v>
      </c>
      <c r="H391" s="82" t="s">
        <v>45</v>
      </c>
      <c r="I391" s="82" t="s">
        <v>45</v>
      </c>
      <c r="J391" s="12">
        <v>0</v>
      </c>
      <c r="K391" s="82" t="s">
        <v>46</v>
      </c>
      <c r="L391" s="47" t="s">
        <v>47</v>
      </c>
      <c r="M391" s="82">
        <v>1020101</v>
      </c>
      <c r="N391" s="82">
        <v>0</v>
      </c>
      <c r="O391" s="47" t="s">
        <v>48</v>
      </c>
      <c r="P391" s="82">
        <v>1695</v>
      </c>
      <c r="Q391" s="82">
        <v>1034</v>
      </c>
      <c r="R391" s="82">
        <v>227</v>
      </c>
      <c r="S391" s="82">
        <f t="shared" ref="S391" si="256">FLOOR(Q391/16,1)</f>
        <v>64</v>
      </c>
      <c r="T391" s="82">
        <f t="shared" si="254"/>
        <v>14</v>
      </c>
      <c r="U391" s="82">
        <v>5</v>
      </c>
      <c r="V391" s="82"/>
      <c r="W391" s="47" t="s">
        <v>47</v>
      </c>
      <c r="X391" s="47"/>
      <c r="Y391" s="47" t="str">
        <f t="shared" ref="Y391" si="257">B391</f>
        <v>袁天罡</v>
      </c>
      <c r="Z391" s="82"/>
      <c r="AA391" s="82"/>
      <c r="AB391" s="82" t="s">
        <v>327</v>
      </c>
      <c r="AC391" s="82">
        <v>2040</v>
      </c>
      <c r="AD391" s="82">
        <v>2041</v>
      </c>
      <c r="AE391" s="82">
        <v>2042</v>
      </c>
      <c r="AF391" s="82">
        <v>2043</v>
      </c>
      <c r="AG391" s="82"/>
      <c r="AH391" s="47" t="s">
        <v>52</v>
      </c>
      <c r="AI391" s="82">
        <v>1</v>
      </c>
      <c r="AJ391" s="82" t="s">
        <v>90</v>
      </c>
      <c r="AK391" s="82" t="s">
        <v>228</v>
      </c>
      <c r="AL391" s="82" t="s">
        <v>91</v>
      </c>
      <c r="AM391" s="82" t="s">
        <v>93</v>
      </c>
      <c r="AN391" s="47" t="s">
        <v>47</v>
      </c>
      <c r="AO391" s="82"/>
      <c r="AP391" s="82" t="s">
        <v>53</v>
      </c>
      <c r="AQ391" s="2">
        <v>0</v>
      </c>
    </row>
    <row r="392" s="17" customFormat="1" ht="12" spans="1:43">
      <c r="A392" s="82">
        <v>169502</v>
      </c>
      <c r="B392" s="82" t="s">
        <v>655</v>
      </c>
      <c r="C392" s="82"/>
      <c r="D392" s="82"/>
      <c r="E392" s="82"/>
      <c r="F392" s="82">
        <v>0</v>
      </c>
      <c r="G392" s="82" t="s">
        <v>47</v>
      </c>
      <c r="H392" s="82" t="s">
        <v>45</v>
      </c>
      <c r="I392" s="82" t="s">
        <v>45</v>
      </c>
      <c r="J392" s="12">
        <v>0</v>
      </c>
      <c r="K392" s="82" t="s">
        <v>46</v>
      </c>
      <c r="L392" s="47" t="s">
        <v>47</v>
      </c>
      <c r="M392" s="82">
        <v>1010139</v>
      </c>
      <c r="N392" s="82">
        <v>0</v>
      </c>
      <c r="O392" s="47" t="s">
        <v>48</v>
      </c>
      <c r="P392" s="82">
        <v>1695</v>
      </c>
      <c r="Q392" s="82">
        <v>554</v>
      </c>
      <c r="R392" s="82">
        <v>535</v>
      </c>
      <c r="S392" s="82">
        <f t="shared" ref="S392:S393" si="258">FLOOR(Q392/16,1)</f>
        <v>34</v>
      </c>
      <c r="T392" s="82">
        <f t="shared" si="254"/>
        <v>33</v>
      </c>
      <c r="U392" s="82">
        <v>3</v>
      </c>
      <c r="V392" s="82"/>
      <c r="W392" s="47" t="s">
        <v>47</v>
      </c>
      <c r="X392" s="47"/>
      <c r="Y392" s="47" t="str">
        <f t="shared" ref="Y392" si="259">B392</f>
        <v>嘲风</v>
      </c>
      <c r="Z392" s="82"/>
      <c r="AA392" s="82"/>
      <c r="AB392" s="82" t="s">
        <v>655</v>
      </c>
      <c r="AC392" s="82">
        <v>2520</v>
      </c>
      <c r="AD392" s="82">
        <v>2521</v>
      </c>
      <c r="AE392" s="82">
        <v>2522</v>
      </c>
      <c r="AF392" s="82" t="s">
        <v>51</v>
      </c>
      <c r="AG392" s="82"/>
      <c r="AH392" s="47" t="s">
        <v>52</v>
      </c>
      <c r="AI392" s="82">
        <v>1</v>
      </c>
      <c r="AJ392" s="82"/>
      <c r="AK392" s="82"/>
      <c r="AL392" s="82"/>
      <c r="AM392" s="82"/>
      <c r="AN392" s="47" t="s">
        <v>47</v>
      </c>
      <c r="AO392" s="82"/>
      <c r="AP392" s="82" t="s">
        <v>53</v>
      </c>
      <c r="AQ392" s="2">
        <v>0</v>
      </c>
    </row>
    <row r="393" s="17" customFormat="1" ht="12" spans="1:43">
      <c r="A393" s="82">
        <v>169503</v>
      </c>
      <c r="B393" s="82" t="s">
        <v>656</v>
      </c>
      <c r="C393" s="82"/>
      <c r="D393" s="82"/>
      <c r="E393" s="82"/>
      <c r="F393" s="82">
        <v>0</v>
      </c>
      <c r="G393" s="82" t="s">
        <v>47</v>
      </c>
      <c r="H393" s="82" t="s">
        <v>45</v>
      </c>
      <c r="I393" s="82" t="s">
        <v>45</v>
      </c>
      <c r="J393" s="12">
        <v>0</v>
      </c>
      <c r="K393" s="82" t="s">
        <v>46</v>
      </c>
      <c r="L393" s="47" t="s">
        <v>47</v>
      </c>
      <c r="M393" s="82">
        <v>1010137</v>
      </c>
      <c r="N393" s="82">
        <v>0</v>
      </c>
      <c r="O393" s="47" t="s">
        <v>48</v>
      </c>
      <c r="P393" s="82">
        <v>1695</v>
      </c>
      <c r="Q393" s="82">
        <v>760</v>
      </c>
      <c r="R393" s="82">
        <v>1307</v>
      </c>
      <c r="S393" s="82">
        <f t="shared" si="258"/>
        <v>47</v>
      </c>
      <c r="T393" s="82">
        <f t="shared" si="254"/>
        <v>81</v>
      </c>
      <c r="U393" s="82">
        <v>7</v>
      </c>
      <c r="V393" s="82"/>
      <c r="W393" s="47" t="s">
        <v>47</v>
      </c>
      <c r="X393" s="47"/>
      <c r="Y393" s="47" t="str">
        <f t="shared" ref="Y393" si="260">B393</f>
        <v>空灵</v>
      </c>
      <c r="Z393" s="82"/>
      <c r="AA393" s="82"/>
      <c r="AB393" s="82" t="s">
        <v>656</v>
      </c>
      <c r="AC393" s="82">
        <v>2545</v>
      </c>
      <c r="AD393" s="82">
        <v>2546</v>
      </c>
      <c r="AE393" s="82">
        <v>2547</v>
      </c>
      <c r="AF393" s="82" t="s">
        <v>51</v>
      </c>
      <c r="AG393" s="82"/>
      <c r="AH393" s="47" t="s">
        <v>52</v>
      </c>
      <c r="AI393" s="82">
        <v>1</v>
      </c>
      <c r="AJ393" s="82"/>
      <c r="AK393" s="82"/>
      <c r="AL393" s="82"/>
      <c r="AM393" s="82"/>
      <c r="AN393" s="47" t="s">
        <v>47</v>
      </c>
      <c r="AO393" s="82"/>
      <c r="AP393" s="82" t="s">
        <v>53</v>
      </c>
      <c r="AQ393" s="2">
        <v>0</v>
      </c>
    </row>
    <row r="394" s="17" customFormat="1" ht="12" spans="1:43">
      <c r="A394" s="82">
        <v>169504</v>
      </c>
      <c r="B394" s="82" t="s">
        <v>546</v>
      </c>
      <c r="C394" s="82"/>
      <c r="D394" s="82"/>
      <c r="E394" s="82"/>
      <c r="F394" s="82">
        <v>0</v>
      </c>
      <c r="G394" s="82" t="s">
        <v>47</v>
      </c>
      <c r="H394" s="82" t="s">
        <v>45</v>
      </c>
      <c r="I394" s="82" t="s">
        <v>45</v>
      </c>
      <c r="J394" s="12">
        <v>0</v>
      </c>
      <c r="K394" s="82" t="s">
        <v>46</v>
      </c>
      <c r="L394" s="47" t="s">
        <v>47</v>
      </c>
      <c r="M394" s="82">
        <v>1030001</v>
      </c>
      <c r="N394" s="82">
        <v>0</v>
      </c>
      <c r="O394" s="47" t="s">
        <v>48</v>
      </c>
      <c r="P394" s="82">
        <v>1695</v>
      </c>
      <c r="Q394" s="82"/>
      <c r="R394" s="82"/>
      <c r="S394" s="82"/>
      <c r="T394" s="82"/>
      <c r="U394" s="82"/>
      <c r="V394" s="82"/>
      <c r="W394" s="47" t="s">
        <v>47</v>
      </c>
      <c r="X394" s="47"/>
      <c r="Y394" s="47" t="str">
        <f t="shared" ref="Y394" si="261">B394</f>
        <v>索尔</v>
      </c>
      <c r="Z394" s="82"/>
      <c r="AA394" s="82"/>
      <c r="AB394" s="82" t="s">
        <v>546</v>
      </c>
      <c r="AC394" s="82">
        <v>2188</v>
      </c>
      <c r="AD394" s="82">
        <v>2189</v>
      </c>
      <c r="AE394" s="82">
        <v>2190</v>
      </c>
      <c r="AF394" s="82">
        <v>2191</v>
      </c>
      <c r="AG394" s="82"/>
      <c r="AH394" s="47" t="s">
        <v>52</v>
      </c>
      <c r="AI394" s="82">
        <v>1</v>
      </c>
      <c r="AJ394" s="82" t="s">
        <v>547</v>
      </c>
      <c r="AK394" s="82" t="s">
        <v>548</v>
      </c>
      <c r="AL394" s="82" t="s">
        <v>549</v>
      </c>
      <c r="AM394" s="82" t="s">
        <v>550</v>
      </c>
      <c r="AN394" s="47" t="s">
        <v>47</v>
      </c>
      <c r="AO394" s="82"/>
      <c r="AP394" s="82" t="s">
        <v>53</v>
      </c>
      <c r="AQ394" s="2">
        <v>0</v>
      </c>
    </row>
    <row r="395" s="6" customFormat="1" ht="12" spans="1:43">
      <c r="A395" s="43">
        <v>169601</v>
      </c>
      <c r="B395" s="43" t="s">
        <v>657</v>
      </c>
      <c r="C395" s="43"/>
      <c r="D395" s="43"/>
      <c r="E395" s="43"/>
      <c r="F395" s="43">
        <v>0</v>
      </c>
      <c r="G395" s="43" t="s">
        <v>47</v>
      </c>
      <c r="H395" s="43" t="s">
        <v>45</v>
      </c>
      <c r="I395" s="43" t="s">
        <v>45</v>
      </c>
      <c r="J395" s="12">
        <v>0</v>
      </c>
      <c r="K395" s="43" t="s">
        <v>46</v>
      </c>
      <c r="L395" s="47" t="s">
        <v>47</v>
      </c>
      <c r="M395" s="43">
        <v>1020126</v>
      </c>
      <c r="N395" s="43">
        <v>0</v>
      </c>
      <c r="O395" s="47" t="s">
        <v>48</v>
      </c>
      <c r="P395" s="43">
        <v>1696</v>
      </c>
      <c r="Q395" s="43">
        <v>845</v>
      </c>
      <c r="R395" s="43">
        <v>1246</v>
      </c>
      <c r="S395" s="43">
        <f t="shared" ref="S395" si="262">FLOOR(Q395/16,1)</f>
        <v>52</v>
      </c>
      <c r="T395" s="43">
        <f t="shared" ref="T395" si="263">FLOOR(R395/16,1)</f>
        <v>77</v>
      </c>
      <c r="U395" s="43">
        <v>3</v>
      </c>
      <c r="V395" s="43"/>
      <c r="W395" s="47" t="s">
        <v>47</v>
      </c>
      <c r="X395" s="47"/>
      <c r="Y395" s="47" t="str">
        <f t="shared" ref="Y395" si="264">B395</f>
        <v>战士</v>
      </c>
      <c r="Z395" s="43"/>
      <c r="AA395" s="43"/>
      <c r="AB395" s="43" t="s">
        <v>657</v>
      </c>
      <c r="AC395" s="43">
        <v>2550</v>
      </c>
      <c r="AD395" s="43">
        <v>2551</v>
      </c>
      <c r="AE395" s="43">
        <v>2552</v>
      </c>
      <c r="AF395" s="43">
        <v>2553</v>
      </c>
      <c r="AG395" s="43"/>
      <c r="AH395" s="47" t="s">
        <v>52</v>
      </c>
      <c r="AI395" s="43">
        <v>1</v>
      </c>
      <c r="AJ395" s="43"/>
      <c r="AK395" s="43"/>
      <c r="AL395" s="43"/>
      <c r="AM395" s="43"/>
      <c r="AN395" s="47" t="s">
        <v>47</v>
      </c>
      <c r="AO395" s="43"/>
      <c r="AP395" s="43" t="s">
        <v>53</v>
      </c>
      <c r="AQ395" s="2">
        <v>0</v>
      </c>
    </row>
    <row r="396" s="6" customFormat="1" ht="12" spans="1:43">
      <c r="A396" s="43">
        <v>169602</v>
      </c>
      <c r="B396" s="43" t="s">
        <v>652</v>
      </c>
      <c r="C396" s="43"/>
      <c r="D396" s="43"/>
      <c r="E396" s="43"/>
      <c r="F396" s="43">
        <v>0</v>
      </c>
      <c r="G396" s="43" t="s">
        <v>47</v>
      </c>
      <c r="H396" s="43" t="s">
        <v>45</v>
      </c>
      <c r="I396" s="43" t="s">
        <v>45</v>
      </c>
      <c r="J396" s="12">
        <v>0</v>
      </c>
      <c r="K396" s="43" t="s">
        <v>46</v>
      </c>
      <c r="L396" s="47" t="s">
        <v>47</v>
      </c>
      <c r="M396" s="43">
        <v>1020134</v>
      </c>
      <c r="N396" s="43">
        <v>0</v>
      </c>
      <c r="O396" s="47" t="s">
        <v>48</v>
      </c>
      <c r="P396" s="43">
        <v>1696</v>
      </c>
      <c r="Q396" s="43">
        <v>712</v>
      </c>
      <c r="R396" s="43">
        <v>1434</v>
      </c>
      <c r="S396" s="43">
        <f t="shared" ref="S396" si="265">FLOOR(Q396/16,1)</f>
        <v>44</v>
      </c>
      <c r="T396" s="43">
        <f t="shared" ref="T396" si="266">FLOOR(R396/16,1)</f>
        <v>89</v>
      </c>
      <c r="U396" s="43">
        <v>3</v>
      </c>
      <c r="V396" s="43"/>
      <c r="W396" s="47" t="s">
        <v>47</v>
      </c>
      <c r="X396" s="47"/>
      <c r="Y396" s="47" t="str">
        <f t="shared" ref="Y396" si="267">B396</f>
        <v>妇人</v>
      </c>
      <c r="Z396" s="43"/>
      <c r="AA396" s="43"/>
      <c r="AB396" s="43" t="s">
        <v>652</v>
      </c>
      <c r="AC396" s="43">
        <v>2530</v>
      </c>
      <c r="AD396" s="43">
        <v>2531</v>
      </c>
      <c r="AE396" s="43">
        <v>2532</v>
      </c>
      <c r="AF396" s="43" t="s">
        <v>51</v>
      </c>
      <c r="AG396" s="43"/>
      <c r="AH396" s="47" t="s">
        <v>52</v>
      </c>
      <c r="AI396" s="43">
        <v>1</v>
      </c>
      <c r="AJ396" s="43"/>
      <c r="AK396" s="43"/>
      <c r="AL396" s="43"/>
      <c r="AM396" s="43"/>
      <c r="AN396" s="47" t="s">
        <v>47</v>
      </c>
      <c r="AO396" s="43"/>
      <c r="AP396" s="43" t="s">
        <v>53</v>
      </c>
      <c r="AQ396" s="2">
        <v>0</v>
      </c>
    </row>
    <row r="397" s="6" customFormat="1" ht="12" spans="1:43">
      <c r="A397" s="43">
        <v>169603</v>
      </c>
      <c r="B397" s="43" t="s">
        <v>658</v>
      </c>
      <c r="C397" s="43"/>
      <c r="D397" s="43"/>
      <c r="E397" s="43"/>
      <c r="F397" s="43">
        <v>0</v>
      </c>
      <c r="G397" s="43" t="s">
        <v>47</v>
      </c>
      <c r="H397" s="43" t="s">
        <v>45</v>
      </c>
      <c r="I397" s="43" t="s">
        <v>45</v>
      </c>
      <c r="J397" s="12">
        <v>0</v>
      </c>
      <c r="K397" s="43" t="s">
        <v>46</v>
      </c>
      <c r="L397" s="47" t="s">
        <v>47</v>
      </c>
      <c r="M397" s="43">
        <v>1020130</v>
      </c>
      <c r="N397" s="43">
        <v>0</v>
      </c>
      <c r="O397" s="47" t="s">
        <v>48</v>
      </c>
      <c r="P397" s="43">
        <v>1696</v>
      </c>
      <c r="Q397" s="43">
        <v>1424</v>
      </c>
      <c r="R397" s="43">
        <v>1563</v>
      </c>
      <c r="S397" s="43">
        <f t="shared" ref="S397" si="268">FLOOR(Q397/16,1)</f>
        <v>89</v>
      </c>
      <c r="T397" s="43">
        <f t="shared" ref="T397:T402" si="269">FLOOR(R397/16,1)</f>
        <v>97</v>
      </c>
      <c r="U397" s="43">
        <v>5</v>
      </c>
      <c r="V397" s="43"/>
      <c r="W397" s="47" t="s">
        <v>47</v>
      </c>
      <c r="X397" s="47"/>
      <c r="Y397" s="47" t="str">
        <f t="shared" ref="Y397" si="270">B397</f>
        <v>洛斯</v>
      </c>
      <c r="Z397" s="43"/>
      <c r="AA397" s="43"/>
      <c r="AB397" s="43" t="s">
        <v>658</v>
      </c>
      <c r="AC397" s="43">
        <v>2560</v>
      </c>
      <c r="AD397" s="43">
        <v>2561</v>
      </c>
      <c r="AE397" s="43">
        <v>2562</v>
      </c>
      <c r="AF397" s="43">
        <v>2563</v>
      </c>
      <c r="AG397" s="43"/>
      <c r="AH397" s="47" t="s">
        <v>52</v>
      </c>
      <c r="AI397" s="43">
        <v>1</v>
      </c>
      <c r="AJ397" s="43"/>
      <c r="AK397" s="43"/>
      <c r="AL397" s="43"/>
      <c r="AM397" s="43"/>
      <c r="AN397" s="47" t="s">
        <v>47</v>
      </c>
      <c r="AO397" s="43"/>
      <c r="AP397" s="43" t="s">
        <v>53</v>
      </c>
      <c r="AQ397" s="2">
        <v>0</v>
      </c>
    </row>
    <row r="398" s="6" customFormat="1" ht="12" spans="1:43">
      <c r="A398" s="43">
        <v>169604</v>
      </c>
      <c r="B398" s="43" t="s">
        <v>659</v>
      </c>
      <c r="C398" s="43"/>
      <c r="D398" s="43"/>
      <c r="E398" s="43"/>
      <c r="F398" s="43">
        <v>0</v>
      </c>
      <c r="G398" s="43" t="s">
        <v>47</v>
      </c>
      <c r="H398" s="43" t="s">
        <v>45</v>
      </c>
      <c r="I398" s="43" t="s">
        <v>45</v>
      </c>
      <c r="J398" s="12">
        <v>0</v>
      </c>
      <c r="K398" s="43" t="s">
        <v>46</v>
      </c>
      <c r="L398" s="47" t="s">
        <v>47</v>
      </c>
      <c r="M398" s="43">
        <v>1010137</v>
      </c>
      <c r="N398" s="43">
        <v>0</v>
      </c>
      <c r="O398" s="47" t="s">
        <v>48</v>
      </c>
      <c r="P398" s="43">
        <v>1696</v>
      </c>
      <c r="Q398" s="43">
        <v>1315</v>
      </c>
      <c r="R398" s="43">
        <v>1527</v>
      </c>
      <c r="S398" s="43">
        <f t="shared" ref="S398:S402" si="271">FLOOR(Q398/16,1)</f>
        <v>82</v>
      </c>
      <c r="T398" s="43">
        <f t="shared" si="269"/>
        <v>95</v>
      </c>
      <c r="U398" s="43">
        <v>3</v>
      </c>
      <c r="V398" s="43"/>
      <c r="W398" s="47" t="s">
        <v>47</v>
      </c>
      <c r="X398" s="47"/>
      <c r="Y398" s="47" t="str">
        <f t="shared" ref="Y398" si="272">B398</f>
        <v>树灵长老</v>
      </c>
      <c r="Z398" s="43"/>
      <c r="AA398" s="43"/>
      <c r="AB398" s="43" t="s">
        <v>659</v>
      </c>
      <c r="AC398" s="43">
        <v>2565</v>
      </c>
      <c r="AD398" s="43">
        <v>2566</v>
      </c>
      <c r="AE398" s="43">
        <v>2567</v>
      </c>
      <c r="AF398" s="43" t="s">
        <v>51</v>
      </c>
      <c r="AG398" s="43"/>
      <c r="AH398" s="47" t="s">
        <v>52</v>
      </c>
      <c r="AI398" s="43">
        <v>1</v>
      </c>
      <c r="AJ398" s="43"/>
      <c r="AK398" s="43"/>
      <c r="AL398" s="43"/>
      <c r="AM398" s="43"/>
      <c r="AN398" s="47" t="s">
        <v>47</v>
      </c>
      <c r="AO398" s="43"/>
      <c r="AP398" s="43" t="s">
        <v>53</v>
      </c>
      <c r="AQ398" s="2">
        <v>0</v>
      </c>
    </row>
    <row r="399" s="6" customFormat="1" ht="12" spans="1:43">
      <c r="A399" s="43">
        <v>169605</v>
      </c>
      <c r="B399" s="43" t="s">
        <v>654</v>
      </c>
      <c r="C399" s="43"/>
      <c r="D399" s="43"/>
      <c r="E399" s="43"/>
      <c r="F399" s="43">
        <v>0</v>
      </c>
      <c r="G399" s="43" t="s">
        <v>47</v>
      </c>
      <c r="H399" s="43" t="s">
        <v>45</v>
      </c>
      <c r="I399" s="43" t="s">
        <v>45</v>
      </c>
      <c r="J399" s="12">
        <v>0</v>
      </c>
      <c r="K399" s="43" t="s">
        <v>46</v>
      </c>
      <c r="L399" s="47" t="s">
        <v>47</v>
      </c>
      <c r="M399" s="43">
        <v>1010150</v>
      </c>
      <c r="N399" s="43">
        <v>0</v>
      </c>
      <c r="O399" s="47" t="s">
        <v>48</v>
      </c>
      <c r="P399" s="43">
        <v>1696</v>
      </c>
      <c r="Q399" s="43">
        <v>925</v>
      </c>
      <c r="R399" s="43">
        <v>1288</v>
      </c>
      <c r="S399" s="43">
        <f t="shared" si="271"/>
        <v>57</v>
      </c>
      <c r="T399" s="43">
        <f t="shared" si="269"/>
        <v>80</v>
      </c>
      <c r="U399" s="43">
        <v>5</v>
      </c>
      <c r="V399" s="43"/>
      <c r="W399" s="47" t="s">
        <v>47</v>
      </c>
      <c r="X399" s="47"/>
      <c r="Y399" s="47" t="str">
        <f t="shared" ref="Y399" si="273">B399</f>
        <v>医师</v>
      </c>
      <c r="Z399" s="43"/>
      <c r="AA399" s="43"/>
      <c r="AB399" s="43" t="s">
        <v>654</v>
      </c>
      <c r="AC399" s="43">
        <v>2570</v>
      </c>
      <c r="AD399" s="43">
        <v>2571</v>
      </c>
      <c r="AE399" s="43">
        <v>2572</v>
      </c>
      <c r="AF399" s="43" t="s">
        <v>51</v>
      </c>
      <c r="AG399" s="43"/>
      <c r="AH399" s="47" t="s">
        <v>52</v>
      </c>
      <c r="AI399" s="43">
        <v>1</v>
      </c>
      <c r="AJ399" s="43"/>
      <c r="AK399" s="43"/>
      <c r="AL399" s="43"/>
      <c r="AM399" s="43"/>
      <c r="AN399" s="47" t="s">
        <v>47</v>
      </c>
      <c r="AO399" s="43"/>
      <c r="AP399" s="43" t="s">
        <v>53</v>
      </c>
      <c r="AQ399" s="2">
        <v>0</v>
      </c>
    </row>
    <row r="400" s="6" customFormat="1" ht="12" spans="1:43">
      <c r="A400" s="43">
        <v>169606</v>
      </c>
      <c r="B400" s="43" t="s">
        <v>660</v>
      </c>
      <c r="C400" s="43"/>
      <c r="D400" s="43"/>
      <c r="E400" s="43"/>
      <c r="F400" s="43">
        <v>0</v>
      </c>
      <c r="G400" s="43" t="s">
        <v>47</v>
      </c>
      <c r="H400" s="43" t="s">
        <v>45</v>
      </c>
      <c r="I400" s="43" t="s">
        <v>45</v>
      </c>
      <c r="J400" s="12">
        <v>0</v>
      </c>
      <c r="K400" s="43" t="s">
        <v>46</v>
      </c>
      <c r="L400" s="47" t="s">
        <v>47</v>
      </c>
      <c r="M400" s="43">
        <v>1010141</v>
      </c>
      <c r="N400" s="43">
        <v>0</v>
      </c>
      <c r="O400" s="47" t="s">
        <v>48</v>
      </c>
      <c r="P400" s="43">
        <v>1696</v>
      </c>
      <c r="Q400" s="43">
        <v>1300</v>
      </c>
      <c r="R400" s="43">
        <v>245</v>
      </c>
      <c r="S400" s="43">
        <f t="shared" si="271"/>
        <v>81</v>
      </c>
      <c r="T400" s="43">
        <f t="shared" si="269"/>
        <v>15</v>
      </c>
      <c r="U400" s="43">
        <v>5</v>
      </c>
      <c r="V400" s="43"/>
      <c r="W400" s="47" t="s">
        <v>47</v>
      </c>
      <c r="X400" s="47"/>
      <c r="Y400" s="47" t="str">
        <f t="shared" ref="Y400" si="274">B400</f>
        <v>魔王</v>
      </c>
      <c r="Z400" s="43" t="s">
        <v>661</v>
      </c>
      <c r="AA400" s="43"/>
      <c r="AB400" s="43" t="s">
        <v>662</v>
      </c>
      <c r="AC400" s="43">
        <v>2575</v>
      </c>
      <c r="AD400" s="43">
        <v>2576</v>
      </c>
      <c r="AE400" s="43">
        <v>2577</v>
      </c>
      <c r="AF400" s="43" t="s">
        <v>51</v>
      </c>
      <c r="AG400" s="43"/>
      <c r="AH400" s="47" t="s">
        <v>52</v>
      </c>
      <c r="AI400" s="43">
        <v>1</v>
      </c>
      <c r="AJ400" s="43"/>
      <c r="AK400" s="43"/>
      <c r="AL400" s="43"/>
      <c r="AM400" s="43"/>
      <c r="AN400" s="47" t="s">
        <v>47</v>
      </c>
      <c r="AO400" s="43"/>
      <c r="AP400" s="43" t="s">
        <v>53</v>
      </c>
      <c r="AQ400" s="2">
        <v>0</v>
      </c>
    </row>
    <row r="401" s="6" customFormat="1" ht="12" spans="1:43">
      <c r="A401" s="43">
        <v>169607</v>
      </c>
      <c r="B401" s="43" t="s">
        <v>660</v>
      </c>
      <c r="C401" s="43"/>
      <c r="D401" s="43"/>
      <c r="E401" s="43"/>
      <c r="F401" s="43">
        <v>0</v>
      </c>
      <c r="G401" s="43" t="s">
        <v>47</v>
      </c>
      <c r="H401" s="43" t="s">
        <v>45</v>
      </c>
      <c r="I401" s="43" t="s">
        <v>45</v>
      </c>
      <c r="J401" s="12">
        <v>0</v>
      </c>
      <c r="K401" s="43" t="s">
        <v>46</v>
      </c>
      <c r="L401" s="47" t="s">
        <v>47</v>
      </c>
      <c r="M401" s="43">
        <v>1010152</v>
      </c>
      <c r="N401" s="43">
        <v>0</v>
      </c>
      <c r="O401" s="47" t="s">
        <v>48</v>
      </c>
      <c r="P401" s="43">
        <v>1696</v>
      </c>
      <c r="Q401" s="43">
        <v>1220</v>
      </c>
      <c r="R401" s="43">
        <v>253</v>
      </c>
      <c r="S401" s="43">
        <f t="shared" si="271"/>
        <v>76</v>
      </c>
      <c r="T401" s="43">
        <f t="shared" si="269"/>
        <v>15</v>
      </c>
      <c r="U401" s="43">
        <v>3</v>
      </c>
      <c r="V401" s="43"/>
      <c r="W401" s="47" t="s">
        <v>47</v>
      </c>
      <c r="X401" s="47"/>
      <c r="Y401" s="47" t="str">
        <f t="shared" ref="Y401" si="275">B401</f>
        <v>魔王</v>
      </c>
      <c r="Z401" s="43" t="s">
        <v>663</v>
      </c>
      <c r="AA401" s="43"/>
      <c r="AB401" s="43" t="s">
        <v>664</v>
      </c>
      <c r="AC401" s="43">
        <v>2580</v>
      </c>
      <c r="AD401" s="43">
        <v>2581</v>
      </c>
      <c r="AE401" s="43">
        <v>2582</v>
      </c>
      <c r="AF401" s="43" t="s">
        <v>51</v>
      </c>
      <c r="AG401" s="43"/>
      <c r="AH401" s="47" t="s">
        <v>52</v>
      </c>
      <c r="AI401" s="43">
        <v>1</v>
      </c>
      <c r="AJ401" s="43"/>
      <c r="AK401" s="43"/>
      <c r="AL401" s="43"/>
      <c r="AM401" s="43"/>
      <c r="AN401" s="47" t="s">
        <v>47</v>
      </c>
      <c r="AO401" s="43"/>
      <c r="AP401" s="43" t="s">
        <v>53</v>
      </c>
      <c r="AQ401" s="2">
        <v>0</v>
      </c>
    </row>
    <row r="402" s="6" customFormat="1" ht="12.75" spans="1:43">
      <c r="A402" s="43">
        <v>169608</v>
      </c>
      <c r="B402" s="43" t="s">
        <v>608</v>
      </c>
      <c r="C402" s="43"/>
      <c r="D402" s="43"/>
      <c r="E402" s="43"/>
      <c r="F402" s="43">
        <v>0</v>
      </c>
      <c r="G402" s="43" t="s">
        <v>47</v>
      </c>
      <c r="H402" s="43" t="s">
        <v>45</v>
      </c>
      <c r="I402" s="43" t="s">
        <v>45</v>
      </c>
      <c r="J402" s="12">
        <v>0</v>
      </c>
      <c r="K402" s="43" t="s">
        <v>46</v>
      </c>
      <c r="L402" s="47" t="s">
        <v>47</v>
      </c>
      <c r="M402" s="64">
        <v>1030009</v>
      </c>
      <c r="N402" s="43">
        <v>0</v>
      </c>
      <c r="O402" s="47" t="s">
        <v>48</v>
      </c>
      <c r="P402" s="43">
        <v>1696</v>
      </c>
      <c r="Q402" s="43">
        <v>760</v>
      </c>
      <c r="R402" s="43">
        <v>1390</v>
      </c>
      <c r="S402" s="43">
        <f t="shared" si="271"/>
        <v>47</v>
      </c>
      <c r="T402" s="43">
        <f t="shared" si="269"/>
        <v>86</v>
      </c>
      <c r="U402" s="43">
        <v>3</v>
      </c>
      <c r="V402" s="43"/>
      <c r="W402" s="47" t="s">
        <v>47</v>
      </c>
      <c r="X402" s="47"/>
      <c r="Y402" s="47" t="str">
        <f t="shared" ref="Y402" si="276">B402</f>
        <v>土地</v>
      </c>
      <c r="Z402" s="43"/>
      <c r="AA402" s="43"/>
      <c r="AB402" s="43" t="s">
        <v>608</v>
      </c>
      <c r="AC402" s="43">
        <v>2590</v>
      </c>
      <c r="AD402" s="43">
        <v>2591</v>
      </c>
      <c r="AE402" s="43">
        <v>2592</v>
      </c>
      <c r="AF402" s="43">
        <v>2593</v>
      </c>
      <c r="AG402" s="43"/>
      <c r="AH402" s="47" t="s">
        <v>52</v>
      </c>
      <c r="AI402" s="43">
        <v>1</v>
      </c>
      <c r="AJ402" s="43"/>
      <c r="AK402" s="43"/>
      <c r="AL402" s="43"/>
      <c r="AM402" s="43"/>
      <c r="AN402" s="47" t="s">
        <v>47</v>
      </c>
      <c r="AO402" s="43"/>
      <c r="AP402" s="43" t="s">
        <v>53</v>
      </c>
      <c r="AQ402" s="2">
        <v>0</v>
      </c>
    </row>
    <row r="403" s="6" customFormat="1" ht="12" spans="1:43">
      <c r="A403" s="43">
        <v>169609</v>
      </c>
      <c r="B403" s="43" t="s">
        <v>544</v>
      </c>
      <c r="C403" s="43"/>
      <c r="D403" s="43"/>
      <c r="E403" s="43"/>
      <c r="F403" s="43">
        <v>0</v>
      </c>
      <c r="G403" s="43" t="s">
        <v>47</v>
      </c>
      <c r="H403" s="43" t="s">
        <v>45</v>
      </c>
      <c r="I403" s="43" t="s">
        <v>45</v>
      </c>
      <c r="J403" s="12">
        <v>0</v>
      </c>
      <c r="K403" s="43" t="s">
        <v>46</v>
      </c>
      <c r="L403" s="47" t="s">
        <v>47</v>
      </c>
      <c r="M403" s="43">
        <v>1030001</v>
      </c>
      <c r="N403" s="43">
        <v>0</v>
      </c>
      <c r="O403" s="47" t="s">
        <v>48</v>
      </c>
      <c r="P403" s="43">
        <v>1696</v>
      </c>
      <c r="Q403" s="43">
        <v>870</v>
      </c>
      <c r="R403" s="43">
        <v>1432</v>
      </c>
      <c r="S403" s="43">
        <f t="shared" ref="S403" si="277">FLOOR(Q403/16,1)</f>
        <v>54</v>
      </c>
      <c r="T403" s="43">
        <f t="shared" ref="T403" si="278">FLOOR(R403/16,1)</f>
        <v>89</v>
      </c>
      <c r="U403" s="43">
        <v>5</v>
      </c>
      <c r="V403" s="43"/>
      <c r="W403" s="47" t="s">
        <v>47</v>
      </c>
      <c r="X403" s="47" t="s">
        <v>545</v>
      </c>
      <c r="Y403" s="47" t="str">
        <f t="shared" ref="Y403" si="279">B403</f>
        <v>老孙头</v>
      </c>
      <c r="Z403" s="43"/>
      <c r="AA403" s="43"/>
      <c r="AB403" s="43" t="s">
        <v>546</v>
      </c>
      <c r="AC403" s="43">
        <v>2188</v>
      </c>
      <c r="AD403" s="43">
        <v>2189</v>
      </c>
      <c r="AE403" s="43">
        <v>2190</v>
      </c>
      <c r="AF403" s="43">
        <v>2191</v>
      </c>
      <c r="AG403" s="43"/>
      <c r="AH403" s="47" t="s">
        <v>52</v>
      </c>
      <c r="AI403" s="43">
        <v>1</v>
      </c>
      <c r="AJ403" s="43" t="s">
        <v>547</v>
      </c>
      <c r="AK403" s="43" t="s">
        <v>548</v>
      </c>
      <c r="AL403" s="43" t="s">
        <v>549</v>
      </c>
      <c r="AM403" s="43" t="s">
        <v>550</v>
      </c>
      <c r="AN403" s="47" t="s">
        <v>47</v>
      </c>
      <c r="AO403" s="43"/>
      <c r="AP403" s="43" t="s">
        <v>53</v>
      </c>
      <c r="AQ403" s="2">
        <v>0</v>
      </c>
    </row>
    <row r="404" s="6" customFormat="1" ht="12" spans="1:43">
      <c r="A404" s="43">
        <v>169610</v>
      </c>
      <c r="B404" s="43" t="s">
        <v>658</v>
      </c>
      <c r="C404" s="43"/>
      <c r="D404" s="43"/>
      <c r="E404" s="43"/>
      <c r="F404" s="43">
        <v>0</v>
      </c>
      <c r="G404" s="43" t="s">
        <v>47</v>
      </c>
      <c r="H404" s="43" t="s">
        <v>45</v>
      </c>
      <c r="I404" s="43" t="s">
        <v>45</v>
      </c>
      <c r="J404" s="12">
        <v>0</v>
      </c>
      <c r="K404" s="43" t="s">
        <v>46</v>
      </c>
      <c r="L404" s="47" t="s">
        <v>47</v>
      </c>
      <c r="M404" s="43">
        <v>1020130</v>
      </c>
      <c r="N404" s="43">
        <v>0</v>
      </c>
      <c r="O404" s="47" t="s">
        <v>48</v>
      </c>
      <c r="P404" s="43">
        <v>1696</v>
      </c>
      <c r="Q404" s="43">
        <v>1268</v>
      </c>
      <c r="R404" s="43">
        <v>289</v>
      </c>
      <c r="S404" s="43">
        <f t="shared" ref="S404" si="280">FLOOR(Q404/16,1)</f>
        <v>79</v>
      </c>
      <c r="T404" s="43">
        <f t="shared" ref="T404" si="281">FLOOR(R404/16,1)</f>
        <v>18</v>
      </c>
      <c r="U404" s="43">
        <v>3</v>
      </c>
      <c r="V404" s="43"/>
      <c r="W404" s="47" t="s">
        <v>47</v>
      </c>
      <c r="X404" s="47"/>
      <c r="Y404" s="47" t="str">
        <f t="shared" ref="Y404" si="282">B404</f>
        <v>洛斯</v>
      </c>
      <c r="Z404" s="43"/>
      <c r="AA404" s="43"/>
      <c r="AB404" s="43" t="s">
        <v>658</v>
      </c>
      <c r="AC404" s="43">
        <v>2560</v>
      </c>
      <c r="AD404" s="43">
        <v>2561</v>
      </c>
      <c r="AE404" s="43">
        <v>2562</v>
      </c>
      <c r="AF404" s="43">
        <v>2563</v>
      </c>
      <c r="AG404" s="43"/>
      <c r="AH404" s="47" t="s">
        <v>52</v>
      </c>
      <c r="AI404" s="43">
        <v>1</v>
      </c>
      <c r="AJ404" s="43"/>
      <c r="AK404" s="43"/>
      <c r="AL404" s="43"/>
      <c r="AM404" s="43"/>
      <c r="AN404" s="47" t="s">
        <v>47</v>
      </c>
      <c r="AO404" s="43"/>
      <c r="AP404" s="43" t="s">
        <v>53</v>
      </c>
      <c r="AQ404" s="2">
        <v>0</v>
      </c>
    </row>
    <row r="405" s="6" customFormat="1" ht="12" spans="1:43">
      <c r="A405" s="43">
        <v>169611</v>
      </c>
      <c r="B405" s="60" t="s">
        <v>665</v>
      </c>
      <c r="C405" s="43"/>
      <c r="D405" s="43"/>
      <c r="E405" s="43"/>
      <c r="F405" s="43">
        <v>0</v>
      </c>
      <c r="G405" s="43" t="s">
        <v>47</v>
      </c>
      <c r="H405" s="43" t="s">
        <v>45</v>
      </c>
      <c r="I405" s="43" t="s">
        <v>45</v>
      </c>
      <c r="J405" s="12">
        <v>0</v>
      </c>
      <c r="K405" s="43" t="s">
        <v>46</v>
      </c>
      <c r="L405" s="47" t="s">
        <v>47</v>
      </c>
      <c r="M405" s="43">
        <v>1020109</v>
      </c>
      <c r="N405" s="43">
        <v>0</v>
      </c>
      <c r="O405" s="47" t="s">
        <v>48</v>
      </c>
      <c r="P405" s="43">
        <v>1696</v>
      </c>
      <c r="Q405" s="43">
        <v>618</v>
      </c>
      <c r="R405" s="43">
        <v>457</v>
      </c>
      <c r="S405" s="43">
        <f t="shared" ref="S405" si="283">FLOOR(Q405/16,1)</f>
        <v>38</v>
      </c>
      <c r="T405" s="43">
        <f t="shared" ref="T405" si="284">FLOOR(R405/16,1)</f>
        <v>28</v>
      </c>
      <c r="U405" s="43">
        <v>3</v>
      </c>
      <c r="V405" s="43"/>
      <c r="W405" s="47" t="s">
        <v>47</v>
      </c>
      <c r="X405" s="47"/>
      <c r="Y405" s="47" t="str">
        <f t="shared" ref="Y405" si="285">B405</f>
        <v>女弟子</v>
      </c>
      <c r="Z405" s="43" t="s">
        <v>146</v>
      </c>
      <c r="AA405" s="43"/>
      <c r="AB405" s="43" t="s">
        <v>665</v>
      </c>
      <c r="AC405" s="43">
        <v>2585</v>
      </c>
      <c r="AD405" s="43">
        <v>2586</v>
      </c>
      <c r="AE405" s="43">
        <v>2587</v>
      </c>
      <c r="AF405" s="43">
        <v>2588</v>
      </c>
      <c r="AG405" s="43"/>
      <c r="AH405" s="47" t="s">
        <v>52</v>
      </c>
      <c r="AI405" s="43">
        <v>1</v>
      </c>
      <c r="AJ405" s="43"/>
      <c r="AK405" s="43"/>
      <c r="AL405" s="43"/>
      <c r="AM405" s="43"/>
      <c r="AN405" s="47" t="s">
        <v>47</v>
      </c>
      <c r="AO405" s="43"/>
      <c r="AP405" s="43" t="s">
        <v>53</v>
      </c>
      <c r="AQ405" s="2">
        <v>0</v>
      </c>
    </row>
    <row r="406" s="6" customFormat="1" ht="12" spans="1:43">
      <c r="A406" s="43">
        <v>169612</v>
      </c>
      <c r="B406" s="60" t="s">
        <v>666</v>
      </c>
      <c r="C406" s="43"/>
      <c r="D406" s="43"/>
      <c r="E406" s="43"/>
      <c r="F406" s="43">
        <v>0</v>
      </c>
      <c r="G406" s="43" t="s">
        <v>47</v>
      </c>
      <c r="H406" s="43" t="s">
        <v>45</v>
      </c>
      <c r="I406" s="43" t="s">
        <v>45</v>
      </c>
      <c r="J406" s="12">
        <v>0</v>
      </c>
      <c r="K406" s="43" t="s">
        <v>46</v>
      </c>
      <c r="L406" s="47" t="s">
        <v>47</v>
      </c>
      <c r="M406" s="43">
        <v>1010126</v>
      </c>
      <c r="N406" s="43">
        <v>0</v>
      </c>
      <c r="O406" s="47" t="s">
        <v>48</v>
      </c>
      <c r="P406" s="43">
        <v>1696</v>
      </c>
      <c r="Q406" s="43">
        <v>1237</v>
      </c>
      <c r="R406" s="43">
        <v>481</v>
      </c>
      <c r="S406" s="43">
        <f t="shared" ref="S406" si="286">FLOOR(Q406/16,1)</f>
        <v>77</v>
      </c>
      <c r="T406" s="43">
        <f t="shared" ref="T406" si="287">FLOOR(R406/16,1)</f>
        <v>30</v>
      </c>
      <c r="U406" s="43">
        <v>1</v>
      </c>
      <c r="V406" s="43"/>
      <c r="W406" s="47" t="s">
        <v>47</v>
      </c>
      <c r="X406" s="47"/>
      <c r="Y406" s="47" t="str">
        <f t="shared" ref="Y406" si="288">B406</f>
        <v>发狂的龙兽</v>
      </c>
      <c r="Z406" s="43"/>
      <c r="AA406" s="43"/>
      <c r="AB406" s="43" t="s">
        <v>667</v>
      </c>
      <c r="AC406" s="43">
        <v>2610</v>
      </c>
      <c r="AD406" s="43"/>
      <c r="AE406" s="43"/>
      <c r="AF406" s="43" t="s">
        <v>51</v>
      </c>
      <c r="AG406" s="43"/>
      <c r="AH406" s="47" t="s">
        <v>52</v>
      </c>
      <c r="AI406" s="43">
        <v>1</v>
      </c>
      <c r="AJ406" s="43"/>
      <c r="AK406" s="43"/>
      <c r="AL406" s="43"/>
      <c r="AM406" s="43"/>
      <c r="AN406" s="47" t="s">
        <v>47</v>
      </c>
      <c r="AO406" s="43"/>
      <c r="AP406" s="43" t="s">
        <v>53</v>
      </c>
      <c r="AQ406" s="2">
        <v>0</v>
      </c>
    </row>
    <row r="407" s="6" customFormat="1" ht="12" spans="1:43">
      <c r="A407" s="43">
        <v>169613</v>
      </c>
      <c r="B407" s="60" t="s">
        <v>668</v>
      </c>
      <c r="C407" s="43"/>
      <c r="D407" s="43"/>
      <c r="E407" s="43"/>
      <c r="F407" s="43">
        <v>0</v>
      </c>
      <c r="G407" s="43" t="s">
        <v>47</v>
      </c>
      <c r="H407" s="43" t="s">
        <v>45</v>
      </c>
      <c r="I407" s="43" t="s">
        <v>45</v>
      </c>
      <c r="J407" s="12">
        <v>0</v>
      </c>
      <c r="K407" s="43" t="s">
        <v>46</v>
      </c>
      <c r="L407" s="47" t="s">
        <v>47</v>
      </c>
      <c r="M407" s="43">
        <v>1030010</v>
      </c>
      <c r="N407" s="43">
        <v>0</v>
      </c>
      <c r="O407" s="47" t="s">
        <v>48</v>
      </c>
      <c r="P407" s="43">
        <v>1696</v>
      </c>
      <c r="Q407" s="43">
        <v>1242</v>
      </c>
      <c r="R407" s="43">
        <v>390</v>
      </c>
      <c r="S407" s="43">
        <f t="shared" ref="S407" si="289">FLOOR(Q407/16,1)</f>
        <v>77</v>
      </c>
      <c r="T407" s="43">
        <f t="shared" ref="T407" si="290">FLOOR(R407/16,1)</f>
        <v>24</v>
      </c>
      <c r="U407" s="43">
        <v>5</v>
      </c>
      <c r="V407" s="43"/>
      <c r="W407" s="47" t="s">
        <v>47</v>
      </c>
      <c r="X407" s="47"/>
      <c r="Y407" s="47" t="str">
        <f t="shared" ref="Y407" si="291">B407</f>
        <v>人类战士</v>
      </c>
      <c r="Z407" s="43"/>
      <c r="AA407" s="43"/>
      <c r="AB407" s="43" t="s">
        <v>668</v>
      </c>
      <c r="AC407" s="43">
        <v>2031</v>
      </c>
      <c r="AD407" s="43"/>
      <c r="AE407" s="43"/>
      <c r="AF407" s="43" t="s">
        <v>51</v>
      </c>
      <c r="AG407" s="43"/>
      <c r="AH407" s="47" t="s">
        <v>52</v>
      </c>
      <c r="AI407" s="43">
        <v>1</v>
      </c>
      <c r="AJ407" s="43"/>
      <c r="AK407" s="43"/>
      <c r="AL407" s="43"/>
      <c r="AM407" s="43"/>
      <c r="AN407" s="47" t="s">
        <v>47</v>
      </c>
      <c r="AO407" s="43"/>
      <c r="AP407" s="43" t="s">
        <v>53</v>
      </c>
      <c r="AQ407" s="2">
        <v>0</v>
      </c>
    </row>
    <row r="408" s="6" customFormat="1" ht="12" spans="1:43">
      <c r="A408" s="43">
        <v>169614</v>
      </c>
      <c r="B408" s="60" t="s">
        <v>669</v>
      </c>
      <c r="C408" s="43"/>
      <c r="D408" s="43"/>
      <c r="E408" s="43"/>
      <c r="F408" s="43">
        <v>0</v>
      </c>
      <c r="G408" s="43" t="s">
        <v>47</v>
      </c>
      <c r="H408" s="43" t="s">
        <v>45</v>
      </c>
      <c r="I408" s="43" t="s">
        <v>45</v>
      </c>
      <c r="J408" s="12">
        <v>0</v>
      </c>
      <c r="K408" s="43" t="s">
        <v>46</v>
      </c>
      <c r="L408" s="47" t="s">
        <v>47</v>
      </c>
      <c r="M408" s="43">
        <v>1030008</v>
      </c>
      <c r="N408" s="43">
        <v>0</v>
      </c>
      <c r="O408" s="47" t="s">
        <v>48</v>
      </c>
      <c r="P408" s="43">
        <v>1696</v>
      </c>
      <c r="Q408" s="43">
        <v>1313</v>
      </c>
      <c r="R408" s="43">
        <v>398</v>
      </c>
      <c r="S408" s="43">
        <f t="shared" ref="S408" si="292">FLOOR(Q408/16,1)</f>
        <v>82</v>
      </c>
      <c r="T408" s="43">
        <f t="shared" ref="T408" si="293">FLOOR(R408/16,1)</f>
        <v>24</v>
      </c>
      <c r="U408" s="43">
        <v>5</v>
      </c>
      <c r="V408" s="43"/>
      <c r="W408" s="47" t="s">
        <v>47</v>
      </c>
      <c r="X408" s="47"/>
      <c r="Y408" s="47" t="str">
        <f t="shared" ref="Y408" si="294">B408</f>
        <v>猪族战士</v>
      </c>
      <c r="Z408" s="43"/>
      <c r="AA408" s="43"/>
      <c r="AB408" s="43" t="s">
        <v>670</v>
      </c>
      <c r="AC408" s="43">
        <v>2032</v>
      </c>
      <c r="AD408" s="43"/>
      <c r="AE408" s="43"/>
      <c r="AF408" s="43" t="s">
        <v>51</v>
      </c>
      <c r="AG408" s="43"/>
      <c r="AH408" s="47" t="s">
        <v>52</v>
      </c>
      <c r="AI408" s="43">
        <v>1</v>
      </c>
      <c r="AJ408" s="43"/>
      <c r="AK408" s="43"/>
      <c r="AL408" s="43"/>
      <c r="AM408" s="43"/>
      <c r="AN408" s="47" t="s">
        <v>47</v>
      </c>
      <c r="AO408" s="43"/>
      <c r="AP408" s="43" t="s">
        <v>53</v>
      </c>
      <c r="AQ408" s="2">
        <v>0</v>
      </c>
    </row>
    <row r="409" s="6" customFormat="1" ht="12" spans="1:43">
      <c r="A409" s="43">
        <v>169615</v>
      </c>
      <c r="B409" s="60" t="s">
        <v>137</v>
      </c>
      <c r="C409" s="43"/>
      <c r="D409" s="43"/>
      <c r="E409" s="43"/>
      <c r="F409" s="43">
        <v>0</v>
      </c>
      <c r="G409" s="43" t="s">
        <v>47</v>
      </c>
      <c r="H409" s="43" t="s">
        <v>45</v>
      </c>
      <c r="I409" s="43" t="s">
        <v>45</v>
      </c>
      <c r="J409" s="12">
        <v>0</v>
      </c>
      <c r="K409" s="43" t="s">
        <v>46</v>
      </c>
      <c r="L409" s="47" t="s">
        <v>47</v>
      </c>
      <c r="M409" s="43">
        <v>1000106</v>
      </c>
      <c r="N409" s="43">
        <v>0</v>
      </c>
      <c r="O409" s="47" t="s">
        <v>48</v>
      </c>
      <c r="P409" s="43">
        <v>1696</v>
      </c>
      <c r="Q409" s="43">
        <v>906</v>
      </c>
      <c r="R409" s="43">
        <v>961</v>
      </c>
      <c r="S409" s="43">
        <f t="shared" ref="S409" si="295">FLOOR(Q409/16,1)</f>
        <v>56</v>
      </c>
      <c r="T409" s="43">
        <f t="shared" ref="T409" si="296">FLOOR(R409/16,1)</f>
        <v>60</v>
      </c>
      <c r="U409" s="43">
        <v>3</v>
      </c>
      <c r="V409" s="43"/>
      <c r="W409" s="47" t="s">
        <v>47</v>
      </c>
      <c r="X409" s="47"/>
      <c r="Y409" s="47" t="str">
        <f t="shared" ref="Y409" si="297">B409</f>
        <v>地藏王</v>
      </c>
      <c r="Z409" s="43" t="s">
        <v>671</v>
      </c>
      <c r="AA409" s="43"/>
      <c r="AB409" s="43" t="s">
        <v>137</v>
      </c>
      <c r="AC409" s="12">
        <v>2103</v>
      </c>
      <c r="AD409" s="12">
        <v>2106</v>
      </c>
      <c r="AE409" s="12">
        <v>2462</v>
      </c>
      <c r="AF409" s="43"/>
      <c r="AG409" s="43"/>
      <c r="AH409" s="47" t="s">
        <v>52</v>
      </c>
      <c r="AI409" s="43">
        <v>1</v>
      </c>
      <c r="AJ409" s="43"/>
      <c r="AK409" s="43"/>
      <c r="AL409" s="43"/>
      <c r="AM409" s="43"/>
      <c r="AN409" s="47" t="s">
        <v>47</v>
      </c>
      <c r="AO409" s="43"/>
      <c r="AP409" s="43" t="s">
        <v>53</v>
      </c>
      <c r="AQ409" s="2">
        <v>0</v>
      </c>
    </row>
    <row r="410" s="6" customFormat="1" ht="12" spans="1:43">
      <c r="A410" s="43">
        <v>169616</v>
      </c>
      <c r="B410" s="60" t="s">
        <v>216</v>
      </c>
      <c r="C410" s="43"/>
      <c r="D410" s="43"/>
      <c r="E410" s="43"/>
      <c r="F410" s="43">
        <v>0</v>
      </c>
      <c r="G410" s="43" t="s">
        <v>47</v>
      </c>
      <c r="H410" s="43" t="s">
        <v>45</v>
      </c>
      <c r="I410" s="43" t="s">
        <v>45</v>
      </c>
      <c r="J410" s="12">
        <v>0</v>
      </c>
      <c r="K410" s="43" t="s">
        <v>46</v>
      </c>
      <c r="L410" s="47" t="s">
        <v>47</v>
      </c>
      <c r="M410" s="43">
        <v>1010118</v>
      </c>
      <c r="N410" s="43">
        <v>0</v>
      </c>
      <c r="O410" s="47" t="s">
        <v>48</v>
      </c>
      <c r="P410" s="43">
        <v>1696</v>
      </c>
      <c r="Q410" s="43">
        <v>1384</v>
      </c>
      <c r="R410" s="43">
        <v>1574</v>
      </c>
      <c r="S410" s="43">
        <f t="shared" ref="S410" si="298">FLOOR(Q410/16,1)</f>
        <v>86</v>
      </c>
      <c r="T410" s="43">
        <f t="shared" ref="T410" si="299">FLOOR(R410/16,1)</f>
        <v>98</v>
      </c>
      <c r="U410" s="43">
        <v>3</v>
      </c>
      <c r="V410" s="43"/>
      <c r="W410" s="47" t="s">
        <v>47</v>
      </c>
      <c r="X410" s="47"/>
      <c r="Y410" s="47" t="str">
        <f t="shared" ref="Y410" si="300">B410</f>
        <v>魔物</v>
      </c>
      <c r="Z410" s="43" t="s">
        <v>217</v>
      </c>
      <c r="AA410" s="43"/>
      <c r="AB410" s="43" t="s">
        <v>216</v>
      </c>
      <c r="AC410" s="43">
        <v>2621</v>
      </c>
      <c r="AD410" s="43">
        <v>2622</v>
      </c>
      <c r="AE410" s="43">
        <v>2623</v>
      </c>
      <c r="AF410" s="43">
        <v>2624</v>
      </c>
      <c r="AG410" s="43"/>
      <c r="AH410" s="47" t="s">
        <v>52</v>
      </c>
      <c r="AI410" s="43">
        <v>1</v>
      </c>
      <c r="AJ410" s="43"/>
      <c r="AK410" s="43"/>
      <c r="AL410" s="43"/>
      <c r="AM410" s="43"/>
      <c r="AN410" s="47" t="s">
        <v>47</v>
      </c>
      <c r="AO410" s="43"/>
      <c r="AP410" s="43" t="s">
        <v>53</v>
      </c>
      <c r="AQ410" s="2">
        <v>0</v>
      </c>
    </row>
    <row r="411" s="6" customFormat="1" ht="12" spans="1:43">
      <c r="A411" s="43">
        <v>169617</v>
      </c>
      <c r="B411" s="60" t="s">
        <v>216</v>
      </c>
      <c r="C411" s="43"/>
      <c r="D411" s="43"/>
      <c r="E411" s="43"/>
      <c r="F411" s="43">
        <v>0</v>
      </c>
      <c r="G411" s="43" t="s">
        <v>47</v>
      </c>
      <c r="H411" s="43" t="s">
        <v>45</v>
      </c>
      <c r="I411" s="43" t="s">
        <v>45</v>
      </c>
      <c r="J411" s="12">
        <v>0</v>
      </c>
      <c r="K411" s="43" t="s">
        <v>46</v>
      </c>
      <c r="L411" s="47" t="s">
        <v>47</v>
      </c>
      <c r="M411" s="43">
        <v>1030003</v>
      </c>
      <c r="N411" s="43">
        <v>0</v>
      </c>
      <c r="O411" s="47" t="s">
        <v>48</v>
      </c>
      <c r="P411" s="43">
        <v>1696</v>
      </c>
      <c r="Q411" s="43">
        <v>1550</v>
      </c>
      <c r="R411" s="43">
        <v>1648</v>
      </c>
      <c r="S411" s="43">
        <f t="shared" ref="S411" si="301">FLOOR(Q411/16,1)</f>
        <v>96</v>
      </c>
      <c r="T411" s="43">
        <f t="shared" ref="T411" si="302">FLOOR(R411/16,1)</f>
        <v>103</v>
      </c>
      <c r="U411" s="43">
        <v>5</v>
      </c>
      <c r="V411" s="43"/>
      <c r="W411" s="47" t="s">
        <v>47</v>
      </c>
      <c r="X411" s="47"/>
      <c r="Y411" s="47" t="str">
        <f t="shared" ref="Y411" si="303">B411</f>
        <v>魔物</v>
      </c>
      <c r="Z411" s="43" t="s">
        <v>672</v>
      </c>
      <c r="AA411" s="43"/>
      <c r="AB411" s="43" t="s">
        <v>216</v>
      </c>
      <c r="AC411" s="11">
        <v>2123</v>
      </c>
      <c r="AD411" s="11">
        <v>2125</v>
      </c>
      <c r="AE411" s="11">
        <v>2126</v>
      </c>
      <c r="AF411" s="11" t="s">
        <v>51</v>
      </c>
      <c r="AG411" s="11"/>
      <c r="AH411" s="47" t="s">
        <v>52</v>
      </c>
      <c r="AI411" s="11">
        <v>1</v>
      </c>
      <c r="AJ411" s="11" t="s">
        <v>600</v>
      </c>
      <c r="AK411" s="11" t="s">
        <v>601</v>
      </c>
      <c r="AL411" s="11" t="s">
        <v>602</v>
      </c>
      <c r="AM411" s="11"/>
      <c r="AN411" s="47" t="s">
        <v>47</v>
      </c>
      <c r="AO411" s="43"/>
      <c r="AP411" s="43" t="s">
        <v>53</v>
      </c>
      <c r="AQ411" s="2">
        <v>0</v>
      </c>
    </row>
    <row r="412" s="6" customFormat="1" ht="12" spans="1:43">
      <c r="A412" s="43">
        <v>169618</v>
      </c>
      <c r="B412" s="60" t="s">
        <v>665</v>
      </c>
      <c r="C412" s="43"/>
      <c r="D412" s="43"/>
      <c r="E412" s="43"/>
      <c r="F412" s="43">
        <v>0</v>
      </c>
      <c r="G412" s="43" t="s">
        <v>47</v>
      </c>
      <c r="H412" s="43" t="s">
        <v>45</v>
      </c>
      <c r="I412" s="43" t="s">
        <v>45</v>
      </c>
      <c r="J412" s="12">
        <v>0</v>
      </c>
      <c r="K412" s="43" t="s">
        <v>46</v>
      </c>
      <c r="L412" s="47" t="s">
        <v>47</v>
      </c>
      <c r="M412" s="43">
        <v>1020109</v>
      </c>
      <c r="N412" s="43">
        <v>0</v>
      </c>
      <c r="O412" s="47" t="s">
        <v>48</v>
      </c>
      <c r="P412" s="43">
        <v>1696</v>
      </c>
      <c r="Q412" s="43">
        <v>794</v>
      </c>
      <c r="R412" s="43">
        <v>1018</v>
      </c>
      <c r="S412" s="43">
        <f t="shared" ref="S412" si="304">FLOOR(Q412/16,1)</f>
        <v>49</v>
      </c>
      <c r="T412" s="43">
        <f t="shared" ref="T412:T417" si="305">FLOOR(R412/16,1)</f>
        <v>63</v>
      </c>
      <c r="U412" s="43">
        <v>3</v>
      </c>
      <c r="V412" s="43"/>
      <c r="W412" s="47" t="s">
        <v>47</v>
      </c>
      <c r="X412" s="47"/>
      <c r="Y412" s="47" t="str">
        <f t="shared" ref="Y412" si="306">B412</f>
        <v>女弟子</v>
      </c>
      <c r="Z412" s="43" t="s">
        <v>146</v>
      </c>
      <c r="AA412" s="43"/>
      <c r="AB412" s="43" t="s">
        <v>665</v>
      </c>
      <c r="AC412" s="43">
        <v>2585</v>
      </c>
      <c r="AD412" s="43">
        <v>2586</v>
      </c>
      <c r="AE412" s="43">
        <v>2587</v>
      </c>
      <c r="AF412" s="43">
        <v>2588</v>
      </c>
      <c r="AG412" s="43"/>
      <c r="AH412" s="47" t="s">
        <v>52</v>
      </c>
      <c r="AI412" s="43">
        <v>1</v>
      </c>
      <c r="AJ412" s="43"/>
      <c r="AK412" s="43"/>
      <c r="AL412" s="43"/>
      <c r="AM412" s="43"/>
      <c r="AN412" s="47" t="s">
        <v>47</v>
      </c>
      <c r="AO412" s="43"/>
      <c r="AP412" s="43" t="s">
        <v>53</v>
      </c>
      <c r="AQ412" s="2">
        <v>0</v>
      </c>
    </row>
    <row r="413" s="18" customFormat="1" ht="12" spans="1:43">
      <c r="A413" s="83">
        <v>169701</v>
      </c>
      <c r="B413" s="83" t="s">
        <v>546</v>
      </c>
      <c r="C413" s="83"/>
      <c r="D413" s="83"/>
      <c r="E413" s="83"/>
      <c r="F413" s="83">
        <v>0</v>
      </c>
      <c r="G413" s="83" t="s">
        <v>47</v>
      </c>
      <c r="H413" s="83" t="s">
        <v>45</v>
      </c>
      <c r="I413" s="83" t="s">
        <v>45</v>
      </c>
      <c r="J413" s="12">
        <v>0</v>
      </c>
      <c r="K413" s="83" t="s">
        <v>46</v>
      </c>
      <c r="L413" s="47" t="s">
        <v>47</v>
      </c>
      <c r="M413" s="83">
        <v>1030001</v>
      </c>
      <c r="N413" s="83">
        <v>0</v>
      </c>
      <c r="O413" s="47" t="s">
        <v>48</v>
      </c>
      <c r="P413" s="83">
        <v>1697</v>
      </c>
      <c r="Q413" s="83">
        <v>283</v>
      </c>
      <c r="R413" s="83">
        <v>489</v>
      </c>
      <c r="S413" s="83">
        <f t="shared" ref="S413:S418" si="307">FLOOR(Q413/16,1)</f>
        <v>17</v>
      </c>
      <c r="T413" s="83">
        <f t="shared" si="305"/>
        <v>30</v>
      </c>
      <c r="U413" s="83">
        <v>3</v>
      </c>
      <c r="V413" s="83"/>
      <c r="W413" s="47" t="s">
        <v>47</v>
      </c>
      <c r="X413" s="47"/>
      <c r="Y413" s="47" t="str">
        <f t="shared" ref="Y413:Y418" si="308">B413</f>
        <v>索尔</v>
      </c>
      <c r="Z413" s="83"/>
      <c r="AA413" s="83"/>
      <c r="AB413" s="83" t="s">
        <v>546</v>
      </c>
      <c r="AC413" s="83">
        <v>2188</v>
      </c>
      <c r="AD413" s="83">
        <v>2189</v>
      </c>
      <c r="AE413" s="83">
        <v>2190</v>
      </c>
      <c r="AF413" s="83">
        <v>2191</v>
      </c>
      <c r="AG413" s="83"/>
      <c r="AH413" s="47" t="s">
        <v>52</v>
      </c>
      <c r="AI413" s="83">
        <v>1</v>
      </c>
      <c r="AJ413" s="83" t="s">
        <v>547</v>
      </c>
      <c r="AK413" s="83" t="s">
        <v>548</v>
      </c>
      <c r="AL413" s="83" t="s">
        <v>549</v>
      </c>
      <c r="AM413" s="83" t="s">
        <v>550</v>
      </c>
      <c r="AN413" s="47" t="s">
        <v>47</v>
      </c>
      <c r="AO413" s="83"/>
      <c r="AP413" s="83" t="s">
        <v>53</v>
      </c>
      <c r="AQ413" s="2">
        <v>0</v>
      </c>
    </row>
    <row r="414" s="18" customFormat="1" ht="12.75" spans="1:43">
      <c r="A414" s="83">
        <v>169702</v>
      </c>
      <c r="B414" s="83" t="s">
        <v>608</v>
      </c>
      <c r="C414" s="83"/>
      <c r="D414" s="83"/>
      <c r="E414" s="83"/>
      <c r="F414" s="83">
        <v>0</v>
      </c>
      <c r="G414" s="83" t="s">
        <v>47</v>
      </c>
      <c r="H414" s="83" t="s">
        <v>45</v>
      </c>
      <c r="I414" s="83" t="s">
        <v>45</v>
      </c>
      <c r="J414" s="12">
        <v>0</v>
      </c>
      <c r="K414" s="83" t="s">
        <v>46</v>
      </c>
      <c r="L414" s="47" t="s">
        <v>47</v>
      </c>
      <c r="M414" s="64">
        <v>1030009</v>
      </c>
      <c r="N414" s="83">
        <v>0</v>
      </c>
      <c r="O414" s="47" t="s">
        <v>48</v>
      </c>
      <c r="P414" s="83">
        <v>1697</v>
      </c>
      <c r="Q414" s="83">
        <v>430</v>
      </c>
      <c r="R414" s="83">
        <v>447</v>
      </c>
      <c r="S414" s="83">
        <f t="shared" si="307"/>
        <v>26</v>
      </c>
      <c r="T414" s="83">
        <f t="shared" si="305"/>
        <v>27</v>
      </c>
      <c r="U414" s="83">
        <v>5</v>
      </c>
      <c r="V414" s="83"/>
      <c r="W414" s="47" t="s">
        <v>47</v>
      </c>
      <c r="X414" s="47"/>
      <c r="Y414" s="47" t="str">
        <f t="shared" si="308"/>
        <v>土地</v>
      </c>
      <c r="Z414" s="83"/>
      <c r="AA414" s="83"/>
      <c r="AB414" s="83" t="s">
        <v>608</v>
      </c>
      <c r="AC414" s="83">
        <v>2590</v>
      </c>
      <c r="AD414" s="83">
        <v>2591</v>
      </c>
      <c r="AE414" s="83">
        <v>2592</v>
      </c>
      <c r="AF414" s="83">
        <v>2593</v>
      </c>
      <c r="AG414" s="83"/>
      <c r="AH414" s="47" t="s">
        <v>52</v>
      </c>
      <c r="AI414" s="83">
        <v>1</v>
      </c>
      <c r="AJ414" s="83"/>
      <c r="AK414" s="83"/>
      <c r="AL414" s="83"/>
      <c r="AM414" s="83"/>
      <c r="AN414" s="47" t="s">
        <v>47</v>
      </c>
      <c r="AO414" s="83"/>
      <c r="AP414" s="83" t="s">
        <v>53</v>
      </c>
      <c r="AQ414" s="2">
        <v>0</v>
      </c>
    </row>
    <row r="415" s="5" customFormat="1" ht="24" spans="1:43">
      <c r="A415" s="13">
        <v>169801</v>
      </c>
      <c r="B415" s="13" t="s">
        <v>660</v>
      </c>
      <c r="C415" s="13"/>
      <c r="D415" s="13"/>
      <c r="E415" s="13"/>
      <c r="F415" s="13">
        <v>0</v>
      </c>
      <c r="G415" s="13" t="s">
        <v>47</v>
      </c>
      <c r="H415" s="13" t="s">
        <v>45</v>
      </c>
      <c r="I415" s="13" t="s">
        <v>45</v>
      </c>
      <c r="J415" s="12">
        <v>0</v>
      </c>
      <c r="K415" s="13" t="s">
        <v>46</v>
      </c>
      <c r="L415" s="47" t="s">
        <v>47</v>
      </c>
      <c r="M415" s="13">
        <v>1010141</v>
      </c>
      <c r="N415" s="13">
        <v>0</v>
      </c>
      <c r="O415" s="47" t="s">
        <v>48</v>
      </c>
      <c r="P415" s="13">
        <v>1698</v>
      </c>
      <c r="Q415" s="13">
        <v>838</v>
      </c>
      <c r="R415" s="13">
        <v>1319</v>
      </c>
      <c r="S415" s="13">
        <f t="shared" si="307"/>
        <v>52</v>
      </c>
      <c r="T415" s="13">
        <f t="shared" si="305"/>
        <v>82</v>
      </c>
      <c r="U415" s="13">
        <v>7</v>
      </c>
      <c r="V415" s="13"/>
      <c r="W415" s="47" t="s">
        <v>47</v>
      </c>
      <c r="X415" s="47"/>
      <c r="Y415" s="47" t="str">
        <f t="shared" si="308"/>
        <v>魔王</v>
      </c>
      <c r="Z415" s="13" t="s">
        <v>661</v>
      </c>
      <c r="AA415" s="13"/>
      <c r="AB415" s="87" t="s">
        <v>664</v>
      </c>
      <c r="AC415" s="13">
        <v>2575</v>
      </c>
      <c r="AD415" s="13">
        <v>2576</v>
      </c>
      <c r="AE415" s="13">
        <v>2577</v>
      </c>
      <c r="AF415" s="13" t="s">
        <v>51</v>
      </c>
      <c r="AG415" s="13"/>
      <c r="AH415" s="47" t="s">
        <v>52</v>
      </c>
      <c r="AI415" s="13">
        <v>1</v>
      </c>
      <c r="AJ415" s="13"/>
      <c r="AK415" s="13"/>
      <c r="AL415" s="13"/>
      <c r="AM415" s="13"/>
      <c r="AN415" s="47" t="s">
        <v>47</v>
      </c>
      <c r="AO415" s="13"/>
      <c r="AP415" s="13" t="s">
        <v>53</v>
      </c>
      <c r="AQ415" s="2">
        <v>0</v>
      </c>
    </row>
    <row r="416" s="5" customFormat="1" ht="12" spans="1:43">
      <c r="A416" s="13">
        <v>169802</v>
      </c>
      <c r="B416" s="13" t="s">
        <v>660</v>
      </c>
      <c r="C416" s="13"/>
      <c r="D416" s="13"/>
      <c r="E416" s="13"/>
      <c r="F416" s="13">
        <v>0</v>
      </c>
      <c r="G416" s="13" t="s">
        <v>47</v>
      </c>
      <c r="H416" s="13" t="s">
        <v>45</v>
      </c>
      <c r="I416" s="13" t="s">
        <v>45</v>
      </c>
      <c r="J416" s="12">
        <v>0</v>
      </c>
      <c r="K416" s="13" t="s">
        <v>46</v>
      </c>
      <c r="L416" s="47" t="s">
        <v>47</v>
      </c>
      <c r="M416" s="13">
        <v>1010152</v>
      </c>
      <c r="N416" s="13">
        <v>0</v>
      </c>
      <c r="O416" s="47" t="s">
        <v>48</v>
      </c>
      <c r="P416" s="13">
        <v>1698</v>
      </c>
      <c r="Q416" s="13">
        <v>760</v>
      </c>
      <c r="R416" s="13">
        <v>705</v>
      </c>
      <c r="S416" s="13">
        <f t="shared" si="307"/>
        <v>47</v>
      </c>
      <c r="T416" s="13">
        <f t="shared" si="305"/>
        <v>44</v>
      </c>
      <c r="U416" s="13">
        <v>3</v>
      </c>
      <c r="V416" s="13"/>
      <c r="W416" s="47" t="s">
        <v>47</v>
      </c>
      <c r="X416" s="47"/>
      <c r="Y416" s="47" t="str">
        <f t="shared" si="308"/>
        <v>魔王</v>
      </c>
      <c r="Z416" s="13" t="s">
        <v>663</v>
      </c>
      <c r="AA416" s="13"/>
      <c r="AB416" s="13" t="s">
        <v>662</v>
      </c>
      <c r="AC416" s="13">
        <v>2580</v>
      </c>
      <c r="AD416" s="13">
        <v>2581</v>
      </c>
      <c r="AE416" s="13">
        <v>2582</v>
      </c>
      <c r="AF416" s="13" t="s">
        <v>51</v>
      </c>
      <c r="AG416" s="13"/>
      <c r="AH416" s="47" t="s">
        <v>52</v>
      </c>
      <c r="AI416" s="13">
        <v>1</v>
      </c>
      <c r="AJ416" s="13"/>
      <c r="AK416" s="13"/>
      <c r="AL416" s="13"/>
      <c r="AM416" s="13"/>
      <c r="AN416" s="47" t="s">
        <v>47</v>
      </c>
      <c r="AO416" s="13"/>
      <c r="AP416" s="13" t="s">
        <v>53</v>
      </c>
      <c r="AQ416" s="2">
        <v>0</v>
      </c>
    </row>
    <row r="417" s="5" customFormat="1" ht="12" spans="1:43">
      <c r="A417" s="13">
        <v>169803</v>
      </c>
      <c r="B417" s="13" t="s">
        <v>652</v>
      </c>
      <c r="C417" s="13"/>
      <c r="D417" s="13"/>
      <c r="E417" s="13"/>
      <c r="F417" s="13">
        <v>0</v>
      </c>
      <c r="G417" s="13" t="s">
        <v>47</v>
      </c>
      <c r="H417" s="13" t="s">
        <v>45</v>
      </c>
      <c r="I417" s="13" t="s">
        <v>45</v>
      </c>
      <c r="J417" s="12">
        <v>0</v>
      </c>
      <c r="K417" s="13" t="s">
        <v>46</v>
      </c>
      <c r="L417" s="47" t="s">
        <v>47</v>
      </c>
      <c r="M417" s="13">
        <v>1020134</v>
      </c>
      <c r="N417" s="13">
        <v>0</v>
      </c>
      <c r="O417" s="47" t="s">
        <v>48</v>
      </c>
      <c r="P417" s="13">
        <v>1698</v>
      </c>
      <c r="Q417" s="13">
        <v>988</v>
      </c>
      <c r="R417" s="13">
        <v>1254</v>
      </c>
      <c r="S417" s="13">
        <f t="shared" si="307"/>
        <v>61</v>
      </c>
      <c r="T417" s="13">
        <f t="shared" si="305"/>
        <v>78</v>
      </c>
      <c r="U417" s="13">
        <v>5</v>
      </c>
      <c r="V417" s="13"/>
      <c r="W417" s="47" t="s">
        <v>47</v>
      </c>
      <c r="X417" s="47"/>
      <c r="Y417" s="47" t="str">
        <f t="shared" si="308"/>
        <v>妇人</v>
      </c>
      <c r="Z417" s="13"/>
      <c r="AA417" s="13"/>
      <c r="AB417" s="13" t="s">
        <v>652</v>
      </c>
      <c r="AC417" s="13">
        <v>2530</v>
      </c>
      <c r="AD417" s="13">
        <v>2531</v>
      </c>
      <c r="AE417" s="13">
        <v>2532</v>
      </c>
      <c r="AF417" s="13" t="s">
        <v>51</v>
      </c>
      <c r="AG417" s="13"/>
      <c r="AH417" s="47" t="s">
        <v>52</v>
      </c>
      <c r="AI417" s="13">
        <v>1</v>
      </c>
      <c r="AJ417" s="13"/>
      <c r="AK417" s="13"/>
      <c r="AL417" s="13"/>
      <c r="AM417" s="13"/>
      <c r="AN417" s="47" t="s">
        <v>47</v>
      </c>
      <c r="AO417" s="13"/>
      <c r="AP417" s="13" t="s">
        <v>53</v>
      </c>
      <c r="AQ417" s="2">
        <v>0</v>
      </c>
    </row>
    <row r="418" s="5" customFormat="1" ht="12" spans="1:43">
      <c r="A418" s="13">
        <v>169804</v>
      </c>
      <c r="B418" s="13" t="s">
        <v>546</v>
      </c>
      <c r="C418" s="13"/>
      <c r="D418" s="13"/>
      <c r="E418" s="13"/>
      <c r="F418" s="13">
        <v>0</v>
      </c>
      <c r="G418" s="13" t="s">
        <v>47</v>
      </c>
      <c r="H418" s="13" t="s">
        <v>45</v>
      </c>
      <c r="I418" s="13" t="s">
        <v>45</v>
      </c>
      <c r="J418" s="12">
        <v>0</v>
      </c>
      <c r="K418" s="13" t="s">
        <v>46</v>
      </c>
      <c r="L418" s="47" t="s">
        <v>47</v>
      </c>
      <c r="M418" s="13">
        <v>1030001</v>
      </c>
      <c r="N418" s="13">
        <v>0</v>
      </c>
      <c r="O418" s="47" t="s">
        <v>48</v>
      </c>
      <c r="P418" s="13">
        <v>1698</v>
      </c>
      <c r="Q418" s="13">
        <v>886</v>
      </c>
      <c r="R418" s="13">
        <v>1242</v>
      </c>
      <c r="S418" s="13">
        <f t="shared" si="307"/>
        <v>55</v>
      </c>
      <c r="T418" s="13">
        <v>106</v>
      </c>
      <c r="U418" s="13">
        <v>3</v>
      </c>
      <c r="V418" s="13"/>
      <c r="W418" s="47" t="s">
        <v>47</v>
      </c>
      <c r="X418" s="47"/>
      <c r="Y418" s="47" t="str">
        <f t="shared" si="308"/>
        <v>索尔</v>
      </c>
      <c r="Z418" s="13"/>
      <c r="AA418" s="13"/>
      <c r="AB418" s="13" t="s">
        <v>546</v>
      </c>
      <c r="AC418" s="12">
        <v>2188</v>
      </c>
      <c r="AD418" s="12">
        <v>2189</v>
      </c>
      <c r="AE418" s="12">
        <v>2190</v>
      </c>
      <c r="AF418" s="12">
        <v>2191</v>
      </c>
      <c r="AG418" s="12"/>
      <c r="AH418" s="47" t="s">
        <v>52</v>
      </c>
      <c r="AI418" s="12">
        <v>1</v>
      </c>
      <c r="AJ418" s="12" t="s">
        <v>547</v>
      </c>
      <c r="AK418" s="12" t="s">
        <v>548</v>
      </c>
      <c r="AL418" s="12" t="s">
        <v>549</v>
      </c>
      <c r="AM418" s="12" t="s">
        <v>550</v>
      </c>
      <c r="AN418" s="47" t="s">
        <v>47</v>
      </c>
      <c r="AO418" s="13"/>
      <c r="AP418" s="13" t="s">
        <v>53</v>
      </c>
      <c r="AQ418" s="2">
        <v>0</v>
      </c>
    </row>
    <row r="419" s="4" customFormat="1" ht="12" spans="1:43">
      <c r="A419" s="37">
        <v>169901</v>
      </c>
      <c r="B419" s="37" t="s">
        <v>492</v>
      </c>
      <c r="C419" s="37"/>
      <c r="D419" s="37"/>
      <c r="E419" s="37"/>
      <c r="F419" s="37">
        <v>0</v>
      </c>
      <c r="G419" s="37" t="s">
        <v>47</v>
      </c>
      <c r="H419" s="37" t="s">
        <v>45</v>
      </c>
      <c r="I419" s="37" t="s">
        <v>45</v>
      </c>
      <c r="J419" s="37">
        <v>0</v>
      </c>
      <c r="K419" s="37" t="s">
        <v>46</v>
      </c>
      <c r="L419" s="37" t="s">
        <v>47</v>
      </c>
      <c r="M419" s="37">
        <v>1030010</v>
      </c>
      <c r="N419" s="37">
        <v>0</v>
      </c>
      <c r="O419" s="37" t="s">
        <v>48</v>
      </c>
      <c r="P419" s="37"/>
      <c r="Q419" s="37">
        <v>656</v>
      </c>
      <c r="R419" s="37">
        <v>608</v>
      </c>
      <c r="S419" s="37">
        <v>41</v>
      </c>
      <c r="T419" s="37">
        <v>38</v>
      </c>
      <c r="U419" s="37">
        <v>3</v>
      </c>
      <c r="V419" s="37"/>
      <c r="W419" s="37" t="s">
        <v>47</v>
      </c>
      <c r="X419" s="37" t="s">
        <v>486</v>
      </c>
      <c r="Y419" s="37" t="s">
        <v>492</v>
      </c>
      <c r="Z419" s="37"/>
      <c r="AA419" s="37"/>
      <c r="AB419" s="37" t="s">
        <v>492</v>
      </c>
      <c r="AC419" s="37">
        <v>2298</v>
      </c>
      <c r="AD419" s="37" t="s">
        <v>51</v>
      </c>
      <c r="AE419" s="37" t="s">
        <v>51</v>
      </c>
      <c r="AF419" s="37" t="s">
        <v>51</v>
      </c>
      <c r="AG419" s="37"/>
      <c r="AH419" s="37" t="s">
        <v>52</v>
      </c>
      <c r="AI419" s="37" t="s">
        <v>47</v>
      </c>
      <c r="AJ419" s="37" t="s">
        <v>223</v>
      </c>
      <c r="AK419" s="37"/>
      <c r="AL419" s="37" t="s">
        <v>237</v>
      </c>
      <c r="AM419" s="37" t="s">
        <v>238</v>
      </c>
      <c r="AN419" s="37" t="s">
        <v>47</v>
      </c>
      <c r="AO419" s="37"/>
      <c r="AP419" s="37" t="s">
        <v>53</v>
      </c>
      <c r="AQ419" s="2">
        <v>0</v>
      </c>
    </row>
    <row r="420" s="3" customFormat="1" ht="12" spans="1:43">
      <c r="A420" s="12">
        <v>164401</v>
      </c>
      <c r="B420" s="12" t="s">
        <v>345</v>
      </c>
      <c r="C420" s="12"/>
      <c r="D420" s="12"/>
      <c r="E420" s="12"/>
      <c r="F420" s="12">
        <v>0</v>
      </c>
      <c r="G420" s="12" t="s">
        <v>47</v>
      </c>
      <c r="H420" s="12" t="s">
        <v>45</v>
      </c>
      <c r="I420" s="12" t="s">
        <v>45</v>
      </c>
      <c r="J420" s="12">
        <v>0</v>
      </c>
      <c r="K420" s="12" t="s">
        <v>46</v>
      </c>
      <c r="L420" s="47" t="s">
        <v>47</v>
      </c>
      <c r="M420" s="12">
        <v>1010131</v>
      </c>
      <c r="N420" s="12">
        <v>0</v>
      </c>
      <c r="O420" s="47" t="s">
        <v>48</v>
      </c>
      <c r="P420" s="12">
        <v>1644</v>
      </c>
      <c r="Q420" s="12"/>
      <c r="R420" s="12"/>
      <c r="S420" s="12">
        <v>5</v>
      </c>
      <c r="T420" s="12">
        <v>106</v>
      </c>
      <c r="U420" s="12"/>
      <c r="V420" s="12"/>
      <c r="W420" s="47" t="s">
        <v>47</v>
      </c>
      <c r="X420" s="47"/>
      <c r="Y420" s="47" t="str">
        <f t="shared" ref="Y420:Y424" si="309">B420</f>
        <v>元帅</v>
      </c>
      <c r="Z420" s="12"/>
      <c r="AA420" s="12"/>
      <c r="AB420" s="12" t="s">
        <v>345</v>
      </c>
      <c r="AC420" s="12">
        <v>2217</v>
      </c>
      <c r="AD420" s="12">
        <v>2218</v>
      </c>
      <c r="AE420" s="12">
        <v>2220</v>
      </c>
      <c r="AG420" s="12"/>
      <c r="AH420" s="47" t="s">
        <v>52</v>
      </c>
      <c r="AI420" s="12">
        <v>1</v>
      </c>
      <c r="AJ420" s="12" t="s">
        <v>223</v>
      </c>
      <c r="AK420" s="12"/>
      <c r="AL420" s="12" t="s">
        <v>237</v>
      </c>
      <c r="AM420" s="12" t="s">
        <v>238</v>
      </c>
      <c r="AN420" s="47" t="s">
        <v>47</v>
      </c>
      <c r="AO420" s="12"/>
      <c r="AP420" s="12" t="s">
        <v>53</v>
      </c>
      <c r="AQ420" s="2">
        <v>0</v>
      </c>
    </row>
    <row r="421" s="2" customFormat="1" ht="12" spans="1:43">
      <c r="A421" s="11">
        <v>164402</v>
      </c>
      <c r="B421" s="11" t="s">
        <v>673</v>
      </c>
      <c r="C421" s="11"/>
      <c r="D421" s="11"/>
      <c r="E421" s="11"/>
      <c r="F421" s="11">
        <v>0</v>
      </c>
      <c r="G421" s="11" t="s">
        <v>47</v>
      </c>
      <c r="H421" s="11" t="s">
        <v>45</v>
      </c>
      <c r="I421" s="11" t="s">
        <v>45</v>
      </c>
      <c r="J421" s="12">
        <v>0</v>
      </c>
      <c r="K421" s="11" t="s">
        <v>46</v>
      </c>
      <c r="L421" s="47" t="s">
        <v>47</v>
      </c>
      <c r="M421" s="11">
        <v>1010148</v>
      </c>
      <c r="N421" s="11" t="s">
        <v>47</v>
      </c>
      <c r="O421" s="47" t="s">
        <v>48</v>
      </c>
      <c r="P421" s="11">
        <v>1644</v>
      </c>
      <c r="Q421" s="11"/>
      <c r="R421" s="11"/>
      <c r="S421" s="11">
        <v>39</v>
      </c>
      <c r="T421" s="11">
        <v>8</v>
      </c>
      <c r="U421" s="11"/>
      <c r="V421" s="11"/>
      <c r="W421" s="47" t="s">
        <v>47</v>
      </c>
      <c r="X421" s="47"/>
      <c r="Y421" s="47" t="str">
        <f t="shared" si="309"/>
        <v>黑岩将军</v>
      </c>
      <c r="Z421" s="11"/>
      <c r="AA421" s="11"/>
      <c r="AB421" s="11" t="s">
        <v>673</v>
      </c>
      <c r="AC421" s="11">
        <v>2141</v>
      </c>
      <c r="AD421" s="11">
        <v>2141</v>
      </c>
      <c r="AE421" s="11">
        <v>2141</v>
      </c>
      <c r="AF421" s="11" t="s">
        <v>51</v>
      </c>
      <c r="AG421" s="11"/>
      <c r="AH421" s="47" t="s">
        <v>52</v>
      </c>
      <c r="AI421" s="11">
        <v>1</v>
      </c>
      <c r="AJ421" s="11" t="s">
        <v>223</v>
      </c>
      <c r="AK421" s="11"/>
      <c r="AL421" s="11" t="s">
        <v>237</v>
      </c>
      <c r="AM421" s="11" t="s">
        <v>238</v>
      </c>
      <c r="AN421" s="47" t="s">
        <v>47</v>
      </c>
      <c r="AO421" s="11"/>
      <c r="AP421" s="11" t="s">
        <v>53</v>
      </c>
      <c r="AQ421" s="2">
        <v>0</v>
      </c>
    </row>
    <row r="422" s="3" customFormat="1" ht="12" spans="1:43">
      <c r="A422" s="12">
        <v>164403</v>
      </c>
      <c r="B422" s="12" t="s">
        <v>674</v>
      </c>
      <c r="C422" s="12"/>
      <c r="D422" s="12"/>
      <c r="E422" s="12"/>
      <c r="F422" s="12">
        <v>3</v>
      </c>
      <c r="G422" s="12" t="s">
        <v>47</v>
      </c>
      <c r="H422" s="12" t="s">
        <v>45</v>
      </c>
      <c r="I422" s="12" t="s">
        <v>45</v>
      </c>
      <c r="J422" s="12">
        <v>0</v>
      </c>
      <c r="K422" s="12" t="s">
        <v>46</v>
      </c>
      <c r="L422" s="47" t="s">
        <v>47</v>
      </c>
      <c r="M422" s="12">
        <v>1010148</v>
      </c>
      <c r="N422" s="12">
        <v>0</v>
      </c>
      <c r="O422" s="47" t="s">
        <v>48</v>
      </c>
      <c r="P422" s="12">
        <v>1644</v>
      </c>
      <c r="Q422" s="12"/>
      <c r="R422" s="12"/>
      <c r="S422" s="12">
        <v>97</v>
      </c>
      <c r="T422" s="12">
        <v>54</v>
      </c>
      <c r="U422" s="12"/>
      <c r="V422" s="12"/>
      <c r="W422" s="47" t="s">
        <v>47</v>
      </c>
      <c r="X422" s="47"/>
      <c r="Y422" s="47" t="str">
        <f t="shared" si="309"/>
        <v>傀儡统帅</v>
      </c>
      <c r="Z422" s="12"/>
      <c r="AA422" s="12"/>
      <c r="AB422" s="12" t="s">
        <v>674</v>
      </c>
      <c r="AC422" s="12">
        <v>2141</v>
      </c>
      <c r="AD422" s="12">
        <v>2141</v>
      </c>
      <c r="AE422" s="12">
        <v>2141</v>
      </c>
      <c r="AF422" s="12" t="s">
        <v>51</v>
      </c>
      <c r="AG422" s="12"/>
      <c r="AH422" s="47" t="s">
        <v>52</v>
      </c>
      <c r="AI422" s="12">
        <v>1</v>
      </c>
      <c r="AJ422" s="12" t="s">
        <v>223</v>
      </c>
      <c r="AK422" s="12"/>
      <c r="AL422" s="12" t="s">
        <v>237</v>
      </c>
      <c r="AM422" s="12" t="s">
        <v>238</v>
      </c>
      <c r="AN422" s="47" t="s">
        <v>47</v>
      </c>
      <c r="AO422" s="12"/>
      <c r="AP422" s="12" t="s">
        <v>53</v>
      </c>
      <c r="AQ422" s="2">
        <v>0</v>
      </c>
    </row>
    <row r="423" s="2" customFormat="1" ht="12" spans="1:43">
      <c r="A423" s="11">
        <v>164404</v>
      </c>
      <c r="B423" s="11" t="s">
        <v>413</v>
      </c>
      <c r="C423" s="11"/>
      <c r="D423" s="11"/>
      <c r="E423" s="11"/>
      <c r="F423" s="11">
        <v>0</v>
      </c>
      <c r="G423" s="11" t="s">
        <v>47</v>
      </c>
      <c r="H423" s="11" t="s">
        <v>45</v>
      </c>
      <c r="I423" s="11">
        <v>1</v>
      </c>
      <c r="J423" s="12">
        <v>0</v>
      </c>
      <c r="K423" s="11" t="s">
        <v>46</v>
      </c>
      <c r="L423" s="47" t="s">
        <v>47</v>
      </c>
      <c r="M423" s="11">
        <v>1020108</v>
      </c>
      <c r="N423" s="11">
        <v>0</v>
      </c>
      <c r="O423" s="47" t="s">
        <v>48</v>
      </c>
      <c r="P423" s="11">
        <v>1644</v>
      </c>
      <c r="Q423" s="11"/>
      <c r="R423" s="11"/>
      <c r="S423" s="11">
        <v>14</v>
      </c>
      <c r="T423" s="11">
        <v>48</v>
      </c>
      <c r="U423" s="11">
        <v>3</v>
      </c>
      <c r="V423" s="11"/>
      <c r="W423" s="47" t="s">
        <v>47</v>
      </c>
      <c r="X423" s="47" t="s">
        <v>259</v>
      </c>
      <c r="Y423" s="47" t="str">
        <f t="shared" si="309"/>
        <v>鬼将</v>
      </c>
      <c r="Z423" s="11"/>
      <c r="AA423" s="11"/>
      <c r="AB423" s="11" t="s">
        <v>413</v>
      </c>
      <c r="AC423" s="11">
        <v>2084</v>
      </c>
      <c r="AD423" s="11">
        <v>2085</v>
      </c>
      <c r="AE423" s="11">
        <v>2086</v>
      </c>
      <c r="AF423" s="11">
        <v>2087</v>
      </c>
      <c r="AG423" s="11"/>
      <c r="AH423" s="47" t="s">
        <v>52</v>
      </c>
      <c r="AI423" s="11">
        <v>1</v>
      </c>
      <c r="AJ423" s="11" t="s">
        <v>132</v>
      </c>
      <c r="AK423" s="11" t="s">
        <v>133</v>
      </c>
      <c r="AL423" s="11" t="s">
        <v>134</v>
      </c>
      <c r="AM423" s="11" t="s">
        <v>135</v>
      </c>
      <c r="AN423" s="47" t="s">
        <v>47</v>
      </c>
      <c r="AO423" s="11"/>
      <c r="AP423" s="11" t="s">
        <v>53</v>
      </c>
      <c r="AQ423" s="2">
        <v>0</v>
      </c>
    </row>
    <row r="424" s="3" customFormat="1" ht="12" spans="1:43">
      <c r="A424" s="12">
        <v>164405</v>
      </c>
      <c r="B424" s="12" t="s">
        <v>383</v>
      </c>
      <c r="C424" s="12"/>
      <c r="D424" s="12"/>
      <c r="E424" s="12"/>
      <c r="F424" s="12">
        <v>0</v>
      </c>
      <c r="G424" s="12" t="s">
        <v>47</v>
      </c>
      <c r="H424" s="12" t="s">
        <v>45</v>
      </c>
      <c r="I424" s="12" t="s">
        <v>45</v>
      </c>
      <c r="J424" s="12">
        <v>0</v>
      </c>
      <c r="K424" s="12" t="s">
        <v>46</v>
      </c>
      <c r="L424" s="47" t="s">
        <v>47</v>
      </c>
      <c r="M424" s="12">
        <v>1020118</v>
      </c>
      <c r="N424" s="12">
        <v>0</v>
      </c>
      <c r="O424" s="47" t="s">
        <v>48</v>
      </c>
      <c r="P424" s="12">
        <v>1644</v>
      </c>
      <c r="Q424" s="12"/>
      <c r="R424" s="12"/>
      <c r="S424" s="12">
        <v>22</v>
      </c>
      <c r="T424" s="12">
        <v>47</v>
      </c>
      <c r="U424" s="12">
        <v>3</v>
      </c>
      <c r="V424" s="12"/>
      <c r="W424" s="47" t="s">
        <v>47</v>
      </c>
      <c r="X424" s="47" t="s">
        <v>261</v>
      </c>
      <c r="Y424" s="47" t="str">
        <f t="shared" si="309"/>
        <v>唐唐</v>
      </c>
      <c r="Z424" s="12"/>
      <c r="AA424" s="12"/>
      <c r="AB424" s="12" t="s">
        <v>383</v>
      </c>
      <c r="AC424" s="12">
        <v>2080</v>
      </c>
      <c r="AD424" s="12">
        <v>2081</v>
      </c>
      <c r="AE424" s="12">
        <v>2082</v>
      </c>
      <c r="AF424" s="12">
        <v>2083</v>
      </c>
      <c r="AG424" s="12"/>
      <c r="AH424" s="47" t="s">
        <v>52</v>
      </c>
      <c r="AI424" s="12">
        <v>1</v>
      </c>
      <c r="AJ424" s="12" t="s">
        <v>262</v>
      </c>
      <c r="AK424" s="12" t="s">
        <v>263</v>
      </c>
      <c r="AL424" s="12" t="s">
        <v>264</v>
      </c>
      <c r="AM424" s="12" t="s">
        <v>265</v>
      </c>
      <c r="AN424" s="47" t="s">
        <v>47</v>
      </c>
      <c r="AO424" s="12"/>
      <c r="AP424" s="12" t="s">
        <v>53</v>
      </c>
      <c r="AQ424" s="2">
        <v>0</v>
      </c>
    </row>
    <row r="425" s="2" customFormat="1" ht="12" spans="1:43">
      <c r="A425" s="11">
        <v>170000</v>
      </c>
      <c r="B425" s="11" t="s">
        <v>675</v>
      </c>
      <c r="C425" s="11"/>
      <c r="D425" s="11">
        <v>1</v>
      </c>
      <c r="E425" s="11">
        <v>2</v>
      </c>
      <c r="F425" s="11">
        <v>0</v>
      </c>
      <c r="G425" s="11">
        <v>0</v>
      </c>
      <c r="H425" s="11" t="s">
        <v>45</v>
      </c>
      <c r="I425" s="11">
        <v>7</v>
      </c>
      <c r="J425" s="11">
        <v>0</v>
      </c>
      <c r="K425" s="11" t="s">
        <v>46</v>
      </c>
      <c r="L425" s="47" t="s">
        <v>47</v>
      </c>
      <c r="M425" s="11" t="s">
        <v>676</v>
      </c>
      <c r="N425" s="11">
        <v>0</v>
      </c>
      <c r="O425" s="47" t="s">
        <v>48</v>
      </c>
      <c r="P425" s="11">
        <v>0</v>
      </c>
      <c r="Q425" s="11"/>
      <c r="R425" s="11"/>
      <c r="S425" s="11">
        <v>0</v>
      </c>
      <c r="T425" s="11">
        <v>0</v>
      </c>
      <c r="U425" s="11">
        <v>3</v>
      </c>
      <c r="V425" s="11"/>
      <c r="W425" s="47" t="s">
        <v>47</v>
      </c>
      <c r="X425" s="47"/>
      <c r="Y425" s="47"/>
      <c r="Z425" s="11"/>
      <c r="AA425" s="11"/>
      <c r="AB425" s="11" t="s">
        <v>677</v>
      </c>
      <c r="AC425" s="11">
        <v>2287</v>
      </c>
      <c r="AD425" s="11" t="s">
        <v>51</v>
      </c>
      <c r="AE425" s="11" t="s">
        <v>51</v>
      </c>
      <c r="AF425" s="11" t="s">
        <v>51</v>
      </c>
      <c r="AG425" s="11"/>
      <c r="AH425" s="47" t="s">
        <v>52</v>
      </c>
      <c r="AI425" s="11" t="s">
        <v>45</v>
      </c>
      <c r="AJ425" s="11"/>
      <c r="AK425" s="11"/>
      <c r="AL425" s="11"/>
      <c r="AM425" s="11"/>
      <c r="AN425" s="47" t="s">
        <v>47</v>
      </c>
      <c r="AO425" s="11">
        <v>2310</v>
      </c>
      <c r="AP425" s="11" t="s">
        <v>53</v>
      </c>
      <c r="AQ425" s="2">
        <v>0</v>
      </c>
    </row>
    <row r="426" s="3" customFormat="1" ht="12" spans="1:43">
      <c r="A426" s="12">
        <v>170001</v>
      </c>
      <c r="B426" s="12" t="s">
        <v>678</v>
      </c>
      <c r="C426" s="12"/>
      <c r="D426" s="12">
        <v>1</v>
      </c>
      <c r="E426" s="12">
        <v>2</v>
      </c>
      <c r="F426" s="12">
        <v>0</v>
      </c>
      <c r="G426" s="12">
        <v>0</v>
      </c>
      <c r="H426" s="12" t="s">
        <v>45</v>
      </c>
      <c r="I426" s="12">
        <v>7</v>
      </c>
      <c r="J426" s="12">
        <v>0</v>
      </c>
      <c r="K426" s="12" t="s">
        <v>46</v>
      </c>
      <c r="L426" s="47" t="s">
        <v>47</v>
      </c>
      <c r="M426" s="12" t="s">
        <v>679</v>
      </c>
      <c r="N426" s="12">
        <v>0</v>
      </c>
      <c r="O426" s="47" t="s">
        <v>48</v>
      </c>
      <c r="P426" s="12">
        <v>0</v>
      </c>
      <c r="Q426" s="12"/>
      <c r="R426" s="12"/>
      <c r="S426" s="12">
        <v>0</v>
      </c>
      <c r="T426" s="12">
        <v>0</v>
      </c>
      <c r="U426" s="12">
        <v>3</v>
      </c>
      <c r="V426" s="12"/>
      <c r="W426" s="47" t="s">
        <v>47</v>
      </c>
      <c r="X426" s="47"/>
      <c r="Y426" s="47"/>
      <c r="Z426" s="12"/>
      <c r="AA426" s="12"/>
      <c r="AB426" s="12" t="s">
        <v>680</v>
      </c>
      <c r="AC426" s="12">
        <v>2288</v>
      </c>
      <c r="AD426" s="12" t="s">
        <v>51</v>
      </c>
      <c r="AE426" s="12" t="s">
        <v>51</v>
      </c>
      <c r="AF426" s="12" t="s">
        <v>51</v>
      </c>
      <c r="AG426" s="12"/>
      <c r="AH426" s="47" t="s">
        <v>52</v>
      </c>
      <c r="AI426" s="12" t="s">
        <v>45</v>
      </c>
      <c r="AJ426" s="12"/>
      <c r="AK426" s="12"/>
      <c r="AL426" s="12"/>
      <c r="AM426" s="12"/>
      <c r="AN426" s="47" t="s">
        <v>47</v>
      </c>
      <c r="AO426" s="12">
        <v>2311</v>
      </c>
      <c r="AP426" s="12" t="s">
        <v>53</v>
      </c>
      <c r="AQ426" s="2">
        <v>0</v>
      </c>
    </row>
    <row r="427" s="2" customFormat="1" ht="12" spans="1:43">
      <c r="A427" s="11">
        <v>170002</v>
      </c>
      <c r="B427" s="11" t="s">
        <v>681</v>
      </c>
      <c r="C427" s="11"/>
      <c r="D427" s="11">
        <v>1</v>
      </c>
      <c r="E427" s="11">
        <v>2</v>
      </c>
      <c r="F427" s="11">
        <v>0</v>
      </c>
      <c r="G427" s="11">
        <v>0</v>
      </c>
      <c r="H427" s="11" t="s">
        <v>45</v>
      </c>
      <c r="I427" s="11">
        <v>7</v>
      </c>
      <c r="J427" s="11">
        <v>0</v>
      </c>
      <c r="K427" s="11" t="s">
        <v>46</v>
      </c>
      <c r="L427" s="47" t="s">
        <v>47</v>
      </c>
      <c r="M427" s="11">
        <v>1010130</v>
      </c>
      <c r="N427" s="11">
        <v>0</v>
      </c>
      <c r="O427" s="47" t="s">
        <v>48</v>
      </c>
      <c r="P427" s="11">
        <v>0</v>
      </c>
      <c r="Q427" s="11"/>
      <c r="R427" s="11"/>
      <c r="S427" s="11">
        <v>0</v>
      </c>
      <c r="T427" s="11">
        <v>0</v>
      </c>
      <c r="U427" s="11">
        <v>3</v>
      </c>
      <c r="V427" s="11"/>
      <c r="W427" s="47" t="s">
        <v>47</v>
      </c>
      <c r="X427" s="47"/>
      <c r="Y427" s="47"/>
      <c r="Z427" s="11"/>
      <c r="AA427" s="11"/>
      <c r="AB427" s="11" t="s">
        <v>682</v>
      </c>
      <c r="AC427" s="11">
        <v>2289</v>
      </c>
      <c r="AD427" s="11" t="s">
        <v>51</v>
      </c>
      <c r="AE427" s="11" t="s">
        <v>51</v>
      </c>
      <c r="AF427" s="11" t="s">
        <v>51</v>
      </c>
      <c r="AG427" s="11"/>
      <c r="AH427" s="47" t="s">
        <v>52</v>
      </c>
      <c r="AI427" s="11" t="s">
        <v>45</v>
      </c>
      <c r="AJ427" s="11"/>
      <c r="AK427" s="11"/>
      <c r="AL427" s="11"/>
      <c r="AM427" s="11"/>
      <c r="AN427" s="47" t="s">
        <v>47</v>
      </c>
      <c r="AO427" s="11">
        <v>2312</v>
      </c>
      <c r="AP427" s="11" t="s">
        <v>53</v>
      </c>
      <c r="AQ427" s="2">
        <v>0</v>
      </c>
    </row>
    <row r="428" s="3" customFormat="1" ht="12" spans="1:43">
      <c r="A428" s="12">
        <v>170003</v>
      </c>
      <c r="B428" s="12" t="s">
        <v>683</v>
      </c>
      <c r="C428" s="12"/>
      <c r="D428" s="12">
        <v>1</v>
      </c>
      <c r="E428" s="12">
        <v>2</v>
      </c>
      <c r="F428" s="12">
        <v>0</v>
      </c>
      <c r="G428" s="12">
        <v>0</v>
      </c>
      <c r="H428" s="12" t="s">
        <v>45</v>
      </c>
      <c r="I428" s="12">
        <v>7</v>
      </c>
      <c r="J428" s="12">
        <v>0</v>
      </c>
      <c r="K428" s="12" t="s">
        <v>46</v>
      </c>
      <c r="L428" s="47" t="s">
        <v>47</v>
      </c>
      <c r="M428" s="12" t="s">
        <v>684</v>
      </c>
      <c r="N428" s="12">
        <v>0</v>
      </c>
      <c r="O428" s="47" t="s">
        <v>48</v>
      </c>
      <c r="P428" s="12">
        <v>0</v>
      </c>
      <c r="Q428" s="12"/>
      <c r="R428" s="12"/>
      <c r="S428" s="12">
        <v>0</v>
      </c>
      <c r="T428" s="12">
        <v>0</v>
      </c>
      <c r="U428" s="12">
        <v>3</v>
      </c>
      <c r="V428" s="12"/>
      <c r="W428" s="47" t="s">
        <v>47</v>
      </c>
      <c r="X428" s="47"/>
      <c r="Y428" s="47"/>
      <c r="Z428" s="12"/>
      <c r="AA428" s="12"/>
      <c r="AB428" s="12" t="s">
        <v>685</v>
      </c>
      <c r="AC428" s="12">
        <v>2290</v>
      </c>
      <c r="AD428" s="12" t="s">
        <v>51</v>
      </c>
      <c r="AE428" s="12" t="s">
        <v>51</v>
      </c>
      <c r="AF428" s="12" t="s">
        <v>51</v>
      </c>
      <c r="AG428" s="12"/>
      <c r="AH428" s="47" t="s">
        <v>52</v>
      </c>
      <c r="AI428" s="12" t="s">
        <v>45</v>
      </c>
      <c r="AJ428" s="12"/>
      <c r="AK428" s="12"/>
      <c r="AL428" s="12"/>
      <c r="AM428" s="12"/>
      <c r="AN428" s="47" t="s">
        <v>47</v>
      </c>
      <c r="AO428" s="12">
        <v>2313</v>
      </c>
      <c r="AP428" s="12" t="s">
        <v>53</v>
      </c>
      <c r="AQ428" s="2">
        <v>0</v>
      </c>
    </row>
    <row r="429" s="2" customFormat="1" ht="12" spans="1:43">
      <c r="A429" s="11">
        <v>170004</v>
      </c>
      <c r="B429" s="11" t="s">
        <v>216</v>
      </c>
      <c r="C429" s="11"/>
      <c r="D429" s="11">
        <v>1</v>
      </c>
      <c r="E429" s="11">
        <v>2</v>
      </c>
      <c r="F429" s="11">
        <v>0</v>
      </c>
      <c r="G429" s="11">
        <v>0</v>
      </c>
      <c r="H429" s="11" t="s">
        <v>45</v>
      </c>
      <c r="I429" s="11">
        <v>7</v>
      </c>
      <c r="J429" s="11">
        <v>0</v>
      </c>
      <c r="K429" s="11" t="s">
        <v>46</v>
      </c>
      <c r="L429" s="47" t="s">
        <v>47</v>
      </c>
      <c r="M429" s="11" t="s">
        <v>686</v>
      </c>
      <c r="N429" s="11">
        <v>0</v>
      </c>
      <c r="O429" s="47" t="s">
        <v>48</v>
      </c>
      <c r="P429" s="11">
        <v>0</v>
      </c>
      <c r="Q429" s="11"/>
      <c r="R429" s="11"/>
      <c r="S429" s="11">
        <v>0</v>
      </c>
      <c r="T429" s="11">
        <v>0</v>
      </c>
      <c r="U429" s="11">
        <v>3</v>
      </c>
      <c r="V429" s="11"/>
      <c r="W429" s="47" t="s">
        <v>47</v>
      </c>
      <c r="X429" s="47"/>
      <c r="Y429" s="47"/>
      <c r="Z429" s="11"/>
      <c r="AA429" s="11"/>
      <c r="AB429" s="11" t="s">
        <v>687</v>
      </c>
      <c r="AC429" s="11">
        <v>2291</v>
      </c>
      <c r="AD429" s="11" t="s">
        <v>51</v>
      </c>
      <c r="AE429" s="11" t="s">
        <v>51</v>
      </c>
      <c r="AF429" s="11" t="s">
        <v>51</v>
      </c>
      <c r="AG429" s="11"/>
      <c r="AH429" s="47" t="s">
        <v>52</v>
      </c>
      <c r="AI429" s="11" t="s">
        <v>45</v>
      </c>
      <c r="AJ429" s="11"/>
      <c r="AK429" s="11"/>
      <c r="AL429" s="11"/>
      <c r="AM429" s="11"/>
      <c r="AN429" s="47" t="s">
        <v>47</v>
      </c>
      <c r="AO429" s="11">
        <v>2314</v>
      </c>
      <c r="AP429" s="11" t="s">
        <v>53</v>
      </c>
      <c r="AQ429" s="2">
        <v>0</v>
      </c>
    </row>
    <row r="430" s="3" customFormat="1" ht="12" spans="1:43">
      <c r="A430" s="12">
        <v>170005</v>
      </c>
      <c r="B430" s="12" t="s">
        <v>688</v>
      </c>
      <c r="C430" s="12"/>
      <c r="D430" s="12">
        <v>1</v>
      </c>
      <c r="E430" s="12">
        <v>2</v>
      </c>
      <c r="F430" s="12">
        <v>0</v>
      </c>
      <c r="G430" s="12">
        <v>0</v>
      </c>
      <c r="H430" s="12" t="s">
        <v>45</v>
      </c>
      <c r="I430" s="12">
        <v>7</v>
      </c>
      <c r="J430" s="12">
        <v>0</v>
      </c>
      <c r="K430" s="12" t="s">
        <v>46</v>
      </c>
      <c r="L430" s="47" t="s">
        <v>47</v>
      </c>
      <c r="M430" s="12">
        <v>1010103</v>
      </c>
      <c r="N430" s="12">
        <v>0</v>
      </c>
      <c r="O430" s="47" t="s">
        <v>48</v>
      </c>
      <c r="P430" s="12">
        <v>0</v>
      </c>
      <c r="Q430" s="12"/>
      <c r="R430" s="12"/>
      <c r="S430" s="12">
        <v>0</v>
      </c>
      <c r="T430" s="12">
        <v>0</v>
      </c>
      <c r="U430" s="12"/>
      <c r="V430" s="12"/>
      <c r="W430" s="47" t="s">
        <v>47</v>
      </c>
      <c r="X430" s="47"/>
      <c r="Y430" s="47"/>
      <c r="Z430" s="12"/>
      <c r="AA430" s="12"/>
      <c r="AB430" s="12" t="s">
        <v>688</v>
      </c>
      <c r="AC430" s="12" t="s">
        <v>51</v>
      </c>
      <c r="AD430" s="12" t="s">
        <v>51</v>
      </c>
      <c r="AE430" s="12" t="s">
        <v>51</v>
      </c>
      <c r="AF430" s="12" t="s">
        <v>51</v>
      </c>
      <c r="AG430" s="12"/>
      <c r="AH430" s="47" t="s">
        <v>52</v>
      </c>
      <c r="AI430" s="12" t="s">
        <v>45</v>
      </c>
      <c r="AJ430" s="12"/>
      <c r="AK430" s="12"/>
      <c r="AL430" s="12"/>
      <c r="AM430" s="12"/>
      <c r="AN430" s="47" t="s">
        <v>47</v>
      </c>
      <c r="AO430" s="12">
        <v>2315</v>
      </c>
      <c r="AP430" s="12" t="s">
        <v>53</v>
      </c>
      <c r="AQ430" s="2">
        <v>0</v>
      </c>
    </row>
    <row r="431" s="2" customFormat="1" ht="12" spans="1:43">
      <c r="A431" s="11">
        <v>170006</v>
      </c>
      <c r="B431" s="11" t="s">
        <v>689</v>
      </c>
      <c r="C431" s="11"/>
      <c r="D431" s="11">
        <v>1</v>
      </c>
      <c r="E431" s="11">
        <v>2</v>
      </c>
      <c r="F431" s="11">
        <v>0</v>
      </c>
      <c r="G431" s="11">
        <v>0</v>
      </c>
      <c r="H431" s="11" t="s">
        <v>45</v>
      </c>
      <c r="I431" s="11">
        <v>7</v>
      </c>
      <c r="J431" s="11">
        <v>0</v>
      </c>
      <c r="K431" s="11" t="s">
        <v>46</v>
      </c>
      <c r="L431" s="47" t="s">
        <v>47</v>
      </c>
      <c r="M431" s="11">
        <v>1010104</v>
      </c>
      <c r="N431" s="11">
        <v>0</v>
      </c>
      <c r="O431" s="47" t="s">
        <v>48</v>
      </c>
      <c r="P431" s="11">
        <v>0</v>
      </c>
      <c r="Q431" s="11"/>
      <c r="R431" s="11"/>
      <c r="S431" s="11">
        <v>0</v>
      </c>
      <c r="T431" s="11">
        <v>0</v>
      </c>
      <c r="U431" s="11"/>
      <c r="V431" s="11"/>
      <c r="W431" s="47" t="s">
        <v>47</v>
      </c>
      <c r="X431" s="47"/>
      <c r="Y431" s="47"/>
      <c r="Z431" s="11"/>
      <c r="AA431" s="11"/>
      <c r="AB431" s="11" t="s">
        <v>689</v>
      </c>
      <c r="AC431" s="11" t="s">
        <v>51</v>
      </c>
      <c r="AD431" s="11" t="s">
        <v>51</v>
      </c>
      <c r="AE431" s="11" t="s">
        <v>51</v>
      </c>
      <c r="AF431" s="11" t="s">
        <v>51</v>
      </c>
      <c r="AG431" s="11"/>
      <c r="AH431" s="47" t="s">
        <v>52</v>
      </c>
      <c r="AI431" s="11" t="s">
        <v>45</v>
      </c>
      <c r="AJ431" s="11"/>
      <c r="AK431" s="11"/>
      <c r="AL431" s="11"/>
      <c r="AM431" s="11"/>
      <c r="AN431" s="47" t="s">
        <v>47</v>
      </c>
      <c r="AO431" s="11">
        <v>2316</v>
      </c>
      <c r="AP431" s="11" t="s">
        <v>53</v>
      </c>
      <c r="AQ431" s="2">
        <v>0</v>
      </c>
    </row>
    <row r="432" s="3" customFormat="1" ht="12" spans="1:43">
      <c r="A432" s="12">
        <v>170007</v>
      </c>
      <c r="B432" s="12" t="s">
        <v>690</v>
      </c>
      <c r="C432" s="12"/>
      <c r="D432" s="12">
        <v>1</v>
      </c>
      <c r="E432" s="12">
        <v>2</v>
      </c>
      <c r="F432" s="12">
        <v>0</v>
      </c>
      <c r="G432" s="12">
        <v>0</v>
      </c>
      <c r="H432" s="12" t="s">
        <v>45</v>
      </c>
      <c r="I432" s="12">
        <v>7</v>
      </c>
      <c r="J432" s="12">
        <v>0</v>
      </c>
      <c r="K432" s="12" t="s">
        <v>46</v>
      </c>
      <c r="L432" s="47" t="s">
        <v>47</v>
      </c>
      <c r="M432" s="12">
        <v>1010101</v>
      </c>
      <c r="N432" s="12">
        <v>0</v>
      </c>
      <c r="O432" s="47" t="s">
        <v>48</v>
      </c>
      <c r="P432" s="12">
        <v>0</v>
      </c>
      <c r="Q432" s="12"/>
      <c r="R432" s="12"/>
      <c r="S432" s="12">
        <v>0</v>
      </c>
      <c r="T432" s="12">
        <v>0</v>
      </c>
      <c r="U432" s="12"/>
      <c r="V432" s="12"/>
      <c r="W432" s="47" t="s">
        <v>47</v>
      </c>
      <c r="X432" s="47"/>
      <c r="Y432" s="47"/>
      <c r="Z432" s="12"/>
      <c r="AA432" s="12"/>
      <c r="AB432" s="12" t="s">
        <v>690</v>
      </c>
      <c r="AC432" s="12" t="s">
        <v>51</v>
      </c>
      <c r="AD432" s="12" t="s">
        <v>51</v>
      </c>
      <c r="AE432" s="12" t="s">
        <v>51</v>
      </c>
      <c r="AF432" s="12" t="s">
        <v>51</v>
      </c>
      <c r="AG432" s="12"/>
      <c r="AH432" s="47" t="s">
        <v>52</v>
      </c>
      <c r="AI432" s="12" t="s">
        <v>45</v>
      </c>
      <c r="AJ432" s="12"/>
      <c r="AK432" s="12"/>
      <c r="AL432" s="12"/>
      <c r="AM432" s="12"/>
      <c r="AN432" s="47" t="s">
        <v>47</v>
      </c>
      <c r="AO432" s="12">
        <v>2317</v>
      </c>
      <c r="AP432" s="12" t="s">
        <v>53</v>
      </c>
      <c r="AQ432" s="2">
        <v>0</v>
      </c>
    </row>
    <row r="433" s="2" customFormat="1" ht="12" spans="1:43">
      <c r="A433" s="11">
        <v>170008</v>
      </c>
      <c r="B433" s="11" t="s">
        <v>691</v>
      </c>
      <c r="C433" s="11"/>
      <c r="D433" s="11">
        <v>1</v>
      </c>
      <c r="E433" s="11">
        <v>2</v>
      </c>
      <c r="F433" s="11">
        <v>0</v>
      </c>
      <c r="G433" s="11">
        <v>0</v>
      </c>
      <c r="H433" s="11" t="s">
        <v>45</v>
      </c>
      <c r="I433" s="11">
        <v>7</v>
      </c>
      <c r="J433" s="11">
        <v>0</v>
      </c>
      <c r="K433" s="11" t="s">
        <v>46</v>
      </c>
      <c r="L433" s="47" t="s">
        <v>47</v>
      </c>
      <c r="M433" s="11">
        <v>1010101</v>
      </c>
      <c r="N433" s="11">
        <v>0</v>
      </c>
      <c r="O433" s="47" t="s">
        <v>48</v>
      </c>
      <c r="P433" s="11">
        <v>0</v>
      </c>
      <c r="Q433" s="11"/>
      <c r="R433" s="11"/>
      <c r="S433" s="11">
        <v>0</v>
      </c>
      <c r="T433" s="11">
        <v>0</v>
      </c>
      <c r="U433" s="11"/>
      <c r="V433" s="11"/>
      <c r="W433" s="47" t="s">
        <v>47</v>
      </c>
      <c r="X433" s="47"/>
      <c r="Y433" s="47"/>
      <c r="Z433" s="11"/>
      <c r="AA433" s="11"/>
      <c r="AB433" s="11" t="s">
        <v>691</v>
      </c>
      <c r="AC433" s="11" t="s">
        <v>51</v>
      </c>
      <c r="AD433" s="11" t="s">
        <v>51</v>
      </c>
      <c r="AE433" s="11" t="s">
        <v>51</v>
      </c>
      <c r="AF433" s="11" t="s">
        <v>51</v>
      </c>
      <c r="AG433" s="11"/>
      <c r="AH433" s="47" t="s">
        <v>52</v>
      </c>
      <c r="AI433" s="11" t="s">
        <v>45</v>
      </c>
      <c r="AJ433" s="11"/>
      <c r="AK433" s="11"/>
      <c r="AL433" s="11"/>
      <c r="AM433" s="11"/>
      <c r="AN433" s="47" t="s">
        <v>47</v>
      </c>
      <c r="AO433" s="11">
        <v>2318</v>
      </c>
      <c r="AP433" s="11" t="s">
        <v>53</v>
      </c>
      <c r="AQ433" s="2">
        <v>0</v>
      </c>
    </row>
    <row r="434" s="3" customFormat="1" ht="12" spans="1:43">
      <c r="A434" s="12">
        <v>170009</v>
      </c>
      <c r="B434" s="12" t="s">
        <v>692</v>
      </c>
      <c r="C434" s="12"/>
      <c r="D434" s="12">
        <v>1</v>
      </c>
      <c r="E434" s="12">
        <v>2</v>
      </c>
      <c r="F434" s="12">
        <v>0</v>
      </c>
      <c r="G434" s="12">
        <v>0</v>
      </c>
      <c r="H434" s="12" t="s">
        <v>45</v>
      </c>
      <c r="I434" s="12">
        <v>7</v>
      </c>
      <c r="J434" s="12">
        <v>0</v>
      </c>
      <c r="K434" s="12" t="s">
        <v>46</v>
      </c>
      <c r="L434" s="47" t="s">
        <v>47</v>
      </c>
      <c r="M434" s="12">
        <v>1010106</v>
      </c>
      <c r="N434" s="12">
        <v>0</v>
      </c>
      <c r="O434" s="47" t="s">
        <v>48</v>
      </c>
      <c r="P434" s="12">
        <v>0</v>
      </c>
      <c r="Q434" s="12"/>
      <c r="R434" s="12"/>
      <c r="S434" s="12">
        <v>0</v>
      </c>
      <c r="T434" s="12">
        <v>0</v>
      </c>
      <c r="U434" s="12"/>
      <c r="V434" s="12"/>
      <c r="W434" s="47" t="s">
        <v>47</v>
      </c>
      <c r="X434" s="47"/>
      <c r="Y434" s="47"/>
      <c r="Z434" s="12"/>
      <c r="AA434" s="12"/>
      <c r="AB434" s="12" t="s">
        <v>692</v>
      </c>
      <c r="AC434" s="12" t="s">
        <v>51</v>
      </c>
      <c r="AD434" s="12" t="s">
        <v>51</v>
      </c>
      <c r="AE434" s="12" t="s">
        <v>51</v>
      </c>
      <c r="AF434" s="12" t="s">
        <v>51</v>
      </c>
      <c r="AG434" s="12"/>
      <c r="AH434" s="47" t="s">
        <v>52</v>
      </c>
      <c r="AI434" s="12" t="s">
        <v>45</v>
      </c>
      <c r="AJ434" s="12"/>
      <c r="AK434" s="12"/>
      <c r="AL434" s="12"/>
      <c r="AM434" s="12"/>
      <c r="AN434" s="47" t="s">
        <v>47</v>
      </c>
      <c r="AO434" s="12">
        <v>2319</v>
      </c>
      <c r="AP434" s="12" t="s">
        <v>53</v>
      </c>
      <c r="AQ434" s="2">
        <v>0</v>
      </c>
    </row>
    <row r="435" s="2" customFormat="1" ht="12" spans="1:43">
      <c r="A435" s="11">
        <v>170010</v>
      </c>
      <c r="B435" s="11" t="s">
        <v>693</v>
      </c>
      <c r="C435" s="11"/>
      <c r="D435" s="11"/>
      <c r="E435" s="11"/>
      <c r="F435" s="11">
        <v>0</v>
      </c>
      <c r="G435" s="11">
        <v>0</v>
      </c>
      <c r="H435" s="11" t="s">
        <v>45</v>
      </c>
      <c r="I435" s="11">
        <v>7</v>
      </c>
      <c r="J435" s="11">
        <v>0</v>
      </c>
      <c r="K435" s="11" t="s">
        <v>46</v>
      </c>
      <c r="L435" s="47" t="s">
        <v>47</v>
      </c>
      <c r="M435" s="11" t="s">
        <v>679</v>
      </c>
      <c r="N435" s="11">
        <v>0</v>
      </c>
      <c r="O435" s="47" t="s">
        <v>48</v>
      </c>
      <c r="P435" s="11">
        <v>0</v>
      </c>
      <c r="Q435" s="11"/>
      <c r="R435" s="11"/>
      <c r="S435" s="11">
        <v>0</v>
      </c>
      <c r="T435" s="11">
        <v>0</v>
      </c>
      <c r="U435" s="11"/>
      <c r="V435" s="11"/>
      <c r="W435" s="47" t="s">
        <v>47</v>
      </c>
      <c r="X435" s="47"/>
      <c r="Y435" s="47"/>
      <c r="Z435" s="11"/>
      <c r="AA435" s="11"/>
      <c r="AB435" s="11" t="s">
        <v>692</v>
      </c>
      <c r="AC435" s="11" t="s">
        <v>51</v>
      </c>
      <c r="AD435" s="11" t="s">
        <v>51</v>
      </c>
      <c r="AE435" s="11" t="s">
        <v>51</v>
      </c>
      <c r="AF435" s="11" t="s">
        <v>51</v>
      </c>
      <c r="AG435" s="11"/>
      <c r="AH435" s="47" t="s">
        <v>52</v>
      </c>
      <c r="AI435" s="11" t="s">
        <v>45</v>
      </c>
      <c r="AJ435" s="11"/>
      <c r="AK435" s="11"/>
      <c r="AL435" s="11"/>
      <c r="AM435" s="11"/>
      <c r="AN435" s="47" t="s">
        <v>47</v>
      </c>
      <c r="AO435" s="11">
        <v>2319</v>
      </c>
      <c r="AP435" s="11" t="s">
        <v>53</v>
      </c>
      <c r="AQ435" s="2">
        <v>0</v>
      </c>
    </row>
    <row r="436" s="3" customFormat="1" ht="12.75" spans="1:43">
      <c r="A436" s="12">
        <v>170051</v>
      </c>
      <c r="B436" s="84" t="s">
        <v>694</v>
      </c>
      <c r="C436" s="12"/>
      <c r="D436" s="12"/>
      <c r="E436" s="12"/>
      <c r="F436" s="11">
        <v>0</v>
      </c>
      <c r="G436" s="12">
        <v>0</v>
      </c>
      <c r="H436" s="12">
        <v>1</v>
      </c>
      <c r="I436" s="12">
        <v>7</v>
      </c>
      <c r="J436" s="12">
        <v>0</v>
      </c>
      <c r="K436" s="12" t="s">
        <v>46</v>
      </c>
      <c r="L436" s="47" t="s">
        <v>47</v>
      </c>
      <c r="M436" s="64">
        <v>530021</v>
      </c>
      <c r="N436" s="12">
        <v>0</v>
      </c>
      <c r="O436" s="47" t="s">
        <v>48</v>
      </c>
      <c r="P436" s="12">
        <v>0</v>
      </c>
      <c r="Q436" s="12"/>
      <c r="R436" s="12"/>
      <c r="S436" s="12">
        <v>0</v>
      </c>
      <c r="T436" s="12">
        <v>0</v>
      </c>
      <c r="U436" s="12"/>
      <c r="V436" s="12"/>
      <c r="W436" s="47" t="s">
        <v>47</v>
      </c>
      <c r="X436" s="47"/>
      <c r="Y436" s="47"/>
      <c r="Z436" s="12" t="s">
        <v>695</v>
      </c>
      <c r="AA436" s="12"/>
      <c r="AB436" s="12" t="s">
        <v>696</v>
      </c>
      <c r="AC436" s="12">
        <v>2141</v>
      </c>
      <c r="AD436" s="12" t="s">
        <v>51</v>
      </c>
      <c r="AE436" s="12" t="s">
        <v>51</v>
      </c>
      <c r="AF436" s="12" t="s">
        <v>51</v>
      </c>
      <c r="AG436" s="12"/>
      <c r="AH436" s="47" t="s">
        <v>52</v>
      </c>
      <c r="AI436" s="12">
        <v>0</v>
      </c>
      <c r="AJ436" s="12"/>
      <c r="AK436" s="12"/>
      <c r="AL436" s="12"/>
      <c r="AM436" s="12"/>
      <c r="AN436" s="47" t="s">
        <v>47</v>
      </c>
      <c r="AO436" s="12">
        <v>2337</v>
      </c>
      <c r="AP436" s="12" t="s">
        <v>53</v>
      </c>
      <c r="AQ436" s="2">
        <v>0</v>
      </c>
    </row>
    <row r="437" s="2" customFormat="1" ht="12.75" spans="1:43">
      <c r="A437" s="11">
        <v>170052</v>
      </c>
      <c r="B437" s="84" t="s">
        <v>697</v>
      </c>
      <c r="C437" s="11"/>
      <c r="D437" s="11"/>
      <c r="E437" s="11"/>
      <c r="F437" s="11">
        <v>0</v>
      </c>
      <c r="G437" s="11">
        <v>0</v>
      </c>
      <c r="H437" s="12">
        <v>1</v>
      </c>
      <c r="I437" s="11">
        <v>7</v>
      </c>
      <c r="J437" s="11">
        <v>0</v>
      </c>
      <c r="K437" s="11" t="s">
        <v>46</v>
      </c>
      <c r="L437" s="47" t="s">
        <v>47</v>
      </c>
      <c r="M437" s="54">
        <v>530021</v>
      </c>
      <c r="N437" s="11">
        <v>0</v>
      </c>
      <c r="O437" s="47" t="s">
        <v>48</v>
      </c>
      <c r="P437" s="11">
        <v>0</v>
      </c>
      <c r="Q437" s="11"/>
      <c r="R437" s="11"/>
      <c r="S437" s="11">
        <v>0</v>
      </c>
      <c r="T437" s="11">
        <v>0</v>
      </c>
      <c r="U437" s="11"/>
      <c r="V437" s="11"/>
      <c r="W437" s="47" t="s">
        <v>47</v>
      </c>
      <c r="X437" s="47"/>
      <c r="Y437" s="47"/>
      <c r="Z437" s="12" t="s">
        <v>695</v>
      </c>
      <c r="AA437" s="11"/>
      <c r="AB437" s="11" t="s">
        <v>698</v>
      </c>
      <c r="AC437" s="11">
        <v>2141</v>
      </c>
      <c r="AD437" s="11" t="s">
        <v>51</v>
      </c>
      <c r="AE437" s="11" t="s">
        <v>51</v>
      </c>
      <c r="AF437" s="11" t="s">
        <v>51</v>
      </c>
      <c r="AG437" s="11"/>
      <c r="AH437" s="47" t="s">
        <v>52</v>
      </c>
      <c r="AI437" s="11">
        <v>0</v>
      </c>
      <c r="AJ437" s="11"/>
      <c r="AK437" s="11"/>
      <c r="AL437" s="11"/>
      <c r="AM437" s="11"/>
      <c r="AN437" s="47" t="s">
        <v>47</v>
      </c>
      <c r="AO437" s="12">
        <v>2338</v>
      </c>
      <c r="AP437" s="11" t="s">
        <v>53</v>
      </c>
      <c r="AQ437" s="2">
        <v>0</v>
      </c>
    </row>
    <row r="438" s="3" customFormat="1" ht="12.75" spans="1:43">
      <c r="A438" s="12">
        <v>170053</v>
      </c>
      <c r="B438" s="85" t="s">
        <v>699</v>
      </c>
      <c r="C438" s="12"/>
      <c r="D438" s="12"/>
      <c r="E438" s="12"/>
      <c r="F438" s="11">
        <v>0</v>
      </c>
      <c r="G438" s="12">
        <v>0</v>
      </c>
      <c r="H438" s="12">
        <v>1</v>
      </c>
      <c r="I438" s="12">
        <v>7</v>
      </c>
      <c r="J438" s="12">
        <v>0</v>
      </c>
      <c r="K438" s="12" t="s">
        <v>46</v>
      </c>
      <c r="L438" s="47" t="s">
        <v>47</v>
      </c>
      <c r="M438" s="64">
        <v>530021</v>
      </c>
      <c r="N438" s="12">
        <v>0</v>
      </c>
      <c r="O438" s="47" t="s">
        <v>48</v>
      </c>
      <c r="P438" s="12">
        <v>0</v>
      </c>
      <c r="Q438" s="12"/>
      <c r="R438" s="12"/>
      <c r="S438" s="12">
        <v>0</v>
      </c>
      <c r="T438" s="12">
        <v>0</v>
      </c>
      <c r="U438" s="12"/>
      <c r="V438" s="12"/>
      <c r="W438" s="47" t="s">
        <v>47</v>
      </c>
      <c r="X438" s="47"/>
      <c r="Y438" s="47"/>
      <c r="Z438" s="12" t="s">
        <v>695</v>
      </c>
      <c r="AA438" s="12"/>
      <c r="AB438" s="12" t="s">
        <v>700</v>
      </c>
      <c r="AC438" s="12">
        <v>2141</v>
      </c>
      <c r="AD438" s="12" t="s">
        <v>51</v>
      </c>
      <c r="AE438" s="12" t="s">
        <v>51</v>
      </c>
      <c r="AF438" s="12" t="s">
        <v>51</v>
      </c>
      <c r="AG438" s="12"/>
      <c r="AH438" s="47" t="s">
        <v>52</v>
      </c>
      <c r="AI438" s="12">
        <v>0</v>
      </c>
      <c r="AJ438" s="12"/>
      <c r="AK438" s="12"/>
      <c r="AL438" s="12"/>
      <c r="AM438" s="12"/>
      <c r="AN438" s="47" t="s">
        <v>47</v>
      </c>
      <c r="AO438" s="12">
        <v>2339</v>
      </c>
      <c r="AP438" s="12" t="s">
        <v>53</v>
      </c>
      <c r="AQ438" s="2">
        <v>0</v>
      </c>
    </row>
    <row r="439" s="2" customFormat="1" ht="12.75" spans="1:43">
      <c r="A439" s="11">
        <v>170054</v>
      </c>
      <c r="B439" s="61" t="s">
        <v>701</v>
      </c>
      <c r="C439" s="11"/>
      <c r="D439" s="11"/>
      <c r="E439" s="11"/>
      <c r="F439" s="11">
        <v>0</v>
      </c>
      <c r="G439" s="11">
        <v>0</v>
      </c>
      <c r="H439" s="12">
        <v>1</v>
      </c>
      <c r="I439" s="11">
        <v>7</v>
      </c>
      <c r="J439" s="11">
        <v>0</v>
      </c>
      <c r="K439" s="11" t="s">
        <v>46</v>
      </c>
      <c r="L439" s="47" t="s">
        <v>47</v>
      </c>
      <c r="M439" s="54">
        <v>530021</v>
      </c>
      <c r="N439" s="11">
        <v>0</v>
      </c>
      <c r="O439" s="47" t="s">
        <v>48</v>
      </c>
      <c r="P439" s="11">
        <v>0</v>
      </c>
      <c r="Q439" s="11"/>
      <c r="R439" s="11"/>
      <c r="S439" s="11">
        <v>0</v>
      </c>
      <c r="T439" s="11">
        <v>0</v>
      </c>
      <c r="U439" s="11"/>
      <c r="V439" s="11"/>
      <c r="W439" s="47" t="s">
        <v>47</v>
      </c>
      <c r="X439" s="47"/>
      <c r="Y439" s="47"/>
      <c r="Z439" s="12" t="s">
        <v>695</v>
      </c>
      <c r="AA439" s="11"/>
      <c r="AB439" s="11" t="s">
        <v>702</v>
      </c>
      <c r="AC439" s="11">
        <v>2141</v>
      </c>
      <c r="AD439" s="11" t="s">
        <v>51</v>
      </c>
      <c r="AE439" s="11" t="s">
        <v>51</v>
      </c>
      <c r="AF439" s="11" t="s">
        <v>51</v>
      </c>
      <c r="AG439" s="11"/>
      <c r="AH439" s="47" t="s">
        <v>52</v>
      </c>
      <c r="AI439" s="11">
        <v>0</v>
      </c>
      <c r="AJ439" s="11"/>
      <c r="AK439" s="11"/>
      <c r="AL439" s="11"/>
      <c r="AM439" s="11"/>
      <c r="AN439" s="47" t="s">
        <v>47</v>
      </c>
      <c r="AO439" s="12">
        <v>2340</v>
      </c>
      <c r="AP439" s="11" t="s">
        <v>53</v>
      </c>
      <c r="AQ439" s="2">
        <v>0</v>
      </c>
    </row>
    <row r="440" s="3" customFormat="1" ht="12.75" spans="1:43">
      <c r="A440" s="12">
        <v>170055</v>
      </c>
      <c r="B440" s="86" t="s">
        <v>703</v>
      </c>
      <c r="C440" s="12"/>
      <c r="D440" s="12"/>
      <c r="E440" s="12"/>
      <c r="F440" s="11">
        <v>0</v>
      </c>
      <c r="G440" s="12">
        <v>0</v>
      </c>
      <c r="H440" s="12">
        <v>1</v>
      </c>
      <c r="I440" s="12">
        <v>7</v>
      </c>
      <c r="J440" s="12">
        <v>0</v>
      </c>
      <c r="K440" s="12" t="s">
        <v>46</v>
      </c>
      <c r="L440" s="47" t="s">
        <v>47</v>
      </c>
      <c r="M440" s="64">
        <v>530021</v>
      </c>
      <c r="N440" s="12">
        <v>0</v>
      </c>
      <c r="O440" s="47" t="s">
        <v>48</v>
      </c>
      <c r="P440" s="12">
        <v>0</v>
      </c>
      <c r="Q440" s="12"/>
      <c r="R440" s="12"/>
      <c r="S440" s="12">
        <v>0</v>
      </c>
      <c r="T440" s="12">
        <v>0</v>
      </c>
      <c r="U440" s="12"/>
      <c r="V440" s="12"/>
      <c r="W440" s="47" t="s">
        <v>47</v>
      </c>
      <c r="X440" s="47"/>
      <c r="Y440" s="47"/>
      <c r="Z440" s="12" t="s">
        <v>695</v>
      </c>
      <c r="AA440" s="12"/>
      <c r="AB440" s="12" t="s">
        <v>704</v>
      </c>
      <c r="AC440" s="12">
        <v>2141</v>
      </c>
      <c r="AD440" s="12" t="s">
        <v>51</v>
      </c>
      <c r="AE440" s="12" t="s">
        <v>51</v>
      </c>
      <c r="AF440" s="12" t="s">
        <v>51</v>
      </c>
      <c r="AG440" s="12"/>
      <c r="AH440" s="47" t="s">
        <v>52</v>
      </c>
      <c r="AI440" s="12">
        <v>0</v>
      </c>
      <c r="AJ440" s="12"/>
      <c r="AK440" s="12"/>
      <c r="AL440" s="12"/>
      <c r="AM440" s="12"/>
      <c r="AN440" s="47" t="s">
        <v>47</v>
      </c>
      <c r="AO440" s="12">
        <v>2341</v>
      </c>
      <c r="AP440" s="12" t="s">
        <v>53</v>
      </c>
      <c r="AQ440" s="2">
        <v>0</v>
      </c>
    </row>
    <row r="441" s="2" customFormat="1" ht="12.75" spans="1:43">
      <c r="A441" s="11">
        <v>170056</v>
      </c>
      <c r="B441" s="61" t="s">
        <v>705</v>
      </c>
      <c r="C441" s="11"/>
      <c r="D441" s="11"/>
      <c r="E441" s="11"/>
      <c r="F441" s="11">
        <v>0</v>
      </c>
      <c r="G441" s="11">
        <v>0</v>
      </c>
      <c r="H441" s="12">
        <v>1</v>
      </c>
      <c r="I441" s="11">
        <v>7</v>
      </c>
      <c r="J441" s="11">
        <v>0</v>
      </c>
      <c r="K441" s="11" t="s">
        <v>46</v>
      </c>
      <c r="L441" s="47" t="s">
        <v>47</v>
      </c>
      <c r="M441" s="54">
        <v>530021</v>
      </c>
      <c r="N441" s="11">
        <v>0</v>
      </c>
      <c r="O441" s="47" t="s">
        <v>48</v>
      </c>
      <c r="P441" s="11">
        <v>0</v>
      </c>
      <c r="Q441" s="11"/>
      <c r="R441" s="11"/>
      <c r="S441" s="11">
        <v>0</v>
      </c>
      <c r="T441" s="11">
        <v>0</v>
      </c>
      <c r="U441" s="11"/>
      <c r="V441" s="11"/>
      <c r="W441" s="47" t="s">
        <v>47</v>
      </c>
      <c r="X441" s="47"/>
      <c r="Y441" s="47"/>
      <c r="Z441" s="12" t="s">
        <v>695</v>
      </c>
      <c r="AA441" s="11"/>
      <c r="AB441" s="11" t="s">
        <v>706</v>
      </c>
      <c r="AC441" s="11">
        <v>2141</v>
      </c>
      <c r="AD441" s="11" t="s">
        <v>51</v>
      </c>
      <c r="AE441" s="11" t="s">
        <v>51</v>
      </c>
      <c r="AF441" s="11" t="s">
        <v>51</v>
      </c>
      <c r="AG441" s="11"/>
      <c r="AH441" s="47" t="s">
        <v>52</v>
      </c>
      <c r="AI441" s="11">
        <v>0</v>
      </c>
      <c r="AJ441" s="11"/>
      <c r="AK441" s="11"/>
      <c r="AL441" s="11"/>
      <c r="AM441" s="11"/>
      <c r="AN441" s="47" t="s">
        <v>47</v>
      </c>
      <c r="AO441" s="12">
        <v>2342</v>
      </c>
      <c r="AP441" s="11" t="s">
        <v>53</v>
      </c>
      <c r="AQ441" s="2">
        <v>0</v>
      </c>
    </row>
    <row r="442" s="3" customFormat="1" ht="12.75" spans="1:43">
      <c r="A442" s="12">
        <v>170057</v>
      </c>
      <c r="B442" s="61" t="s">
        <v>707</v>
      </c>
      <c r="C442" s="12"/>
      <c r="D442" s="12"/>
      <c r="E442" s="12"/>
      <c r="F442" s="11">
        <v>0</v>
      </c>
      <c r="G442" s="12">
        <v>0</v>
      </c>
      <c r="H442" s="12" t="s">
        <v>45</v>
      </c>
      <c r="I442" s="12">
        <v>7</v>
      </c>
      <c r="J442" s="12">
        <v>0</v>
      </c>
      <c r="K442" s="12" t="s">
        <v>46</v>
      </c>
      <c r="L442" s="47" t="s">
        <v>47</v>
      </c>
      <c r="M442" s="64">
        <v>530021</v>
      </c>
      <c r="N442" s="12">
        <v>0</v>
      </c>
      <c r="O442" s="47" t="s">
        <v>48</v>
      </c>
      <c r="P442" s="12">
        <v>0</v>
      </c>
      <c r="Q442" s="12"/>
      <c r="R442" s="12"/>
      <c r="S442" s="12">
        <v>0</v>
      </c>
      <c r="T442" s="12">
        <v>0</v>
      </c>
      <c r="U442" s="12"/>
      <c r="V442" s="12"/>
      <c r="W442" s="47" t="s">
        <v>47</v>
      </c>
      <c r="X442" s="47"/>
      <c r="Y442" s="47"/>
      <c r="Z442" s="12" t="s">
        <v>695</v>
      </c>
      <c r="AA442" s="12"/>
      <c r="AB442" s="12" t="s">
        <v>700</v>
      </c>
      <c r="AC442" s="12" t="s">
        <v>51</v>
      </c>
      <c r="AD442" s="12" t="s">
        <v>51</v>
      </c>
      <c r="AE442" s="12" t="s">
        <v>51</v>
      </c>
      <c r="AF442" s="12" t="s">
        <v>51</v>
      </c>
      <c r="AG442" s="12"/>
      <c r="AH442" s="47" t="s">
        <v>52</v>
      </c>
      <c r="AI442" s="12">
        <v>0</v>
      </c>
      <c r="AJ442" s="12"/>
      <c r="AK442" s="12"/>
      <c r="AL442" s="12"/>
      <c r="AM442" s="12"/>
      <c r="AN442" s="47" t="s">
        <v>47</v>
      </c>
      <c r="AO442" s="12">
        <v>2343</v>
      </c>
      <c r="AP442" s="12" t="s">
        <v>53</v>
      </c>
      <c r="AQ442" s="2">
        <v>0</v>
      </c>
    </row>
    <row r="443" s="2" customFormat="1" ht="12" spans="1:43">
      <c r="A443" s="11">
        <v>170058</v>
      </c>
      <c r="B443" s="11" t="s">
        <v>708</v>
      </c>
      <c r="C443" s="11"/>
      <c r="D443" s="11"/>
      <c r="E443" s="11"/>
      <c r="F443" s="11">
        <v>0</v>
      </c>
      <c r="G443" s="11">
        <v>0</v>
      </c>
      <c r="H443" s="11" t="s">
        <v>45</v>
      </c>
      <c r="I443" s="11">
        <v>7</v>
      </c>
      <c r="J443" s="11">
        <v>0</v>
      </c>
      <c r="K443" s="11" t="s">
        <v>46</v>
      </c>
      <c r="L443" s="47" t="s">
        <v>47</v>
      </c>
      <c r="M443" s="11">
        <v>1010119</v>
      </c>
      <c r="N443" s="11">
        <v>0</v>
      </c>
      <c r="O443" s="47" t="s">
        <v>48</v>
      </c>
      <c r="P443" s="11">
        <v>0</v>
      </c>
      <c r="Q443" s="11"/>
      <c r="R443" s="11"/>
      <c r="S443" s="11">
        <v>0</v>
      </c>
      <c r="T443" s="11">
        <v>0</v>
      </c>
      <c r="U443" s="11"/>
      <c r="V443" s="11"/>
      <c r="W443" s="47" t="s">
        <v>47</v>
      </c>
      <c r="X443" s="47"/>
      <c r="Y443" s="47"/>
      <c r="Z443" s="12" t="s">
        <v>695</v>
      </c>
      <c r="AA443" s="11"/>
      <c r="AB443" s="11" t="s">
        <v>702</v>
      </c>
      <c r="AC443" s="11" t="s">
        <v>51</v>
      </c>
      <c r="AD443" s="11" t="s">
        <v>51</v>
      </c>
      <c r="AE443" s="11" t="s">
        <v>51</v>
      </c>
      <c r="AF443" s="11" t="s">
        <v>51</v>
      </c>
      <c r="AG443" s="11"/>
      <c r="AH443" s="47" t="s">
        <v>52</v>
      </c>
      <c r="AI443" s="11">
        <v>0</v>
      </c>
      <c r="AJ443" s="11"/>
      <c r="AK443" s="11"/>
      <c r="AL443" s="11"/>
      <c r="AM443" s="11"/>
      <c r="AN443" s="47" t="s">
        <v>47</v>
      </c>
      <c r="AO443" s="11">
        <v>2340</v>
      </c>
      <c r="AP443" s="11" t="s">
        <v>53</v>
      </c>
      <c r="AQ443" s="2">
        <v>0</v>
      </c>
    </row>
    <row r="444" s="3" customFormat="1" ht="12" spans="1:43">
      <c r="A444" s="12">
        <v>170059</v>
      </c>
      <c r="B444" s="12" t="s">
        <v>709</v>
      </c>
      <c r="C444" s="12"/>
      <c r="D444" s="12"/>
      <c r="E444" s="12"/>
      <c r="F444" s="11">
        <v>0</v>
      </c>
      <c r="G444" s="12">
        <v>0</v>
      </c>
      <c r="H444" s="12" t="s">
        <v>45</v>
      </c>
      <c r="I444" s="12">
        <v>7</v>
      </c>
      <c r="J444" s="12">
        <v>0</v>
      </c>
      <c r="K444" s="12" t="s">
        <v>46</v>
      </c>
      <c r="L444" s="47" t="s">
        <v>47</v>
      </c>
      <c r="M444" s="12">
        <v>1010142</v>
      </c>
      <c r="N444" s="12">
        <v>0</v>
      </c>
      <c r="O444" s="47" t="s">
        <v>48</v>
      </c>
      <c r="P444" s="12">
        <v>0</v>
      </c>
      <c r="Q444" s="12"/>
      <c r="R444" s="12"/>
      <c r="S444" s="12">
        <v>0</v>
      </c>
      <c r="T444" s="12">
        <v>0</v>
      </c>
      <c r="U444" s="12"/>
      <c r="V444" s="12"/>
      <c r="W444" s="47" t="s">
        <v>47</v>
      </c>
      <c r="X444" s="47"/>
      <c r="Y444" s="47"/>
      <c r="Z444" s="12" t="s">
        <v>695</v>
      </c>
      <c r="AA444" s="12"/>
      <c r="AB444" s="12" t="s">
        <v>704</v>
      </c>
      <c r="AC444" s="12" t="s">
        <v>51</v>
      </c>
      <c r="AD444" s="12" t="s">
        <v>51</v>
      </c>
      <c r="AE444" s="12" t="s">
        <v>51</v>
      </c>
      <c r="AF444" s="12" t="s">
        <v>51</v>
      </c>
      <c r="AG444" s="12"/>
      <c r="AH444" s="47" t="s">
        <v>52</v>
      </c>
      <c r="AI444" s="12">
        <v>0</v>
      </c>
      <c r="AJ444" s="12"/>
      <c r="AK444" s="12"/>
      <c r="AL444" s="12"/>
      <c r="AM444" s="12"/>
      <c r="AN444" s="47" t="s">
        <v>47</v>
      </c>
      <c r="AO444" s="12">
        <v>2341</v>
      </c>
      <c r="AP444" s="12" t="s">
        <v>53</v>
      </c>
      <c r="AQ444" s="2">
        <v>0</v>
      </c>
    </row>
    <row r="445" s="2" customFormat="1" ht="12" spans="1:43">
      <c r="A445" s="11">
        <v>170060</v>
      </c>
      <c r="B445" s="11" t="s">
        <v>710</v>
      </c>
      <c r="C445" s="11"/>
      <c r="D445" s="11"/>
      <c r="E445" s="11"/>
      <c r="F445" s="11">
        <v>0</v>
      </c>
      <c r="G445" s="11">
        <v>0</v>
      </c>
      <c r="H445" s="11" t="s">
        <v>45</v>
      </c>
      <c r="I445" s="11">
        <v>7</v>
      </c>
      <c r="J445" s="11">
        <v>0</v>
      </c>
      <c r="K445" s="11" t="s">
        <v>46</v>
      </c>
      <c r="L445" s="47" t="s">
        <v>47</v>
      </c>
      <c r="M445" s="11">
        <v>1010119</v>
      </c>
      <c r="N445" s="11">
        <v>0</v>
      </c>
      <c r="O445" s="47" t="s">
        <v>48</v>
      </c>
      <c r="P445" s="11">
        <v>0</v>
      </c>
      <c r="Q445" s="11"/>
      <c r="R445" s="11"/>
      <c r="S445" s="11">
        <v>0</v>
      </c>
      <c r="T445" s="11">
        <v>0</v>
      </c>
      <c r="U445" s="11"/>
      <c r="V445" s="11"/>
      <c r="W445" s="47" t="s">
        <v>47</v>
      </c>
      <c r="X445" s="47"/>
      <c r="Y445" s="47"/>
      <c r="Z445" s="12" t="s">
        <v>695</v>
      </c>
      <c r="AA445" s="11"/>
      <c r="AB445" s="11" t="s">
        <v>706</v>
      </c>
      <c r="AC445" s="11" t="s">
        <v>51</v>
      </c>
      <c r="AD445" s="11" t="s">
        <v>51</v>
      </c>
      <c r="AE445" s="11" t="s">
        <v>51</v>
      </c>
      <c r="AF445" s="11" t="s">
        <v>51</v>
      </c>
      <c r="AG445" s="11"/>
      <c r="AH445" s="47" t="s">
        <v>52</v>
      </c>
      <c r="AI445" s="11">
        <v>0</v>
      </c>
      <c r="AJ445" s="11"/>
      <c r="AK445" s="11"/>
      <c r="AL445" s="11"/>
      <c r="AM445" s="11"/>
      <c r="AN445" s="47" t="s">
        <v>47</v>
      </c>
      <c r="AO445" s="11">
        <v>2342</v>
      </c>
      <c r="AP445" s="11" t="s">
        <v>53</v>
      </c>
      <c r="AQ445" s="2">
        <v>0</v>
      </c>
    </row>
    <row r="446" s="3" customFormat="1" ht="12.75" spans="1:43">
      <c r="A446" s="12">
        <v>170061</v>
      </c>
      <c r="B446" s="84" t="s">
        <v>711</v>
      </c>
      <c r="C446" s="12"/>
      <c r="D446" s="12"/>
      <c r="E446" s="12"/>
      <c r="F446" s="11">
        <v>0</v>
      </c>
      <c r="G446" s="12">
        <v>0</v>
      </c>
      <c r="H446" s="12">
        <v>1</v>
      </c>
      <c r="I446" s="12">
        <v>7</v>
      </c>
      <c r="J446" s="12">
        <v>0</v>
      </c>
      <c r="K446" s="12" t="s">
        <v>46</v>
      </c>
      <c r="L446" s="47" t="s">
        <v>47</v>
      </c>
      <c r="M446" s="64">
        <v>530025</v>
      </c>
      <c r="N446" s="12">
        <v>0</v>
      </c>
      <c r="O446" s="47" t="s">
        <v>48</v>
      </c>
      <c r="P446" s="12">
        <v>0</v>
      </c>
      <c r="Q446" s="12"/>
      <c r="R446" s="12"/>
      <c r="S446" s="12">
        <v>0</v>
      </c>
      <c r="T446" s="12">
        <v>0</v>
      </c>
      <c r="U446" s="12"/>
      <c r="V446" s="12"/>
      <c r="W446" s="47" t="s">
        <v>47</v>
      </c>
      <c r="X446" s="47"/>
      <c r="Y446" s="47"/>
      <c r="Z446" s="12" t="s">
        <v>695</v>
      </c>
      <c r="AA446" s="12"/>
      <c r="AB446" s="12" t="s">
        <v>696</v>
      </c>
      <c r="AC446" s="12">
        <v>2141</v>
      </c>
      <c r="AD446" s="12" t="s">
        <v>51</v>
      </c>
      <c r="AE446" s="12" t="s">
        <v>51</v>
      </c>
      <c r="AF446" s="12" t="s">
        <v>51</v>
      </c>
      <c r="AG446" s="12"/>
      <c r="AH446" s="47" t="s">
        <v>52</v>
      </c>
      <c r="AI446" s="12">
        <v>0</v>
      </c>
      <c r="AJ446" s="12"/>
      <c r="AK446" s="12"/>
      <c r="AL446" s="12"/>
      <c r="AM446" s="12"/>
      <c r="AN446" s="47" t="s">
        <v>47</v>
      </c>
      <c r="AO446" s="12">
        <v>2344</v>
      </c>
      <c r="AP446" s="12" t="s">
        <v>53</v>
      </c>
      <c r="AQ446" s="2">
        <v>0</v>
      </c>
    </row>
    <row r="447" s="2" customFormat="1" ht="12.75" spans="1:43">
      <c r="A447" s="11">
        <v>170062</v>
      </c>
      <c r="B447" s="84" t="s">
        <v>712</v>
      </c>
      <c r="C447" s="11"/>
      <c r="D447" s="11"/>
      <c r="E447" s="11"/>
      <c r="F447" s="11">
        <v>0</v>
      </c>
      <c r="G447" s="11">
        <v>0</v>
      </c>
      <c r="H447" s="12">
        <v>1</v>
      </c>
      <c r="I447" s="11">
        <v>7</v>
      </c>
      <c r="J447" s="11">
        <v>0</v>
      </c>
      <c r="K447" s="11" t="s">
        <v>46</v>
      </c>
      <c r="L447" s="47" t="s">
        <v>47</v>
      </c>
      <c r="M447" s="54">
        <v>530025</v>
      </c>
      <c r="N447" s="11">
        <v>0</v>
      </c>
      <c r="O447" s="47" t="s">
        <v>48</v>
      </c>
      <c r="P447" s="11">
        <v>0</v>
      </c>
      <c r="Q447" s="11"/>
      <c r="R447" s="11"/>
      <c r="S447" s="11">
        <v>0</v>
      </c>
      <c r="T447" s="11">
        <v>0</v>
      </c>
      <c r="U447" s="11"/>
      <c r="V447" s="11"/>
      <c r="W447" s="47" t="s">
        <v>47</v>
      </c>
      <c r="X447" s="47"/>
      <c r="Y447" s="47"/>
      <c r="Z447" s="12" t="s">
        <v>695</v>
      </c>
      <c r="AA447" s="11"/>
      <c r="AB447" s="11" t="s">
        <v>698</v>
      </c>
      <c r="AC447" s="11">
        <v>2141</v>
      </c>
      <c r="AD447" s="11" t="s">
        <v>51</v>
      </c>
      <c r="AE447" s="11" t="s">
        <v>51</v>
      </c>
      <c r="AF447" s="11" t="s">
        <v>51</v>
      </c>
      <c r="AG447" s="11"/>
      <c r="AH447" s="47" t="s">
        <v>52</v>
      </c>
      <c r="AI447" s="11">
        <v>0</v>
      </c>
      <c r="AJ447" s="11"/>
      <c r="AK447" s="11"/>
      <c r="AL447" s="11"/>
      <c r="AM447" s="11"/>
      <c r="AN447" s="47" t="s">
        <v>47</v>
      </c>
      <c r="AO447" s="12">
        <v>2345</v>
      </c>
      <c r="AP447" s="11" t="s">
        <v>53</v>
      </c>
      <c r="AQ447" s="2">
        <v>0</v>
      </c>
    </row>
    <row r="448" s="3" customFormat="1" ht="12.75" spans="1:43">
      <c r="A448" s="12">
        <v>170063</v>
      </c>
      <c r="B448" s="85" t="s">
        <v>713</v>
      </c>
      <c r="C448" s="12"/>
      <c r="D448" s="12"/>
      <c r="E448" s="12"/>
      <c r="F448" s="11">
        <v>0</v>
      </c>
      <c r="G448" s="12">
        <v>0</v>
      </c>
      <c r="H448" s="12">
        <v>1</v>
      </c>
      <c r="I448" s="12">
        <v>7</v>
      </c>
      <c r="J448" s="12">
        <v>0</v>
      </c>
      <c r="K448" s="12" t="s">
        <v>46</v>
      </c>
      <c r="L448" s="47" t="s">
        <v>47</v>
      </c>
      <c r="M448" s="64">
        <v>530025</v>
      </c>
      <c r="N448" s="12">
        <v>0</v>
      </c>
      <c r="O448" s="47" t="s">
        <v>48</v>
      </c>
      <c r="P448" s="12">
        <v>0</v>
      </c>
      <c r="Q448" s="12"/>
      <c r="R448" s="12"/>
      <c r="S448" s="12">
        <v>0</v>
      </c>
      <c r="T448" s="12">
        <v>0</v>
      </c>
      <c r="U448" s="12"/>
      <c r="V448" s="12"/>
      <c r="W448" s="47" t="s">
        <v>47</v>
      </c>
      <c r="X448" s="47"/>
      <c r="Y448" s="47"/>
      <c r="Z448" s="12" t="s">
        <v>695</v>
      </c>
      <c r="AA448" s="12"/>
      <c r="AB448" s="12" t="s">
        <v>700</v>
      </c>
      <c r="AC448" s="12">
        <v>2141</v>
      </c>
      <c r="AD448" s="12" t="s">
        <v>51</v>
      </c>
      <c r="AE448" s="12" t="s">
        <v>51</v>
      </c>
      <c r="AF448" s="12" t="s">
        <v>51</v>
      </c>
      <c r="AG448" s="12"/>
      <c r="AH448" s="47" t="s">
        <v>52</v>
      </c>
      <c r="AI448" s="12">
        <v>0</v>
      </c>
      <c r="AJ448" s="12"/>
      <c r="AK448" s="12"/>
      <c r="AL448" s="12"/>
      <c r="AM448" s="12"/>
      <c r="AN448" s="47" t="s">
        <v>47</v>
      </c>
      <c r="AO448" s="12">
        <v>2346</v>
      </c>
      <c r="AP448" s="12" t="s">
        <v>53</v>
      </c>
      <c r="AQ448" s="2">
        <v>0</v>
      </c>
    </row>
    <row r="449" s="2" customFormat="1" ht="12.75" spans="1:43">
      <c r="A449" s="11">
        <v>170064</v>
      </c>
      <c r="B449" s="61" t="s">
        <v>714</v>
      </c>
      <c r="C449" s="11"/>
      <c r="D449" s="11"/>
      <c r="E449" s="11"/>
      <c r="F449" s="11">
        <v>0</v>
      </c>
      <c r="G449" s="11">
        <v>0</v>
      </c>
      <c r="H449" s="12">
        <v>1</v>
      </c>
      <c r="I449" s="11">
        <v>7</v>
      </c>
      <c r="J449" s="11">
        <v>0</v>
      </c>
      <c r="K449" s="11" t="s">
        <v>46</v>
      </c>
      <c r="L449" s="47" t="s">
        <v>47</v>
      </c>
      <c r="M449" s="54">
        <v>530025</v>
      </c>
      <c r="N449" s="11">
        <v>0</v>
      </c>
      <c r="O449" s="47" t="s">
        <v>48</v>
      </c>
      <c r="P449" s="11">
        <v>0</v>
      </c>
      <c r="Q449" s="11"/>
      <c r="R449" s="11"/>
      <c r="S449" s="11">
        <v>0</v>
      </c>
      <c r="T449" s="11">
        <v>0</v>
      </c>
      <c r="U449" s="11"/>
      <c r="V449" s="11"/>
      <c r="W449" s="47" t="s">
        <v>47</v>
      </c>
      <c r="X449" s="47"/>
      <c r="Y449" s="47"/>
      <c r="Z449" s="12" t="s">
        <v>695</v>
      </c>
      <c r="AA449" s="11"/>
      <c r="AB449" s="11" t="s">
        <v>702</v>
      </c>
      <c r="AC449" s="11">
        <v>2141</v>
      </c>
      <c r="AD449" s="11" t="s">
        <v>51</v>
      </c>
      <c r="AE449" s="11" t="s">
        <v>51</v>
      </c>
      <c r="AF449" s="11" t="s">
        <v>51</v>
      </c>
      <c r="AG449" s="11"/>
      <c r="AH449" s="47" t="s">
        <v>52</v>
      </c>
      <c r="AI449" s="11">
        <v>0</v>
      </c>
      <c r="AJ449" s="11"/>
      <c r="AK449" s="11"/>
      <c r="AL449" s="11"/>
      <c r="AM449" s="11"/>
      <c r="AN449" s="47" t="s">
        <v>47</v>
      </c>
      <c r="AO449" s="12">
        <v>2347</v>
      </c>
      <c r="AP449" s="11" t="s">
        <v>53</v>
      </c>
      <c r="AQ449" s="2">
        <v>0</v>
      </c>
    </row>
    <row r="450" s="3" customFormat="1" ht="12.75" spans="1:43">
      <c r="A450" s="12">
        <v>170065</v>
      </c>
      <c r="B450" s="86" t="s">
        <v>715</v>
      </c>
      <c r="C450" s="12"/>
      <c r="D450" s="12"/>
      <c r="E450" s="12"/>
      <c r="F450" s="11">
        <v>0</v>
      </c>
      <c r="G450" s="12">
        <v>0</v>
      </c>
      <c r="H450" s="12">
        <v>1</v>
      </c>
      <c r="I450" s="12">
        <v>7</v>
      </c>
      <c r="J450" s="12">
        <v>0</v>
      </c>
      <c r="K450" s="12" t="s">
        <v>46</v>
      </c>
      <c r="L450" s="47" t="s">
        <v>47</v>
      </c>
      <c r="M450" s="64">
        <v>530025</v>
      </c>
      <c r="N450" s="12">
        <v>0</v>
      </c>
      <c r="O450" s="47" t="s">
        <v>48</v>
      </c>
      <c r="P450" s="12">
        <v>0</v>
      </c>
      <c r="Q450" s="12"/>
      <c r="R450" s="12"/>
      <c r="S450" s="12">
        <v>0</v>
      </c>
      <c r="T450" s="12">
        <v>0</v>
      </c>
      <c r="U450" s="12"/>
      <c r="V450" s="12"/>
      <c r="W450" s="47" t="s">
        <v>47</v>
      </c>
      <c r="X450" s="47"/>
      <c r="Y450" s="47"/>
      <c r="Z450" s="12" t="s">
        <v>695</v>
      </c>
      <c r="AA450" s="12"/>
      <c r="AB450" s="12" t="s">
        <v>704</v>
      </c>
      <c r="AC450" s="12">
        <v>2141</v>
      </c>
      <c r="AD450" s="12" t="s">
        <v>51</v>
      </c>
      <c r="AE450" s="12" t="s">
        <v>51</v>
      </c>
      <c r="AF450" s="12" t="s">
        <v>51</v>
      </c>
      <c r="AG450" s="12"/>
      <c r="AH450" s="47" t="s">
        <v>52</v>
      </c>
      <c r="AI450" s="12">
        <v>0</v>
      </c>
      <c r="AJ450" s="12"/>
      <c r="AK450" s="12"/>
      <c r="AL450" s="12"/>
      <c r="AM450" s="12"/>
      <c r="AN450" s="47" t="s">
        <v>47</v>
      </c>
      <c r="AO450" s="12">
        <v>2348</v>
      </c>
      <c r="AP450" s="12" t="s">
        <v>53</v>
      </c>
      <c r="AQ450" s="2">
        <v>0</v>
      </c>
    </row>
    <row r="451" s="2" customFormat="1" spans="1:43">
      <c r="A451" s="11">
        <v>170066</v>
      </c>
      <c r="B451" s="61" t="s">
        <v>716</v>
      </c>
      <c r="C451" s="11"/>
      <c r="D451" s="11"/>
      <c r="E451" s="11"/>
      <c r="F451" s="88">
        <v>0</v>
      </c>
      <c r="G451" s="11">
        <v>0</v>
      </c>
      <c r="H451" s="12">
        <v>1</v>
      </c>
      <c r="I451" s="11">
        <v>7</v>
      </c>
      <c r="J451" s="11">
        <v>0</v>
      </c>
      <c r="K451" s="11" t="s">
        <v>46</v>
      </c>
      <c r="L451" s="47" t="s">
        <v>47</v>
      </c>
      <c r="M451" s="54">
        <v>530025</v>
      </c>
      <c r="N451" s="11">
        <v>0</v>
      </c>
      <c r="O451" s="47" t="s">
        <v>48</v>
      </c>
      <c r="P451" s="11">
        <v>0</v>
      </c>
      <c r="Q451" s="11"/>
      <c r="R451" s="11"/>
      <c r="S451" s="11">
        <v>0</v>
      </c>
      <c r="T451" s="11">
        <v>0</v>
      </c>
      <c r="U451" s="11"/>
      <c r="V451" s="11"/>
      <c r="W451" s="47" t="s">
        <v>47</v>
      </c>
      <c r="X451" s="47"/>
      <c r="Y451" s="47"/>
      <c r="Z451" s="12" t="s">
        <v>695</v>
      </c>
      <c r="AA451" s="11"/>
      <c r="AB451" s="11" t="s">
        <v>706</v>
      </c>
      <c r="AC451" s="11">
        <v>2141</v>
      </c>
      <c r="AD451" s="11" t="s">
        <v>51</v>
      </c>
      <c r="AE451" s="11" t="s">
        <v>51</v>
      </c>
      <c r="AF451" s="11" t="s">
        <v>51</v>
      </c>
      <c r="AG451" s="11"/>
      <c r="AH451" s="47" t="s">
        <v>52</v>
      </c>
      <c r="AI451" s="11">
        <v>0</v>
      </c>
      <c r="AJ451" s="11"/>
      <c r="AK451" s="11"/>
      <c r="AL451" s="11"/>
      <c r="AM451" s="11"/>
      <c r="AN451" s="47" t="s">
        <v>47</v>
      </c>
      <c r="AO451" s="12">
        <v>2349</v>
      </c>
      <c r="AP451" s="11" t="s">
        <v>53</v>
      </c>
      <c r="AQ451" s="2">
        <v>0</v>
      </c>
    </row>
    <row r="452" s="3" customFormat="1" ht="12.75" spans="1:43">
      <c r="A452" s="12">
        <v>170067</v>
      </c>
      <c r="B452" s="61" t="s">
        <v>717</v>
      </c>
      <c r="C452" s="12"/>
      <c r="D452" s="12"/>
      <c r="E452" s="12"/>
      <c r="F452" s="12">
        <v>0</v>
      </c>
      <c r="G452" s="12">
        <v>0</v>
      </c>
      <c r="H452" s="12" t="s">
        <v>45</v>
      </c>
      <c r="I452" s="12">
        <v>7</v>
      </c>
      <c r="J452" s="12">
        <v>0</v>
      </c>
      <c r="K452" s="12" t="s">
        <v>46</v>
      </c>
      <c r="L452" s="47" t="s">
        <v>47</v>
      </c>
      <c r="M452" s="64">
        <v>530025</v>
      </c>
      <c r="N452" s="12">
        <v>0</v>
      </c>
      <c r="O452" s="47" t="s">
        <v>48</v>
      </c>
      <c r="P452" s="12">
        <v>0</v>
      </c>
      <c r="Q452" s="12"/>
      <c r="R452" s="12"/>
      <c r="S452" s="12">
        <v>0</v>
      </c>
      <c r="T452" s="12">
        <v>0</v>
      </c>
      <c r="U452" s="12"/>
      <c r="V452" s="12"/>
      <c r="W452" s="47" t="s">
        <v>47</v>
      </c>
      <c r="X452" s="47"/>
      <c r="Y452" s="47"/>
      <c r="Z452" s="12" t="s">
        <v>695</v>
      </c>
      <c r="AA452" s="12"/>
      <c r="AB452" s="12" t="s">
        <v>700</v>
      </c>
      <c r="AC452" s="12" t="s">
        <v>51</v>
      </c>
      <c r="AD452" s="12" t="s">
        <v>51</v>
      </c>
      <c r="AE452" s="12" t="s">
        <v>51</v>
      </c>
      <c r="AF452" s="12" t="s">
        <v>51</v>
      </c>
      <c r="AG452" s="12"/>
      <c r="AH452" s="47" t="s">
        <v>52</v>
      </c>
      <c r="AI452" s="12">
        <v>0</v>
      </c>
      <c r="AJ452" s="12"/>
      <c r="AK452" s="12"/>
      <c r="AL452" s="12"/>
      <c r="AM452" s="12"/>
      <c r="AN452" s="47" t="s">
        <v>47</v>
      </c>
      <c r="AO452" s="12">
        <v>2350</v>
      </c>
      <c r="AP452" s="12" t="s">
        <v>53</v>
      </c>
      <c r="AQ452" s="2">
        <v>0</v>
      </c>
    </row>
    <row r="453" s="2" customFormat="1" ht="12" spans="1:43">
      <c r="A453" s="11">
        <v>170068</v>
      </c>
      <c r="B453" s="11" t="s">
        <v>718</v>
      </c>
      <c r="C453" s="11"/>
      <c r="D453" s="11"/>
      <c r="E453" s="11"/>
      <c r="F453" s="11">
        <v>0</v>
      </c>
      <c r="G453" s="11">
        <v>0</v>
      </c>
      <c r="H453" s="11" t="s">
        <v>45</v>
      </c>
      <c r="I453" s="11">
        <v>7</v>
      </c>
      <c r="J453" s="11">
        <v>0</v>
      </c>
      <c r="K453" s="11" t="s">
        <v>46</v>
      </c>
      <c r="L453" s="47" t="s">
        <v>47</v>
      </c>
      <c r="M453" s="11">
        <v>1010143</v>
      </c>
      <c r="N453" s="11">
        <v>0</v>
      </c>
      <c r="O453" s="47" t="s">
        <v>48</v>
      </c>
      <c r="P453" s="11">
        <v>0</v>
      </c>
      <c r="Q453" s="11"/>
      <c r="R453" s="11"/>
      <c r="S453" s="11">
        <v>0</v>
      </c>
      <c r="T453" s="11">
        <v>0</v>
      </c>
      <c r="U453" s="11"/>
      <c r="V453" s="11"/>
      <c r="W453" s="47" t="s">
        <v>47</v>
      </c>
      <c r="X453" s="47"/>
      <c r="Y453" s="47"/>
      <c r="Z453" s="12" t="s">
        <v>695</v>
      </c>
      <c r="AA453" s="11"/>
      <c r="AB453" s="11" t="s">
        <v>702</v>
      </c>
      <c r="AC453" s="11" t="s">
        <v>51</v>
      </c>
      <c r="AD453" s="11" t="s">
        <v>51</v>
      </c>
      <c r="AE453" s="11" t="s">
        <v>51</v>
      </c>
      <c r="AF453" s="11" t="s">
        <v>51</v>
      </c>
      <c r="AG453" s="11"/>
      <c r="AH453" s="47" t="s">
        <v>52</v>
      </c>
      <c r="AI453" s="11">
        <v>0</v>
      </c>
      <c r="AJ453" s="11"/>
      <c r="AK453" s="11"/>
      <c r="AL453" s="11"/>
      <c r="AM453" s="11"/>
      <c r="AN453" s="47" t="s">
        <v>47</v>
      </c>
      <c r="AO453" s="11">
        <v>2350</v>
      </c>
      <c r="AP453" s="11" t="s">
        <v>53</v>
      </c>
      <c r="AQ453" s="2">
        <v>0</v>
      </c>
    </row>
    <row r="454" s="3" customFormat="1" ht="12" spans="1:43">
      <c r="A454" s="12">
        <v>170069</v>
      </c>
      <c r="B454" s="12" t="s">
        <v>719</v>
      </c>
      <c r="C454" s="12"/>
      <c r="D454" s="12"/>
      <c r="E454" s="12"/>
      <c r="F454" s="12">
        <v>0</v>
      </c>
      <c r="G454" s="12">
        <v>0</v>
      </c>
      <c r="H454" s="12" t="s">
        <v>45</v>
      </c>
      <c r="I454" s="12">
        <v>7</v>
      </c>
      <c r="J454" s="12">
        <v>0</v>
      </c>
      <c r="K454" s="12" t="s">
        <v>46</v>
      </c>
      <c r="L454" s="47" t="s">
        <v>47</v>
      </c>
      <c r="M454" s="12">
        <v>1010142</v>
      </c>
      <c r="N454" s="12">
        <v>0</v>
      </c>
      <c r="O454" s="47" t="s">
        <v>48</v>
      </c>
      <c r="P454" s="12">
        <v>0</v>
      </c>
      <c r="Q454" s="12"/>
      <c r="R454" s="12"/>
      <c r="S454" s="12">
        <v>0</v>
      </c>
      <c r="T454" s="12">
        <v>0</v>
      </c>
      <c r="U454" s="12"/>
      <c r="V454" s="12"/>
      <c r="W454" s="47" t="s">
        <v>47</v>
      </c>
      <c r="X454" s="47"/>
      <c r="Y454" s="47"/>
      <c r="Z454" s="12" t="s">
        <v>695</v>
      </c>
      <c r="AA454" s="12"/>
      <c r="AB454" s="12" t="s">
        <v>704</v>
      </c>
      <c r="AC454" s="12" t="s">
        <v>51</v>
      </c>
      <c r="AD454" s="12" t="s">
        <v>51</v>
      </c>
      <c r="AE454" s="12" t="s">
        <v>51</v>
      </c>
      <c r="AF454" s="12" t="s">
        <v>51</v>
      </c>
      <c r="AG454" s="12"/>
      <c r="AH454" s="47" t="s">
        <v>52</v>
      </c>
      <c r="AI454" s="12">
        <v>0</v>
      </c>
      <c r="AJ454" s="12"/>
      <c r="AK454" s="12"/>
      <c r="AL454" s="12"/>
      <c r="AM454" s="12"/>
      <c r="AN454" s="47" t="s">
        <v>47</v>
      </c>
      <c r="AO454" s="12">
        <v>2351</v>
      </c>
      <c r="AP454" s="12" t="s">
        <v>53</v>
      </c>
      <c r="AQ454" s="2">
        <v>0</v>
      </c>
    </row>
    <row r="455" s="2" customFormat="1" ht="12" spans="1:43">
      <c r="A455" s="11">
        <v>170070</v>
      </c>
      <c r="B455" s="11" t="s">
        <v>720</v>
      </c>
      <c r="C455" s="11"/>
      <c r="D455" s="11"/>
      <c r="E455" s="11"/>
      <c r="F455" s="11">
        <v>0</v>
      </c>
      <c r="G455" s="11">
        <v>0</v>
      </c>
      <c r="H455" s="11" t="s">
        <v>45</v>
      </c>
      <c r="I455" s="11">
        <v>7</v>
      </c>
      <c r="J455" s="11">
        <v>0</v>
      </c>
      <c r="K455" s="11" t="s">
        <v>46</v>
      </c>
      <c r="L455" s="47" t="s">
        <v>47</v>
      </c>
      <c r="M455" s="11">
        <v>1010130</v>
      </c>
      <c r="N455" s="11">
        <v>0</v>
      </c>
      <c r="O455" s="47" t="s">
        <v>48</v>
      </c>
      <c r="P455" s="11">
        <v>0</v>
      </c>
      <c r="Q455" s="11"/>
      <c r="R455" s="11"/>
      <c r="S455" s="11">
        <v>0</v>
      </c>
      <c r="T455" s="11">
        <v>0</v>
      </c>
      <c r="U455" s="11"/>
      <c r="V455" s="11"/>
      <c r="W455" s="47" t="s">
        <v>47</v>
      </c>
      <c r="X455" s="47"/>
      <c r="Y455" s="47"/>
      <c r="Z455" s="12" t="s">
        <v>695</v>
      </c>
      <c r="AA455" s="11"/>
      <c r="AB455" s="11" t="s">
        <v>706</v>
      </c>
      <c r="AC455" s="11" t="s">
        <v>51</v>
      </c>
      <c r="AD455" s="11" t="s">
        <v>51</v>
      </c>
      <c r="AE455" s="11" t="s">
        <v>51</v>
      </c>
      <c r="AF455" s="11" t="s">
        <v>51</v>
      </c>
      <c r="AG455" s="11"/>
      <c r="AH455" s="47" t="s">
        <v>52</v>
      </c>
      <c r="AI455" s="11">
        <v>0</v>
      </c>
      <c r="AJ455" s="11"/>
      <c r="AK455" s="11"/>
      <c r="AL455" s="11"/>
      <c r="AM455" s="11"/>
      <c r="AN455" s="47" t="s">
        <v>47</v>
      </c>
      <c r="AO455" s="11">
        <v>2352</v>
      </c>
      <c r="AP455" s="11" t="s">
        <v>53</v>
      </c>
      <c r="AQ455" s="2">
        <v>0</v>
      </c>
    </row>
    <row r="456" s="8" customFormat="1" ht="12" spans="1:43">
      <c r="A456" s="60">
        <v>170071</v>
      </c>
      <c r="B456" s="60" t="s">
        <v>721</v>
      </c>
      <c r="C456" s="60"/>
      <c r="D456" s="60"/>
      <c r="E456" s="60"/>
      <c r="F456" s="60">
        <v>0</v>
      </c>
      <c r="G456" s="60">
        <v>0</v>
      </c>
      <c r="H456" s="60" t="s">
        <v>45</v>
      </c>
      <c r="I456" s="60">
        <v>7</v>
      </c>
      <c r="J456" s="60">
        <v>0</v>
      </c>
      <c r="K456" s="60" t="s">
        <v>46</v>
      </c>
      <c r="L456" s="60" t="s">
        <v>47</v>
      </c>
      <c r="M456" s="94">
        <v>1010154</v>
      </c>
      <c r="N456" s="60">
        <v>0</v>
      </c>
      <c r="O456" s="60" t="s">
        <v>48</v>
      </c>
      <c r="P456" s="60">
        <v>0</v>
      </c>
      <c r="Q456" s="60"/>
      <c r="R456" s="60"/>
      <c r="S456" s="60">
        <v>0</v>
      </c>
      <c r="T456" s="60">
        <v>0</v>
      </c>
      <c r="U456" s="60"/>
      <c r="V456" s="60"/>
      <c r="W456" s="60" t="s">
        <v>47</v>
      </c>
      <c r="X456" s="60"/>
      <c r="Y456" s="60"/>
      <c r="Z456" s="60" t="s">
        <v>722</v>
      </c>
      <c r="AA456" s="60"/>
      <c r="AB456" s="60" t="s">
        <v>723</v>
      </c>
      <c r="AC456" s="60">
        <v>2192</v>
      </c>
      <c r="AD456" s="60" t="s">
        <v>51</v>
      </c>
      <c r="AE456" s="60" t="s">
        <v>51</v>
      </c>
      <c r="AF456" s="60" t="s">
        <v>51</v>
      </c>
      <c r="AG456" s="60"/>
      <c r="AH456" s="60" t="s">
        <v>52</v>
      </c>
      <c r="AI456" s="60">
        <v>0</v>
      </c>
      <c r="AJ456" s="60"/>
      <c r="AK456" s="60"/>
      <c r="AL456" s="60"/>
      <c r="AM456" s="60"/>
      <c r="AN456" s="60" t="s">
        <v>47</v>
      </c>
      <c r="AO456" s="60">
        <v>2354</v>
      </c>
      <c r="AP456" s="60" t="s">
        <v>53</v>
      </c>
      <c r="AQ456" s="2">
        <v>0</v>
      </c>
    </row>
    <row r="457" s="8" customFormat="1" ht="12" spans="1:43">
      <c r="A457" s="60">
        <v>170072</v>
      </c>
      <c r="B457" s="60" t="s">
        <v>724</v>
      </c>
      <c r="C457" s="60"/>
      <c r="D457" s="60"/>
      <c r="E457" s="60"/>
      <c r="F457" s="60">
        <v>0</v>
      </c>
      <c r="G457" s="60">
        <v>0</v>
      </c>
      <c r="H457" s="60" t="s">
        <v>45</v>
      </c>
      <c r="I457" s="60">
        <v>7</v>
      </c>
      <c r="J457" s="60">
        <v>0</v>
      </c>
      <c r="K457" s="60" t="s">
        <v>46</v>
      </c>
      <c r="L457" s="60" t="s">
        <v>47</v>
      </c>
      <c r="M457" s="94">
        <v>1010113</v>
      </c>
      <c r="N457" s="60">
        <v>0</v>
      </c>
      <c r="O457" s="60" t="s">
        <v>48</v>
      </c>
      <c r="P457" s="60">
        <v>0</v>
      </c>
      <c r="Q457" s="60"/>
      <c r="R457" s="60"/>
      <c r="S457" s="60">
        <v>0</v>
      </c>
      <c r="T457" s="60">
        <v>0</v>
      </c>
      <c r="U457" s="60"/>
      <c r="V457" s="60"/>
      <c r="W457" s="60" t="s">
        <v>47</v>
      </c>
      <c r="X457" s="60"/>
      <c r="Y457" s="60"/>
      <c r="Z457" s="60" t="s">
        <v>722</v>
      </c>
      <c r="AA457" s="60"/>
      <c r="AB457" s="60" t="s">
        <v>725</v>
      </c>
      <c r="AC457" s="60">
        <v>2192</v>
      </c>
      <c r="AD457" s="60" t="s">
        <v>51</v>
      </c>
      <c r="AE457" s="60" t="s">
        <v>51</v>
      </c>
      <c r="AF457" s="60" t="s">
        <v>51</v>
      </c>
      <c r="AG457" s="60"/>
      <c r="AH457" s="60" t="s">
        <v>52</v>
      </c>
      <c r="AI457" s="60">
        <v>0</v>
      </c>
      <c r="AJ457" s="60"/>
      <c r="AK457" s="60"/>
      <c r="AL457" s="60"/>
      <c r="AM457" s="60"/>
      <c r="AN457" s="60" t="s">
        <v>47</v>
      </c>
      <c r="AO457" s="60">
        <v>2355</v>
      </c>
      <c r="AP457" s="60" t="s">
        <v>53</v>
      </c>
      <c r="AQ457" s="2">
        <v>0</v>
      </c>
    </row>
    <row r="458" s="19" customFormat="1" ht="12" spans="1:43">
      <c r="A458" s="89">
        <v>170073</v>
      </c>
      <c r="B458" s="89" t="s">
        <v>726</v>
      </c>
      <c r="C458" s="89"/>
      <c r="D458" s="89"/>
      <c r="E458" s="89"/>
      <c r="F458" s="89">
        <v>0</v>
      </c>
      <c r="G458" s="89">
        <v>0</v>
      </c>
      <c r="H458" s="89" t="s">
        <v>45</v>
      </c>
      <c r="I458" s="89">
        <v>7</v>
      </c>
      <c r="J458" s="89">
        <v>0</v>
      </c>
      <c r="K458" s="89" t="s">
        <v>46</v>
      </c>
      <c r="L458" s="89" t="s">
        <v>47</v>
      </c>
      <c r="M458" s="95">
        <v>1010114</v>
      </c>
      <c r="N458" s="89">
        <v>0</v>
      </c>
      <c r="O458" s="89" t="s">
        <v>48</v>
      </c>
      <c r="P458" s="89">
        <v>0</v>
      </c>
      <c r="Q458" s="89"/>
      <c r="R458" s="89"/>
      <c r="S458" s="89">
        <v>0</v>
      </c>
      <c r="T458" s="89">
        <v>0</v>
      </c>
      <c r="U458" s="89"/>
      <c r="V458" s="89"/>
      <c r="W458" s="89" t="s">
        <v>47</v>
      </c>
      <c r="X458" s="89"/>
      <c r="Y458" s="89"/>
      <c r="Z458" s="89" t="s">
        <v>722</v>
      </c>
      <c r="AA458" s="89"/>
      <c r="AB458" s="89" t="s">
        <v>727</v>
      </c>
      <c r="AC458" s="89">
        <v>2192</v>
      </c>
      <c r="AD458" s="89" t="s">
        <v>51</v>
      </c>
      <c r="AE458" s="89" t="s">
        <v>51</v>
      </c>
      <c r="AF458" s="89" t="s">
        <v>51</v>
      </c>
      <c r="AG458" s="89"/>
      <c r="AH458" s="89" t="s">
        <v>52</v>
      </c>
      <c r="AI458" s="89">
        <v>0</v>
      </c>
      <c r="AJ458" s="89"/>
      <c r="AK458" s="89"/>
      <c r="AL458" s="89"/>
      <c r="AM458" s="89"/>
      <c r="AN458" s="89" t="s">
        <v>47</v>
      </c>
      <c r="AO458" s="89">
        <v>2356</v>
      </c>
      <c r="AP458" s="89" t="s">
        <v>53</v>
      </c>
      <c r="AQ458" s="19">
        <v>0</v>
      </c>
    </row>
    <row r="459" s="8" customFormat="1" ht="12" spans="1:43">
      <c r="A459" s="60">
        <v>170074</v>
      </c>
      <c r="B459" s="60" t="s">
        <v>728</v>
      </c>
      <c r="C459" s="60"/>
      <c r="D459" s="60"/>
      <c r="E459" s="60"/>
      <c r="F459" s="60">
        <v>0</v>
      </c>
      <c r="G459" s="60">
        <v>0</v>
      </c>
      <c r="H459" s="60" t="s">
        <v>45</v>
      </c>
      <c r="I459" s="60">
        <v>7</v>
      </c>
      <c r="J459" s="60">
        <v>0</v>
      </c>
      <c r="K459" s="60" t="s">
        <v>46</v>
      </c>
      <c r="L459" s="60" t="s">
        <v>47</v>
      </c>
      <c r="M459" s="94">
        <v>1010121</v>
      </c>
      <c r="N459" s="60">
        <v>0</v>
      </c>
      <c r="O459" s="60" t="s">
        <v>48</v>
      </c>
      <c r="P459" s="60">
        <v>0</v>
      </c>
      <c r="Q459" s="60"/>
      <c r="R459" s="60"/>
      <c r="S459" s="60">
        <v>0</v>
      </c>
      <c r="T459" s="60">
        <v>0</v>
      </c>
      <c r="U459" s="60"/>
      <c r="V459" s="60"/>
      <c r="W459" s="60" t="s">
        <v>47</v>
      </c>
      <c r="X459" s="60"/>
      <c r="Y459" s="60"/>
      <c r="Z459" s="60" t="s">
        <v>722</v>
      </c>
      <c r="AA459" s="60"/>
      <c r="AB459" s="60" t="s">
        <v>729</v>
      </c>
      <c r="AC459" s="60">
        <v>2192</v>
      </c>
      <c r="AD459" s="60" t="s">
        <v>51</v>
      </c>
      <c r="AE459" s="60" t="s">
        <v>51</v>
      </c>
      <c r="AF459" s="60" t="s">
        <v>51</v>
      </c>
      <c r="AG459" s="60"/>
      <c r="AH459" s="60" t="s">
        <v>52</v>
      </c>
      <c r="AI459" s="60">
        <v>0</v>
      </c>
      <c r="AJ459" s="60"/>
      <c r="AK459" s="60"/>
      <c r="AL459" s="60"/>
      <c r="AM459" s="60"/>
      <c r="AN459" s="60" t="s">
        <v>47</v>
      </c>
      <c r="AO459" s="60">
        <v>2357</v>
      </c>
      <c r="AP459" s="60" t="s">
        <v>53</v>
      </c>
      <c r="AQ459" s="2">
        <v>0</v>
      </c>
    </row>
    <row r="460" s="8" customFormat="1" ht="12" spans="1:43">
      <c r="A460" s="60">
        <v>170075</v>
      </c>
      <c r="B460" s="60" t="s">
        <v>730</v>
      </c>
      <c r="C460" s="60"/>
      <c r="D460" s="60"/>
      <c r="E460" s="60"/>
      <c r="F460" s="60">
        <v>0</v>
      </c>
      <c r="G460" s="60">
        <v>0</v>
      </c>
      <c r="H460" s="60" t="s">
        <v>45</v>
      </c>
      <c r="I460" s="60">
        <v>7</v>
      </c>
      <c r="J460" s="60">
        <v>0</v>
      </c>
      <c r="K460" s="60" t="s">
        <v>46</v>
      </c>
      <c r="L460" s="60" t="s">
        <v>47</v>
      </c>
      <c r="M460" s="96">
        <v>1010122</v>
      </c>
      <c r="N460" s="60">
        <v>0</v>
      </c>
      <c r="O460" s="60" t="s">
        <v>48</v>
      </c>
      <c r="P460" s="60">
        <v>0</v>
      </c>
      <c r="Q460" s="60"/>
      <c r="R460" s="60"/>
      <c r="S460" s="60">
        <v>0</v>
      </c>
      <c r="T460" s="60">
        <v>0</v>
      </c>
      <c r="U460" s="60"/>
      <c r="V460" s="60"/>
      <c r="W460" s="60" t="s">
        <v>47</v>
      </c>
      <c r="X460" s="60"/>
      <c r="Y460" s="60"/>
      <c r="Z460" s="60" t="s">
        <v>722</v>
      </c>
      <c r="AA460" s="60"/>
      <c r="AB460" s="60" t="s">
        <v>731</v>
      </c>
      <c r="AC460" s="60">
        <v>2192</v>
      </c>
      <c r="AD460" s="60" t="s">
        <v>51</v>
      </c>
      <c r="AE460" s="60" t="s">
        <v>51</v>
      </c>
      <c r="AF460" s="60" t="s">
        <v>51</v>
      </c>
      <c r="AG460" s="60"/>
      <c r="AH460" s="60" t="s">
        <v>52</v>
      </c>
      <c r="AI460" s="60">
        <v>0</v>
      </c>
      <c r="AJ460" s="60"/>
      <c r="AK460" s="60"/>
      <c r="AL460" s="60"/>
      <c r="AM460" s="60"/>
      <c r="AN460" s="60" t="s">
        <v>47</v>
      </c>
      <c r="AO460" s="60">
        <v>2358</v>
      </c>
      <c r="AP460" s="60" t="s">
        <v>53</v>
      </c>
      <c r="AQ460" s="2">
        <v>0</v>
      </c>
    </row>
    <row r="461" s="8" customFormat="1" ht="12" spans="1:43">
      <c r="A461" s="60">
        <v>170076</v>
      </c>
      <c r="B461" s="60" t="s">
        <v>732</v>
      </c>
      <c r="C461" s="60"/>
      <c r="D461" s="60"/>
      <c r="E461" s="60"/>
      <c r="F461" s="60">
        <v>0</v>
      </c>
      <c r="G461" s="60">
        <v>0</v>
      </c>
      <c r="H461" s="60" t="s">
        <v>45</v>
      </c>
      <c r="I461" s="60">
        <v>7</v>
      </c>
      <c r="J461" s="60">
        <v>0</v>
      </c>
      <c r="K461" s="60" t="s">
        <v>46</v>
      </c>
      <c r="L461" s="60" t="s">
        <v>47</v>
      </c>
      <c r="M461" s="96">
        <v>1010124</v>
      </c>
      <c r="N461" s="60">
        <v>0</v>
      </c>
      <c r="O461" s="60" t="s">
        <v>48</v>
      </c>
      <c r="P461" s="60">
        <v>0</v>
      </c>
      <c r="Q461" s="60"/>
      <c r="R461" s="60"/>
      <c r="S461" s="60">
        <v>0</v>
      </c>
      <c r="T461" s="60">
        <v>0</v>
      </c>
      <c r="U461" s="60"/>
      <c r="V461" s="60"/>
      <c r="W461" s="60" t="s">
        <v>47</v>
      </c>
      <c r="X461" s="60"/>
      <c r="Y461" s="60"/>
      <c r="Z461" s="60" t="s">
        <v>722</v>
      </c>
      <c r="AA461" s="60"/>
      <c r="AB461" s="60" t="s">
        <v>733</v>
      </c>
      <c r="AC461" s="60">
        <v>2192</v>
      </c>
      <c r="AD461" s="60" t="s">
        <v>51</v>
      </c>
      <c r="AE461" s="60" t="s">
        <v>51</v>
      </c>
      <c r="AF461" s="60" t="s">
        <v>51</v>
      </c>
      <c r="AG461" s="60"/>
      <c r="AH461" s="60" t="s">
        <v>52</v>
      </c>
      <c r="AI461" s="60">
        <v>0</v>
      </c>
      <c r="AJ461" s="60"/>
      <c r="AK461" s="60"/>
      <c r="AL461" s="60"/>
      <c r="AM461" s="60"/>
      <c r="AN461" s="60" t="s">
        <v>47</v>
      </c>
      <c r="AO461" s="60">
        <v>2359</v>
      </c>
      <c r="AP461" s="60" t="s">
        <v>53</v>
      </c>
      <c r="AQ461" s="2">
        <v>0</v>
      </c>
    </row>
    <row r="462" s="8" customFormat="1" ht="12.75" spans="1:43">
      <c r="A462" s="60">
        <v>170077</v>
      </c>
      <c r="B462" s="60" t="s">
        <v>734</v>
      </c>
      <c r="C462" s="60"/>
      <c r="D462" s="60"/>
      <c r="E462" s="60"/>
      <c r="F462" s="60">
        <v>0</v>
      </c>
      <c r="G462" s="60">
        <v>0</v>
      </c>
      <c r="H462" s="60" t="s">
        <v>45</v>
      </c>
      <c r="I462" s="60">
        <v>7</v>
      </c>
      <c r="J462" s="60">
        <v>0</v>
      </c>
      <c r="K462" s="60" t="s">
        <v>46</v>
      </c>
      <c r="L462" s="60" t="s">
        <v>47</v>
      </c>
      <c r="M462" s="54">
        <v>1010171</v>
      </c>
      <c r="N462" s="60">
        <v>0</v>
      </c>
      <c r="O462" s="60" t="s">
        <v>48</v>
      </c>
      <c r="P462" s="60">
        <v>0</v>
      </c>
      <c r="Q462" s="60"/>
      <c r="R462" s="60"/>
      <c r="S462" s="60">
        <v>0</v>
      </c>
      <c r="T462" s="60">
        <v>0</v>
      </c>
      <c r="U462" s="60"/>
      <c r="V462" s="60"/>
      <c r="W462" s="60" t="s">
        <v>47</v>
      </c>
      <c r="X462" s="60"/>
      <c r="Y462" s="60"/>
      <c r="Z462" s="60" t="s">
        <v>722</v>
      </c>
      <c r="AA462" s="60"/>
      <c r="AB462" s="60" t="s">
        <v>735</v>
      </c>
      <c r="AC462" s="60">
        <v>2192</v>
      </c>
      <c r="AD462" s="60" t="s">
        <v>51</v>
      </c>
      <c r="AE462" s="60" t="s">
        <v>51</v>
      </c>
      <c r="AF462" s="60" t="s">
        <v>51</v>
      </c>
      <c r="AG462" s="60"/>
      <c r="AH462" s="60" t="s">
        <v>52</v>
      </c>
      <c r="AI462" s="60">
        <v>0</v>
      </c>
      <c r="AJ462" s="60"/>
      <c r="AK462" s="60"/>
      <c r="AL462" s="60"/>
      <c r="AM462" s="60"/>
      <c r="AN462" s="60" t="s">
        <v>47</v>
      </c>
      <c r="AO462" s="60">
        <v>2360</v>
      </c>
      <c r="AP462" s="60" t="s">
        <v>53</v>
      </c>
      <c r="AQ462" s="2">
        <v>0</v>
      </c>
    </row>
    <row r="463" s="8" customFormat="1" ht="12" spans="1:43">
      <c r="A463" s="60">
        <v>170078</v>
      </c>
      <c r="B463" s="60" t="s">
        <v>736</v>
      </c>
      <c r="C463" s="60"/>
      <c r="D463" s="60"/>
      <c r="E463" s="60"/>
      <c r="F463" s="60">
        <v>0</v>
      </c>
      <c r="G463" s="60">
        <v>0</v>
      </c>
      <c r="H463" s="60" t="s">
        <v>45</v>
      </c>
      <c r="I463" s="60">
        <v>7</v>
      </c>
      <c r="J463" s="60">
        <v>0</v>
      </c>
      <c r="K463" s="60" t="s">
        <v>46</v>
      </c>
      <c r="L463" s="60" t="s">
        <v>47</v>
      </c>
      <c r="M463" s="96">
        <v>1010125</v>
      </c>
      <c r="N463" s="60">
        <v>0</v>
      </c>
      <c r="O463" s="60" t="s">
        <v>48</v>
      </c>
      <c r="P463" s="60">
        <v>0</v>
      </c>
      <c r="Q463" s="60"/>
      <c r="R463" s="60"/>
      <c r="S463" s="60">
        <v>0</v>
      </c>
      <c r="T463" s="60">
        <v>0</v>
      </c>
      <c r="U463" s="60"/>
      <c r="V463" s="60"/>
      <c r="W463" s="60" t="s">
        <v>47</v>
      </c>
      <c r="X463" s="60"/>
      <c r="Y463" s="60"/>
      <c r="Z463" s="60" t="s">
        <v>722</v>
      </c>
      <c r="AA463" s="60"/>
      <c r="AB463" s="60" t="s">
        <v>737</v>
      </c>
      <c r="AC463" s="60">
        <v>2192</v>
      </c>
      <c r="AD463" s="60" t="s">
        <v>51</v>
      </c>
      <c r="AE463" s="60" t="s">
        <v>51</v>
      </c>
      <c r="AF463" s="60" t="s">
        <v>51</v>
      </c>
      <c r="AG463" s="60"/>
      <c r="AH463" s="60" t="s">
        <v>52</v>
      </c>
      <c r="AI463" s="60">
        <v>0</v>
      </c>
      <c r="AJ463" s="60"/>
      <c r="AK463" s="60"/>
      <c r="AL463" s="60"/>
      <c r="AM463" s="60"/>
      <c r="AN463" s="60" t="s">
        <v>47</v>
      </c>
      <c r="AO463" s="60">
        <v>2361</v>
      </c>
      <c r="AP463" s="60" t="s">
        <v>53</v>
      </c>
      <c r="AQ463" s="2">
        <v>0</v>
      </c>
    </row>
    <row r="464" s="8" customFormat="1" ht="12" spans="1:43">
      <c r="A464" s="60">
        <v>170079</v>
      </c>
      <c r="B464" s="60" t="s">
        <v>738</v>
      </c>
      <c r="C464" s="60"/>
      <c r="D464" s="60"/>
      <c r="E464" s="60"/>
      <c r="F464" s="60">
        <v>0</v>
      </c>
      <c r="G464" s="60">
        <v>0</v>
      </c>
      <c r="H464" s="60" t="s">
        <v>45</v>
      </c>
      <c r="I464" s="60">
        <v>7</v>
      </c>
      <c r="J464" s="60">
        <v>0</v>
      </c>
      <c r="K464" s="60" t="s">
        <v>46</v>
      </c>
      <c r="L464" s="60" t="s">
        <v>47</v>
      </c>
      <c r="M464" s="94">
        <v>1010126</v>
      </c>
      <c r="N464" s="60">
        <v>0</v>
      </c>
      <c r="O464" s="60" t="s">
        <v>48</v>
      </c>
      <c r="P464" s="60">
        <v>0</v>
      </c>
      <c r="Q464" s="60"/>
      <c r="R464" s="60"/>
      <c r="S464" s="60">
        <v>0</v>
      </c>
      <c r="T464" s="60">
        <v>0</v>
      </c>
      <c r="U464" s="60"/>
      <c r="V464" s="60"/>
      <c r="W464" s="60" t="s">
        <v>47</v>
      </c>
      <c r="X464" s="60"/>
      <c r="Y464" s="60"/>
      <c r="Z464" s="60" t="s">
        <v>722</v>
      </c>
      <c r="AA464" s="60"/>
      <c r="AB464" s="60" t="s">
        <v>739</v>
      </c>
      <c r="AC464" s="60">
        <v>2192</v>
      </c>
      <c r="AD464" s="60" t="s">
        <v>51</v>
      </c>
      <c r="AE464" s="60" t="s">
        <v>51</v>
      </c>
      <c r="AF464" s="60" t="s">
        <v>51</v>
      </c>
      <c r="AG464" s="60"/>
      <c r="AH464" s="60" t="s">
        <v>52</v>
      </c>
      <c r="AI464" s="60">
        <v>0</v>
      </c>
      <c r="AJ464" s="60"/>
      <c r="AK464" s="60"/>
      <c r="AL464" s="60"/>
      <c r="AM464" s="60"/>
      <c r="AN464" s="60" t="s">
        <v>47</v>
      </c>
      <c r="AO464" s="60">
        <v>2362</v>
      </c>
      <c r="AP464" s="60" t="s">
        <v>53</v>
      </c>
      <c r="AQ464" s="2">
        <v>0</v>
      </c>
    </row>
    <row r="465" s="8" customFormat="1" ht="12" spans="1:43">
      <c r="A465" s="60">
        <v>170080</v>
      </c>
      <c r="B465" s="60" t="s">
        <v>740</v>
      </c>
      <c r="C465" s="60"/>
      <c r="D465" s="60"/>
      <c r="E465" s="60"/>
      <c r="F465" s="60">
        <v>0</v>
      </c>
      <c r="G465" s="60">
        <v>0</v>
      </c>
      <c r="H465" s="60" t="s">
        <v>45</v>
      </c>
      <c r="I465" s="60">
        <v>7</v>
      </c>
      <c r="J465" s="60">
        <v>0</v>
      </c>
      <c r="K465" s="60" t="s">
        <v>46</v>
      </c>
      <c r="L465" s="60" t="s">
        <v>47</v>
      </c>
      <c r="M465" s="94">
        <v>1010156</v>
      </c>
      <c r="N465" s="60">
        <v>0</v>
      </c>
      <c r="O465" s="60" t="s">
        <v>48</v>
      </c>
      <c r="P465" s="60">
        <v>0</v>
      </c>
      <c r="Q465" s="60"/>
      <c r="R465" s="60"/>
      <c r="S465" s="60">
        <v>0</v>
      </c>
      <c r="T465" s="60">
        <v>0</v>
      </c>
      <c r="U465" s="60"/>
      <c r="V465" s="60"/>
      <c r="W465" s="60" t="s">
        <v>47</v>
      </c>
      <c r="X465" s="60"/>
      <c r="Y465" s="60"/>
      <c r="Z465" s="60" t="s">
        <v>722</v>
      </c>
      <c r="AA465" s="60"/>
      <c r="AB465" s="60" t="s">
        <v>741</v>
      </c>
      <c r="AC465" s="60">
        <v>2192</v>
      </c>
      <c r="AD465" s="60" t="s">
        <v>51</v>
      </c>
      <c r="AE465" s="60" t="s">
        <v>51</v>
      </c>
      <c r="AF465" s="60" t="s">
        <v>51</v>
      </c>
      <c r="AG465" s="60"/>
      <c r="AH465" s="60" t="s">
        <v>52</v>
      </c>
      <c r="AI465" s="60">
        <v>0</v>
      </c>
      <c r="AJ465" s="60"/>
      <c r="AK465" s="60"/>
      <c r="AL465" s="60"/>
      <c r="AM465" s="60"/>
      <c r="AN465" s="60" t="s">
        <v>47</v>
      </c>
      <c r="AO465" s="60">
        <v>2363</v>
      </c>
      <c r="AP465" s="60" t="s">
        <v>53</v>
      </c>
      <c r="AQ465" s="2">
        <v>0</v>
      </c>
    </row>
    <row r="466" s="8" customFormat="1" ht="12" spans="1:43">
      <c r="A466" s="60">
        <v>170081</v>
      </c>
      <c r="B466" s="60" t="s">
        <v>742</v>
      </c>
      <c r="C466" s="60"/>
      <c r="D466" s="60"/>
      <c r="E466" s="60"/>
      <c r="F466" s="60">
        <v>0</v>
      </c>
      <c r="G466" s="60">
        <v>0</v>
      </c>
      <c r="H466" s="60" t="s">
        <v>45</v>
      </c>
      <c r="I466" s="60">
        <v>7</v>
      </c>
      <c r="J466" s="60">
        <v>0</v>
      </c>
      <c r="K466" s="60" t="s">
        <v>46</v>
      </c>
      <c r="L466" s="60" t="s">
        <v>47</v>
      </c>
      <c r="M466" s="94">
        <v>1010129</v>
      </c>
      <c r="N466" s="60">
        <v>0</v>
      </c>
      <c r="O466" s="60" t="s">
        <v>48</v>
      </c>
      <c r="P466" s="60">
        <v>0</v>
      </c>
      <c r="Q466" s="60"/>
      <c r="R466" s="60"/>
      <c r="S466" s="60">
        <v>0</v>
      </c>
      <c r="T466" s="60">
        <v>0</v>
      </c>
      <c r="U466" s="60"/>
      <c r="V466" s="60"/>
      <c r="W466" s="60" t="s">
        <v>47</v>
      </c>
      <c r="X466" s="60"/>
      <c r="Y466" s="60"/>
      <c r="Z466" s="60" t="s">
        <v>722</v>
      </c>
      <c r="AA466" s="60"/>
      <c r="AB466" s="60" t="s">
        <v>743</v>
      </c>
      <c r="AC466" s="60">
        <v>2192</v>
      </c>
      <c r="AD466" s="60" t="s">
        <v>51</v>
      </c>
      <c r="AE466" s="60" t="s">
        <v>51</v>
      </c>
      <c r="AF466" s="60" t="s">
        <v>51</v>
      </c>
      <c r="AG466" s="60"/>
      <c r="AH466" s="60" t="s">
        <v>52</v>
      </c>
      <c r="AI466" s="60">
        <v>0</v>
      </c>
      <c r="AJ466" s="60"/>
      <c r="AK466" s="60"/>
      <c r="AL466" s="60"/>
      <c r="AM466" s="60"/>
      <c r="AN466" s="60" t="s">
        <v>47</v>
      </c>
      <c r="AO466" s="60">
        <v>2364</v>
      </c>
      <c r="AP466" s="60" t="s">
        <v>53</v>
      </c>
      <c r="AQ466" s="2">
        <v>0</v>
      </c>
    </row>
    <row r="467" s="8" customFormat="1" ht="12" spans="1:43">
      <c r="A467" s="60">
        <v>170082</v>
      </c>
      <c r="B467" s="60" t="s">
        <v>744</v>
      </c>
      <c r="C467" s="60"/>
      <c r="D467" s="60"/>
      <c r="E467" s="60"/>
      <c r="F467" s="60">
        <v>0</v>
      </c>
      <c r="G467" s="60">
        <v>0</v>
      </c>
      <c r="H467" s="60" t="s">
        <v>45</v>
      </c>
      <c r="I467" s="60">
        <v>7</v>
      </c>
      <c r="J467" s="60">
        <v>0</v>
      </c>
      <c r="K467" s="60" t="s">
        <v>46</v>
      </c>
      <c r="L467" s="60" t="s">
        <v>47</v>
      </c>
      <c r="M467" s="94">
        <v>1010133</v>
      </c>
      <c r="N467" s="60">
        <v>0</v>
      </c>
      <c r="O467" s="60" t="s">
        <v>48</v>
      </c>
      <c r="P467" s="60">
        <v>0</v>
      </c>
      <c r="Q467" s="60"/>
      <c r="R467" s="60"/>
      <c r="S467" s="60">
        <v>0</v>
      </c>
      <c r="T467" s="60">
        <v>0</v>
      </c>
      <c r="U467" s="60"/>
      <c r="V467" s="60"/>
      <c r="W467" s="60" t="s">
        <v>47</v>
      </c>
      <c r="X467" s="60"/>
      <c r="Y467" s="60"/>
      <c r="Z467" s="60" t="s">
        <v>722</v>
      </c>
      <c r="AA467" s="60"/>
      <c r="AB467" s="60" t="s">
        <v>745</v>
      </c>
      <c r="AC467" s="60">
        <v>2192</v>
      </c>
      <c r="AD467" s="60" t="s">
        <v>51</v>
      </c>
      <c r="AE467" s="60" t="s">
        <v>51</v>
      </c>
      <c r="AF467" s="60" t="s">
        <v>51</v>
      </c>
      <c r="AG467" s="60"/>
      <c r="AH467" s="60" t="s">
        <v>52</v>
      </c>
      <c r="AI467" s="60">
        <v>0</v>
      </c>
      <c r="AJ467" s="60"/>
      <c r="AK467" s="60"/>
      <c r="AL467" s="60"/>
      <c r="AM467" s="60"/>
      <c r="AN467" s="60" t="s">
        <v>47</v>
      </c>
      <c r="AO467" s="60">
        <v>2365</v>
      </c>
      <c r="AP467" s="60" t="s">
        <v>53</v>
      </c>
      <c r="AQ467" s="2">
        <v>0</v>
      </c>
    </row>
    <row r="468" s="8" customFormat="1" ht="12" spans="1:43">
      <c r="A468" s="60">
        <v>170083</v>
      </c>
      <c r="B468" s="60" t="s">
        <v>746</v>
      </c>
      <c r="C468" s="60"/>
      <c r="D468" s="60"/>
      <c r="E468" s="60"/>
      <c r="F468" s="60">
        <v>0</v>
      </c>
      <c r="G468" s="60">
        <v>0</v>
      </c>
      <c r="H468" s="60" t="s">
        <v>45</v>
      </c>
      <c r="I468" s="60">
        <v>7</v>
      </c>
      <c r="J468" s="60">
        <v>0</v>
      </c>
      <c r="K468" s="60" t="s">
        <v>46</v>
      </c>
      <c r="L468" s="60" t="s">
        <v>47</v>
      </c>
      <c r="M468" s="96">
        <v>1010134</v>
      </c>
      <c r="N468" s="60">
        <v>0</v>
      </c>
      <c r="O468" s="60" t="s">
        <v>48</v>
      </c>
      <c r="P468" s="60">
        <v>0</v>
      </c>
      <c r="Q468" s="60"/>
      <c r="R468" s="60"/>
      <c r="S468" s="60">
        <v>0</v>
      </c>
      <c r="T468" s="60">
        <v>0</v>
      </c>
      <c r="U468" s="60"/>
      <c r="V468" s="60"/>
      <c r="W468" s="60" t="s">
        <v>47</v>
      </c>
      <c r="X468" s="60"/>
      <c r="Y468" s="60"/>
      <c r="Z468" s="60" t="s">
        <v>722</v>
      </c>
      <c r="AA468" s="60"/>
      <c r="AB468" s="60" t="s">
        <v>747</v>
      </c>
      <c r="AC468" s="60">
        <v>2192</v>
      </c>
      <c r="AD468" s="60" t="s">
        <v>51</v>
      </c>
      <c r="AE468" s="60" t="s">
        <v>51</v>
      </c>
      <c r="AF468" s="60" t="s">
        <v>51</v>
      </c>
      <c r="AG468" s="60"/>
      <c r="AH468" s="60" t="s">
        <v>52</v>
      </c>
      <c r="AI468" s="60">
        <v>0</v>
      </c>
      <c r="AJ468" s="60"/>
      <c r="AK468" s="60"/>
      <c r="AL468" s="60"/>
      <c r="AM468" s="60"/>
      <c r="AN468" s="60" t="s">
        <v>47</v>
      </c>
      <c r="AO468" s="60">
        <v>2366</v>
      </c>
      <c r="AP468" s="60" t="s">
        <v>53</v>
      </c>
      <c r="AQ468" s="2">
        <v>0</v>
      </c>
    </row>
    <row r="469" s="8" customFormat="1" ht="12" spans="1:43">
      <c r="A469" s="60">
        <v>170084</v>
      </c>
      <c r="B469" s="60" t="s">
        <v>740</v>
      </c>
      <c r="C469" s="60"/>
      <c r="D469" s="60"/>
      <c r="E469" s="60"/>
      <c r="F469" s="60">
        <v>0</v>
      </c>
      <c r="G469" s="60">
        <v>0</v>
      </c>
      <c r="H469" s="60" t="s">
        <v>45</v>
      </c>
      <c r="I469" s="60">
        <v>7</v>
      </c>
      <c r="J469" s="60">
        <v>0</v>
      </c>
      <c r="K469" s="60" t="s">
        <v>46</v>
      </c>
      <c r="L469" s="60" t="s">
        <v>47</v>
      </c>
      <c r="M469" s="96">
        <v>1010135</v>
      </c>
      <c r="N469" s="60">
        <v>0</v>
      </c>
      <c r="O469" s="60" t="s">
        <v>48</v>
      </c>
      <c r="P469" s="60">
        <v>0</v>
      </c>
      <c r="Q469" s="60"/>
      <c r="R469" s="60"/>
      <c r="S469" s="60">
        <v>0</v>
      </c>
      <c r="T469" s="60">
        <v>0</v>
      </c>
      <c r="U469" s="60"/>
      <c r="V469" s="60"/>
      <c r="W469" s="60" t="s">
        <v>47</v>
      </c>
      <c r="X469" s="60"/>
      <c r="Y469" s="60"/>
      <c r="Z469" s="60" t="s">
        <v>722</v>
      </c>
      <c r="AA469" s="60"/>
      <c r="AB469" s="60" t="s">
        <v>748</v>
      </c>
      <c r="AC469" s="60">
        <v>2192</v>
      </c>
      <c r="AD469" s="60" t="s">
        <v>51</v>
      </c>
      <c r="AE469" s="60" t="s">
        <v>51</v>
      </c>
      <c r="AF469" s="60" t="s">
        <v>51</v>
      </c>
      <c r="AG469" s="60"/>
      <c r="AH469" s="60" t="s">
        <v>52</v>
      </c>
      <c r="AI469" s="60">
        <v>0</v>
      </c>
      <c r="AJ469" s="60"/>
      <c r="AK469" s="60"/>
      <c r="AL469" s="60"/>
      <c r="AM469" s="60"/>
      <c r="AN469" s="60" t="s">
        <v>47</v>
      </c>
      <c r="AO469" s="60">
        <v>2367</v>
      </c>
      <c r="AP469" s="60" t="s">
        <v>53</v>
      </c>
      <c r="AQ469" s="2">
        <v>0</v>
      </c>
    </row>
    <row r="470" s="8" customFormat="1" ht="12" spans="1:43">
      <c r="A470" s="60">
        <v>170085</v>
      </c>
      <c r="B470" s="60" t="s">
        <v>742</v>
      </c>
      <c r="C470" s="60"/>
      <c r="D470" s="60"/>
      <c r="E470" s="60"/>
      <c r="F470" s="60">
        <v>0</v>
      </c>
      <c r="G470" s="60">
        <v>0</v>
      </c>
      <c r="H470" s="60" t="s">
        <v>45</v>
      </c>
      <c r="I470" s="60">
        <v>7</v>
      </c>
      <c r="J470" s="60">
        <v>0</v>
      </c>
      <c r="K470" s="60" t="s">
        <v>46</v>
      </c>
      <c r="L470" s="60" t="s">
        <v>47</v>
      </c>
      <c r="M470" s="94">
        <v>1010136</v>
      </c>
      <c r="N470" s="60">
        <v>0</v>
      </c>
      <c r="O470" s="60" t="s">
        <v>48</v>
      </c>
      <c r="P470" s="60">
        <v>0</v>
      </c>
      <c r="Q470" s="60"/>
      <c r="R470" s="60"/>
      <c r="S470" s="60">
        <v>0</v>
      </c>
      <c r="T470" s="60">
        <v>0</v>
      </c>
      <c r="U470" s="60"/>
      <c r="V470" s="60"/>
      <c r="W470" s="60" t="s">
        <v>47</v>
      </c>
      <c r="X470" s="60"/>
      <c r="Y470" s="60"/>
      <c r="Z470" s="60" t="s">
        <v>722</v>
      </c>
      <c r="AA470" s="60"/>
      <c r="AB470" s="60" t="s">
        <v>749</v>
      </c>
      <c r="AC470" s="60">
        <v>2192</v>
      </c>
      <c r="AD470" s="60" t="s">
        <v>51</v>
      </c>
      <c r="AE470" s="60" t="s">
        <v>51</v>
      </c>
      <c r="AF470" s="60" t="s">
        <v>51</v>
      </c>
      <c r="AG470" s="60"/>
      <c r="AH470" s="60" t="s">
        <v>52</v>
      </c>
      <c r="AI470" s="60">
        <v>0</v>
      </c>
      <c r="AJ470" s="60"/>
      <c r="AK470" s="60"/>
      <c r="AL470" s="60"/>
      <c r="AM470" s="60"/>
      <c r="AN470" s="60" t="s">
        <v>47</v>
      </c>
      <c r="AO470" s="60">
        <v>2368</v>
      </c>
      <c r="AP470" s="60" t="s">
        <v>53</v>
      </c>
      <c r="AQ470" s="2">
        <v>0</v>
      </c>
    </row>
    <row r="471" s="8" customFormat="1" ht="12" spans="1:43">
      <c r="A471" s="60">
        <v>170086</v>
      </c>
      <c r="B471" s="60" t="s">
        <v>744</v>
      </c>
      <c r="C471" s="60"/>
      <c r="D471" s="60"/>
      <c r="E471" s="60"/>
      <c r="F471" s="60">
        <v>0</v>
      </c>
      <c r="G471" s="60">
        <v>0</v>
      </c>
      <c r="H471" s="60" t="s">
        <v>45</v>
      </c>
      <c r="I471" s="60">
        <v>7</v>
      </c>
      <c r="J471" s="60">
        <v>0</v>
      </c>
      <c r="K471" s="60" t="s">
        <v>46</v>
      </c>
      <c r="L471" s="60" t="s">
        <v>47</v>
      </c>
      <c r="M471" s="96">
        <v>1010138</v>
      </c>
      <c r="N471" s="60">
        <v>0</v>
      </c>
      <c r="O471" s="60" t="s">
        <v>48</v>
      </c>
      <c r="P471" s="60">
        <v>0</v>
      </c>
      <c r="Q471" s="60"/>
      <c r="R471" s="60"/>
      <c r="S471" s="60">
        <v>0</v>
      </c>
      <c r="T471" s="60">
        <v>0</v>
      </c>
      <c r="U471" s="60"/>
      <c r="V471" s="60"/>
      <c r="W471" s="60" t="s">
        <v>47</v>
      </c>
      <c r="X471" s="60"/>
      <c r="Y471" s="60"/>
      <c r="Z471" s="60" t="s">
        <v>722</v>
      </c>
      <c r="AA471" s="60"/>
      <c r="AB471" s="60" t="s">
        <v>750</v>
      </c>
      <c r="AC471" s="60">
        <v>2192</v>
      </c>
      <c r="AD471" s="60" t="s">
        <v>51</v>
      </c>
      <c r="AE471" s="60" t="s">
        <v>51</v>
      </c>
      <c r="AF471" s="60" t="s">
        <v>51</v>
      </c>
      <c r="AG471" s="60"/>
      <c r="AH471" s="60" t="s">
        <v>52</v>
      </c>
      <c r="AI471" s="60">
        <v>0</v>
      </c>
      <c r="AJ471" s="60"/>
      <c r="AK471" s="60"/>
      <c r="AL471" s="60"/>
      <c r="AM471" s="60"/>
      <c r="AN471" s="60" t="s">
        <v>47</v>
      </c>
      <c r="AO471" s="60">
        <v>2369</v>
      </c>
      <c r="AP471" s="60" t="s">
        <v>53</v>
      </c>
      <c r="AQ471" s="2">
        <v>0</v>
      </c>
    </row>
    <row r="472" s="8" customFormat="1" ht="12" spans="1:43">
      <c r="A472" s="60">
        <v>170087</v>
      </c>
      <c r="B472" s="60" t="s">
        <v>746</v>
      </c>
      <c r="C472" s="60"/>
      <c r="D472" s="60"/>
      <c r="E472" s="60"/>
      <c r="F472" s="60">
        <v>0</v>
      </c>
      <c r="G472" s="60">
        <v>0</v>
      </c>
      <c r="H472" s="60" t="s">
        <v>45</v>
      </c>
      <c r="I472" s="60">
        <v>7</v>
      </c>
      <c r="J472" s="60">
        <v>0</v>
      </c>
      <c r="K472" s="60" t="s">
        <v>46</v>
      </c>
      <c r="L472" s="60" t="s">
        <v>47</v>
      </c>
      <c r="M472" s="96">
        <v>1010140</v>
      </c>
      <c r="N472" s="60">
        <v>0</v>
      </c>
      <c r="O472" s="60" t="s">
        <v>48</v>
      </c>
      <c r="P472" s="60">
        <v>0</v>
      </c>
      <c r="Q472" s="60"/>
      <c r="R472" s="60"/>
      <c r="S472" s="60">
        <v>0</v>
      </c>
      <c r="T472" s="60">
        <v>0</v>
      </c>
      <c r="U472" s="60"/>
      <c r="V472" s="60"/>
      <c r="W472" s="60" t="s">
        <v>47</v>
      </c>
      <c r="X472" s="60"/>
      <c r="Y472" s="60"/>
      <c r="Z472" s="60" t="s">
        <v>722</v>
      </c>
      <c r="AA472" s="60"/>
      <c r="AB472" s="60" t="s">
        <v>751</v>
      </c>
      <c r="AC472" s="60">
        <v>2192</v>
      </c>
      <c r="AD472" s="60" t="s">
        <v>51</v>
      </c>
      <c r="AE472" s="60" t="s">
        <v>51</v>
      </c>
      <c r="AF472" s="60" t="s">
        <v>51</v>
      </c>
      <c r="AG472" s="60"/>
      <c r="AH472" s="60" t="s">
        <v>52</v>
      </c>
      <c r="AI472" s="60">
        <v>0</v>
      </c>
      <c r="AJ472" s="60"/>
      <c r="AK472" s="60"/>
      <c r="AL472" s="60"/>
      <c r="AM472" s="60"/>
      <c r="AN472" s="60" t="s">
        <v>47</v>
      </c>
      <c r="AO472" s="60">
        <v>2370</v>
      </c>
      <c r="AP472" s="60" t="s">
        <v>53</v>
      </c>
      <c r="AQ472" s="2">
        <v>0</v>
      </c>
    </row>
    <row r="473" s="8" customFormat="1" ht="12" spans="1:43">
      <c r="A473" s="60">
        <v>170088</v>
      </c>
      <c r="B473" s="60" t="s">
        <v>740</v>
      </c>
      <c r="C473" s="60"/>
      <c r="D473" s="60"/>
      <c r="E473" s="60"/>
      <c r="F473" s="60">
        <v>0</v>
      </c>
      <c r="G473" s="60">
        <v>0</v>
      </c>
      <c r="H473" s="60" t="s">
        <v>45</v>
      </c>
      <c r="I473" s="60">
        <v>7</v>
      </c>
      <c r="J473" s="60">
        <v>0</v>
      </c>
      <c r="K473" s="60" t="s">
        <v>46</v>
      </c>
      <c r="L473" s="60" t="s">
        <v>47</v>
      </c>
      <c r="M473" s="96">
        <v>1010142</v>
      </c>
      <c r="N473" s="60">
        <v>0</v>
      </c>
      <c r="O473" s="60" t="s">
        <v>48</v>
      </c>
      <c r="P473" s="60">
        <v>0</v>
      </c>
      <c r="Q473" s="60"/>
      <c r="R473" s="60"/>
      <c r="S473" s="60">
        <v>0</v>
      </c>
      <c r="T473" s="60">
        <v>0</v>
      </c>
      <c r="U473" s="60"/>
      <c r="V473" s="60"/>
      <c r="W473" s="60" t="s">
        <v>47</v>
      </c>
      <c r="X473" s="60"/>
      <c r="Y473" s="60"/>
      <c r="Z473" s="60" t="s">
        <v>722</v>
      </c>
      <c r="AA473" s="60"/>
      <c r="AB473" s="60" t="s">
        <v>752</v>
      </c>
      <c r="AC473" s="60">
        <v>2192</v>
      </c>
      <c r="AD473" s="60" t="s">
        <v>51</v>
      </c>
      <c r="AE473" s="60" t="s">
        <v>51</v>
      </c>
      <c r="AF473" s="60" t="s">
        <v>51</v>
      </c>
      <c r="AG473" s="60"/>
      <c r="AH473" s="60" t="s">
        <v>52</v>
      </c>
      <c r="AI473" s="60">
        <v>0</v>
      </c>
      <c r="AJ473" s="60"/>
      <c r="AK473" s="60"/>
      <c r="AL473" s="60"/>
      <c r="AM473" s="60"/>
      <c r="AN473" s="60" t="s">
        <v>47</v>
      </c>
      <c r="AO473" s="60">
        <v>2371</v>
      </c>
      <c r="AP473" s="60" t="s">
        <v>53</v>
      </c>
      <c r="AQ473" s="2">
        <v>0</v>
      </c>
    </row>
    <row r="474" s="8" customFormat="1" ht="12" spans="1:43">
      <c r="A474" s="60">
        <v>170089</v>
      </c>
      <c r="B474" s="60" t="s">
        <v>742</v>
      </c>
      <c r="C474" s="60"/>
      <c r="D474" s="60"/>
      <c r="E474" s="60"/>
      <c r="F474" s="60">
        <v>0</v>
      </c>
      <c r="G474" s="60">
        <v>0</v>
      </c>
      <c r="H474" s="60" t="s">
        <v>45</v>
      </c>
      <c r="I474" s="60">
        <v>7</v>
      </c>
      <c r="J474" s="60">
        <v>0</v>
      </c>
      <c r="K474" s="60" t="s">
        <v>46</v>
      </c>
      <c r="L474" s="60" t="s">
        <v>47</v>
      </c>
      <c r="M474" s="94">
        <v>1010145</v>
      </c>
      <c r="N474" s="60">
        <v>0</v>
      </c>
      <c r="O474" s="60" t="s">
        <v>48</v>
      </c>
      <c r="P474" s="60">
        <v>0</v>
      </c>
      <c r="Q474" s="60"/>
      <c r="R474" s="60"/>
      <c r="S474" s="60">
        <v>0</v>
      </c>
      <c r="T474" s="60">
        <v>0</v>
      </c>
      <c r="U474" s="60"/>
      <c r="V474" s="60"/>
      <c r="W474" s="60" t="s">
        <v>47</v>
      </c>
      <c r="X474" s="60"/>
      <c r="Y474" s="60"/>
      <c r="Z474" s="60" t="s">
        <v>722</v>
      </c>
      <c r="AA474" s="60"/>
      <c r="AB474" s="60" t="s">
        <v>753</v>
      </c>
      <c r="AC474" s="60">
        <v>2192</v>
      </c>
      <c r="AD474" s="60" t="s">
        <v>51</v>
      </c>
      <c r="AE474" s="60" t="s">
        <v>51</v>
      </c>
      <c r="AF474" s="60" t="s">
        <v>51</v>
      </c>
      <c r="AG474" s="60"/>
      <c r="AH474" s="60" t="s">
        <v>52</v>
      </c>
      <c r="AI474" s="60">
        <v>0</v>
      </c>
      <c r="AJ474" s="60"/>
      <c r="AK474" s="60"/>
      <c r="AL474" s="60"/>
      <c r="AM474" s="60"/>
      <c r="AN474" s="60" t="s">
        <v>47</v>
      </c>
      <c r="AO474" s="60">
        <v>2372</v>
      </c>
      <c r="AP474" s="60" t="s">
        <v>53</v>
      </c>
      <c r="AQ474" s="2">
        <v>0</v>
      </c>
    </row>
    <row r="475" s="8" customFormat="1" ht="12" spans="1:43">
      <c r="A475" s="60">
        <v>170090</v>
      </c>
      <c r="B475" s="60" t="s">
        <v>744</v>
      </c>
      <c r="C475" s="60"/>
      <c r="D475" s="60"/>
      <c r="E475" s="60"/>
      <c r="F475" s="60">
        <v>0</v>
      </c>
      <c r="G475" s="60">
        <v>0</v>
      </c>
      <c r="H475" s="60" t="s">
        <v>45</v>
      </c>
      <c r="I475" s="60">
        <v>7</v>
      </c>
      <c r="J475" s="60">
        <v>0</v>
      </c>
      <c r="K475" s="60" t="s">
        <v>46</v>
      </c>
      <c r="L475" s="60" t="s">
        <v>47</v>
      </c>
      <c r="M475" s="94">
        <v>1010151</v>
      </c>
      <c r="N475" s="60">
        <v>0</v>
      </c>
      <c r="O475" s="60" t="s">
        <v>48</v>
      </c>
      <c r="P475" s="60">
        <v>0</v>
      </c>
      <c r="Q475" s="60"/>
      <c r="R475" s="60"/>
      <c r="S475" s="60">
        <v>0</v>
      </c>
      <c r="T475" s="60">
        <v>0</v>
      </c>
      <c r="U475" s="60"/>
      <c r="V475" s="60"/>
      <c r="W475" s="60" t="s">
        <v>47</v>
      </c>
      <c r="X475" s="60"/>
      <c r="Y475" s="60"/>
      <c r="Z475" s="60" t="s">
        <v>722</v>
      </c>
      <c r="AA475" s="60"/>
      <c r="AB475" s="60" t="s">
        <v>754</v>
      </c>
      <c r="AC475" s="60">
        <v>2192</v>
      </c>
      <c r="AD475" s="60" t="s">
        <v>51</v>
      </c>
      <c r="AE475" s="60" t="s">
        <v>51</v>
      </c>
      <c r="AF475" s="60" t="s">
        <v>51</v>
      </c>
      <c r="AG475" s="60"/>
      <c r="AH475" s="60" t="s">
        <v>52</v>
      </c>
      <c r="AI475" s="60">
        <v>0</v>
      </c>
      <c r="AJ475" s="60"/>
      <c r="AK475" s="60"/>
      <c r="AL475" s="60"/>
      <c r="AM475" s="60"/>
      <c r="AN475" s="60" t="s">
        <v>47</v>
      </c>
      <c r="AO475" s="60">
        <v>2373</v>
      </c>
      <c r="AP475" s="60" t="s">
        <v>53</v>
      </c>
      <c r="AQ475" s="2">
        <v>0</v>
      </c>
    </row>
    <row r="476" s="8" customFormat="1" ht="12.75" customHeight="1" spans="1:43">
      <c r="A476" s="60">
        <v>170091</v>
      </c>
      <c r="B476" s="60" t="s">
        <v>746</v>
      </c>
      <c r="C476" s="60"/>
      <c r="D476" s="60"/>
      <c r="E476" s="60"/>
      <c r="F476" s="60">
        <v>0</v>
      </c>
      <c r="G476" s="60">
        <v>0</v>
      </c>
      <c r="H476" s="60" t="s">
        <v>45</v>
      </c>
      <c r="I476" s="60">
        <v>7</v>
      </c>
      <c r="J476" s="60">
        <v>0</v>
      </c>
      <c r="K476" s="60" t="s">
        <v>46</v>
      </c>
      <c r="L476" s="60" t="s">
        <v>47</v>
      </c>
      <c r="M476" s="94">
        <v>1010153</v>
      </c>
      <c r="N476" s="60">
        <v>0</v>
      </c>
      <c r="O476" s="60" t="s">
        <v>48</v>
      </c>
      <c r="P476" s="60">
        <v>0</v>
      </c>
      <c r="Q476" s="60"/>
      <c r="R476" s="60"/>
      <c r="S476" s="60">
        <v>0</v>
      </c>
      <c r="T476" s="60">
        <v>0</v>
      </c>
      <c r="U476" s="60"/>
      <c r="V476" s="60"/>
      <c r="W476" s="60" t="s">
        <v>47</v>
      </c>
      <c r="X476" s="60"/>
      <c r="Y476" s="60"/>
      <c r="Z476" s="60" t="s">
        <v>722</v>
      </c>
      <c r="AA476" s="60"/>
      <c r="AB476" s="60" t="s">
        <v>755</v>
      </c>
      <c r="AC476" s="60">
        <v>2192</v>
      </c>
      <c r="AD476" s="60" t="s">
        <v>51</v>
      </c>
      <c r="AE476" s="60" t="s">
        <v>51</v>
      </c>
      <c r="AF476" s="60" t="s">
        <v>51</v>
      </c>
      <c r="AG476" s="60"/>
      <c r="AH476" s="60" t="s">
        <v>52</v>
      </c>
      <c r="AI476" s="60">
        <v>0</v>
      </c>
      <c r="AJ476" s="60"/>
      <c r="AK476" s="60"/>
      <c r="AL476" s="60"/>
      <c r="AM476" s="60"/>
      <c r="AN476" s="60" t="s">
        <v>47</v>
      </c>
      <c r="AO476" s="60">
        <v>2374</v>
      </c>
      <c r="AP476" s="60" t="s">
        <v>53</v>
      </c>
      <c r="AQ476" s="2">
        <v>0</v>
      </c>
    </row>
    <row r="477" s="20" customFormat="1" ht="12.75" spans="1:43">
      <c r="A477" s="90">
        <v>170092</v>
      </c>
      <c r="B477" s="90" t="s">
        <v>756</v>
      </c>
      <c r="C477" s="90"/>
      <c r="D477" s="90"/>
      <c r="E477" s="90"/>
      <c r="F477" s="90">
        <v>0</v>
      </c>
      <c r="G477" s="90">
        <v>0</v>
      </c>
      <c r="H477" s="90">
        <v>1.5</v>
      </c>
      <c r="I477" s="90">
        <v>7</v>
      </c>
      <c r="J477" s="90">
        <v>0</v>
      </c>
      <c r="K477" s="90" t="s">
        <v>46</v>
      </c>
      <c r="L477" s="90" t="s">
        <v>47</v>
      </c>
      <c r="M477" s="97">
        <v>1020112</v>
      </c>
      <c r="N477" s="90">
        <v>0</v>
      </c>
      <c r="O477" s="90" t="s">
        <v>48</v>
      </c>
      <c r="P477" s="90">
        <v>0</v>
      </c>
      <c r="Q477" s="90"/>
      <c r="R477" s="90"/>
      <c r="S477" s="90">
        <v>0</v>
      </c>
      <c r="T477" s="90">
        <v>0</v>
      </c>
      <c r="U477" s="90"/>
      <c r="V477" s="90"/>
      <c r="W477" s="90" t="s">
        <v>47</v>
      </c>
      <c r="X477" s="90"/>
      <c r="Y477" s="90"/>
      <c r="Z477" s="90" t="s">
        <v>757</v>
      </c>
      <c r="AA477" s="90"/>
      <c r="AB477" s="90" t="s">
        <v>758</v>
      </c>
      <c r="AC477" s="90">
        <v>2193</v>
      </c>
      <c r="AD477" s="90" t="s">
        <v>51</v>
      </c>
      <c r="AE477" s="90" t="s">
        <v>51</v>
      </c>
      <c r="AF477" s="90" t="s">
        <v>51</v>
      </c>
      <c r="AG477" s="90"/>
      <c r="AH477" s="90" t="s">
        <v>52</v>
      </c>
      <c r="AI477" s="90">
        <v>0</v>
      </c>
      <c r="AJ477" s="90"/>
      <c r="AK477" s="90"/>
      <c r="AL477" s="90"/>
      <c r="AM477" s="90"/>
      <c r="AN477" s="90" t="s">
        <v>47</v>
      </c>
      <c r="AO477" s="90">
        <v>2375</v>
      </c>
      <c r="AP477" s="90" t="s">
        <v>53</v>
      </c>
      <c r="AQ477" s="20">
        <v>0</v>
      </c>
    </row>
    <row r="478" s="20" customFormat="1" ht="12" spans="1:43">
      <c r="A478" s="90">
        <v>170093</v>
      </c>
      <c r="B478" s="90" t="s">
        <v>756</v>
      </c>
      <c r="C478" s="90"/>
      <c r="D478" s="90"/>
      <c r="E478" s="90"/>
      <c r="F478" s="90">
        <v>1</v>
      </c>
      <c r="G478" s="90">
        <v>0</v>
      </c>
      <c r="H478" s="90">
        <v>1.5</v>
      </c>
      <c r="I478" s="90">
        <v>7</v>
      </c>
      <c r="J478" s="90">
        <v>0</v>
      </c>
      <c r="K478" s="90" t="s">
        <v>46</v>
      </c>
      <c r="L478" s="90" t="s">
        <v>47</v>
      </c>
      <c r="M478" s="90">
        <v>1020112</v>
      </c>
      <c r="N478" s="90">
        <v>0</v>
      </c>
      <c r="O478" s="90" t="s">
        <v>48</v>
      </c>
      <c r="P478" s="90">
        <v>0</v>
      </c>
      <c r="Q478" s="90"/>
      <c r="R478" s="90"/>
      <c r="S478" s="90">
        <v>0</v>
      </c>
      <c r="T478" s="90">
        <v>0</v>
      </c>
      <c r="U478" s="90"/>
      <c r="V478" s="90"/>
      <c r="W478" s="90" t="s">
        <v>47</v>
      </c>
      <c r="X478" s="90"/>
      <c r="Y478" s="90"/>
      <c r="Z478" s="90" t="s">
        <v>757</v>
      </c>
      <c r="AA478" s="90"/>
      <c r="AB478" s="90" t="s">
        <v>759</v>
      </c>
      <c r="AC478" s="90">
        <v>2193</v>
      </c>
      <c r="AD478" s="90" t="s">
        <v>51</v>
      </c>
      <c r="AE478" s="90" t="s">
        <v>51</v>
      </c>
      <c r="AF478" s="90" t="s">
        <v>51</v>
      </c>
      <c r="AG478" s="90"/>
      <c r="AH478" s="90" t="s">
        <v>52</v>
      </c>
      <c r="AI478" s="90">
        <v>0</v>
      </c>
      <c r="AJ478" s="90"/>
      <c r="AK478" s="90"/>
      <c r="AL478" s="90"/>
      <c r="AM478" s="90"/>
      <c r="AN478" s="90" t="s">
        <v>47</v>
      </c>
      <c r="AO478" s="90">
        <v>2376</v>
      </c>
      <c r="AP478" s="90" t="s">
        <v>53</v>
      </c>
      <c r="AQ478" s="20">
        <v>0</v>
      </c>
    </row>
    <row r="479" s="20" customFormat="1" ht="12.75" spans="1:43">
      <c r="A479" s="90">
        <v>170094</v>
      </c>
      <c r="B479" s="90" t="s">
        <v>756</v>
      </c>
      <c r="C479" s="90"/>
      <c r="D479" s="90"/>
      <c r="E479" s="90"/>
      <c r="F479" s="90">
        <v>2</v>
      </c>
      <c r="G479" s="90">
        <v>0</v>
      </c>
      <c r="H479" s="90">
        <v>1.5</v>
      </c>
      <c r="I479" s="90">
        <v>7</v>
      </c>
      <c r="J479" s="90">
        <v>0</v>
      </c>
      <c r="K479" s="90" t="s">
        <v>46</v>
      </c>
      <c r="L479" s="90" t="s">
        <v>47</v>
      </c>
      <c r="M479" s="97">
        <v>1020112</v>
      </c>
      <c r="N479" s="90">
        <v>0</v>
      </c>
      <c r="O479" s="90" t="s">
        <v>48</v>
      </c>
      <c r="P479" s="90">
        <v>0</v>
      </c>
      <c r="Q479" s="90"/>
      <c r="R479" s="90"/>
      <c r="S479" s="90">
        <v>0</v>
      </c>
      <c r="T479" s="90">
        <v>0</v>
      </c>
      <c r="U479" s="90"/>
      <c r="V479" s="90"/>
      <c r="W479" s="90" t="s">
        <v>47</v>
      </c>
      <c r="X479" s="90"/>
      <c r="Y479" s="90"/>
      <c r="Z479" s="90" t="s">
        <v>757</v>
      </c>
      <c r="AA479" s="90"/>
      <c r="AB479" s="90" t="s">
        <v>760</v>
      </c>
      <c r="AC479" s="90">
        <v>2193</v>
      </c>
      <c r="AD479" s="90" t="s">
        <v>51</v>
      </c>
      <c r="AE479" s="90" t="s">
        <v>51</v>
      </c>
      <c r="AF479" s="90" t="s">
        <v>51</v>
      </c>
      <c r="AG479" s="90"/>
      <c r="AH479" s="90" t="s">
        <v>52</v>
      </c>
      <c r="AI479" s="90">
        <v>0</v>
      </c>
      <c r="AJ479" s="90"/>
      <c r="AK479" s="90"/>
      <c r="AL479" s="90"/>
      <c r="AM479" s="90"/>
      <c r="AN479" s="90" t="s">
        <v>47</v>
      </c>
      <c r="AO479" s="90">
        <v>2377</v>
      </c>
      <c r="AP479" s="90" t="s">
        <v>53</v>
      </c>
      <c r="AQ479" s="20">
        <v>0</v>
      </c>
    </row>
    <row r="480" s="20" customFormat="1" ht="12" spans="1:43">
      <c r="A480" s="90">
        <v>170095</v>
      </c>
      <c r="B480" s="90" t="s">
        <v>756</v>
      </c>
      <c r="C480" s="90"/>
      <c r="D480" s="90"/>
      <c r="E480" s="90"/>
      <c r="F480" s="90">
        <v>3</v>
      </c>
      <c r="G480" s="90">
        <v>0</v>
      </c>
      <c r="H480" s="90">
        <v>1.5</v>
      </c>
      <c r="I480" s="90">
        <v>7</v>
      </c>
      <c r="J480" s="90">
        <v>0</v>
      </c>
      <c r="K480" s="90" t="s">
        <v>46</v>
      </c>
      <c r="L480" s="90" t="s">
        <v>47</v>
      </c>
      <c r="M480" s="90">
        <v>1020112</v>
      </c>
      <c r="N480" s="90">
        <v>0</v>
      </c>
      <c r="O480" s="90" t="s">
        <v>48</v>
      </c>
      <c r="P480" s="90">
        <v>0</v>
      </c>
      <c r="Q480" s="90"/>
      <c r="R480" s="90"/>
      <c r="S480" s="90">
        <v>0</v>
      </c>
      <c r="T480" s="90">
        <v>0</v>
      </c>
      <c r="U480" s="90"/>
      <c r="V480" s="90"/>
      <c r="W480" s="90" t="s">
        <v>47</v>
      </c>
      <c r="X480" s="90"/>
      <c r="Y480" s="90"/>
      <c r="Z480" s="90" t="s">
        <v>757</v>
      </c>
      <c r="AA480" s="90"/>
      <c r="AB480" s="90" t="s">
        <v>761</v>
      </c>
      <c r="AC480" s="90">
        <v>2193</v>
      </c>
      <c r="AD480" s="90" t="s">
        <v>51</v>
      </c>
      <c r="AE480" s="90" t="s">
        <v>51</v>
      </c>
      <c r="AF480" s="90" t="s">
        <v>51</v>
      </c>
      <c r="AG480" s="90"/>
      <c r="AH480" s="90" t="s">
        <v>52</v>
      </c>
      <c r="AI480" s="90">
        <v>0</v>
      </c>
      <c r="AJ480" s="90"/>
      <c r="AK480" s="90"/>
      <c r="AL480" s="90"/>
      <c r="AM480" s="90"/>
      <c r="AN480" s="90" t="s">
        <v>47</v>
      </c>
      <c r="AO480" s="90">
        <v>2378</v>
      </c>
      <c r="AP480" s="90" t="s">
        <v>53</v>
      </c>
      <c r="AQ480" s="20">
        <v>0</v>
      </c>
    </row>
    <row r="481" s="20" customFormat="1" ht="12.75" spans="1:43">
      <c r="A481" s="90">
        <v>170096</v>
      </c>
      <c r="B481" s="90" t="s">
        <v>756</v>
      </c>
      <c r="C481" s="90"/>
      <c r="D481" s="90"/>
      <c r="E481" s="90"/>
      <c r="F481" s="90">
        <v>2</v>
      </c>
      <c r="G481" s="90">
        <v>0</v>
      </c>
      <c r="H481" s="90">
        <v>1.5</v>
      </c>
      <c r="I481" s="90">
        <v>7</v>
      </c>
      <c r="J481" s="90">
        <v>0</v>
      </c>
      <c r="K481" s="90" t="s">
        <v>46</v>
      </c>
      <c r="L481" s="90" t="s">
        <v>47</v>
      </c>
      <c r="M481" s="97">
        <v>1020112</v>
      </c>
      <c r="N481" s="90">
        <v>0</v>
      </c>
      <c r="O481" s="90" t="s">
        <v>48</v>
      </c>
      <c r="P481" s="90">
        <v>0</v>
      </c>
      <c r="Q481" s="90"/>
      <c r="R481" s="90"/>
      <c r="S481" s="90">
        <v>0</v>
      </c>
      <c r="T481" s="90">
        <v>0</v>
      </c>
      <c r="U481" s="90"/>
      <c r="V481" s="90"/>
      <c r="W481" s="90" t="s">
        <v>47</v>
      </c>
      <c r="X481" s="90"/>
      <c r="Y481" s="90"/>
      <c r="Z481" s="90" t="s">
        <v>757</v>
      </c>
      <c r="AA481" s="90"/>
      <c r="AB481" s="90" t="s">
        <v>762</v>
      </c>
      <c r="AC481" s="90">
        <v>2193</v>
      </c>
      <c r="AD481" s="90" t="s">
        <v>51</v>
      </c>
      <c r="AE481" s="90" t="s">
        <v>51</v>
      </c>
      <c r="AF481" s="90" t="s">
        <v>51</v>
      </c>
      <c r="AG481" s="90"/>
      <c r="AH481" s="90" t="s">
        <v>52</v>
      </c>
      <c r="AI481" s="90">
        <v>0</v>
      </c>
      <c r="AJ481" s="90"/>
      <c r="AK481" s="90"/>
      <c r="AL481" s="90"/>
      <c r="AM481" s="90"/>
      <c r="AN481" s="90" t="s">
        <v>47</v>
      </c>
      <c r="AO481" s="90">
        <v>2379</v>
      </c>
      <c r="AP481" s="90" t="s">
        <v>53</v>
      </c>
      <c r="AQ481" s="20">
        <v>0</v>
      </c>
    </row>
    <row r="482" s="20" customFormat="1" ht="15.75" customHeight="1" spans="1:43">
      <c r="A482" s="90">
        <v>170097</v>
      </c>
      <c r="B482" s="90" t="s">
        <v>756</v>
      </c>
      <c r="C482" s="90"/>
      <c r="D482" s="90"/>
      <c r="E482" s="90"/>
      <c r="F482" s="90">
        <v>0</v>
      </c>
      <c r="G482" s="90">
        <v>0</v>
      </c>
      <c r="H482" s="90">
        <v>1.5</v>
      </c>
      <c r="I482" s="90">
        <v>7</v>
      </c>
      <c r="J482" s="90">
        <v>0</v>
      </c>
      <c r="K482" s="90" t="s">
        <v>46</v>
      </c>
      <c r="L482" s="90" t="s">
        <v>47</v>
      </c>
      <c r="M482" s="90">
        <v>1020112</v>
      </c>
      <c r="N482" s="90">
        <v>0</v>
      </c>
      <c r="O482" s="90" t="s">
        <v>48</v>
      </c>
      <c r="P482" s="90">
        <v>0</v>
      </c>
      <c r="Q482" s="90"/>
      <c r="R482" s="90"/>
      <c r="S482" s="90">
        <v>0</v>
      </c>
      <c r="T482" s="90">
        <v>0</v>
      </c>
      <c r="U482" s="90"/>
      <c r="V482" s="90"/>
      <c r="W482" s="90" t="s">
        <v>47</v>
      </c>
      <c r="X482" s="90"/>
      <c r="Y482" s="90"/>
      <c r="Z482" s="90" t="s">
        <v>757</v>
      </c>
      <c r="AA482" s="90"/>
      <c r="AB482" s="90" t="s">
        <v>763</v>
      </c>
      <c r="AC482" s="90">
        <v>2193</v>
      </c>
      <c r="AD482" s="90" t="s">
        <v>51</v>
      </c>
      <c r="AE482" s="90" t="s">
        <v>51</v>
      </c>
      <c r="AF482" s="90" t="s">
        <v>51</v>
      </c>
      <c r="AG482" s="90"/>
      <c r="AH482" s="90" t="s">
        <v>52</v>
      </c>
      <c r="AI482" s="90">
        <v>0</v>
      </c>
      <c r="AJ482" s="90"/>
      <c r="AK482" s="90"/>
      <c r="AL482" s="90"/>
      <c r="AM482" s="90"/>
      <c r="AN482" s="90" t="s">
        <v>47</v>
      </c>
      <c r="AO482" s="90">
        <v>2380</v>
      </c>
      <c r="AP482" s="90" t="s">
        <v>53</v>
      </c>
      <c r="AQ482" s="20">
        <v>0</v>
      </c>
    </row>
    <row r="483" s="3" customFormat="1" ht="12" spans="1:43">
      <c r="A483" s="12">
        <v>170111</v>
      </c>
      <c r="B483" s="12" t="s">
        <v>764</v>
      </c>
      <c r="C483" s="12"/>
      <c r="D483" s="12"/>
      <c r="E483" s="12"/>
      <c r="F483" s="12">
        <v>0</v>
      </c>
      <c r="G483" s="12">
        <v>0</v>
      </c>
      <c r="H483" s="12" t="s">
        <v>45</v>
      </c>
      <c r="I483" s="12">
        <v>7</v>
      </c>
      <c r="J483" s="12">
        <v>0</v>
      </c>
      <c r="K483" s="12" t="s">
        <v>46</v>
      </c>
      <c r="L483" s="47" t="s">
        <v>47</v>
      </c>
      <c r="M483" s="12">
        <v>1010106</v>
      </c>
      <c r="N483" s="12">
        <v>0</v>
      </c>
      <c r="O483" s="47" t="s">
        <v>48</v>
      </c>
      <c r="P483" s="12">
        <v>0</v>
      </c>
      <c r="Q483" s="12"/>
      <c r="R483" s="12"/>
      <c r="S483" s="12">
        <v>0</v>
      </c>
      <c r="T483" s="12">
        <v>0</v>
      </c>
      <c r="U483" s="12"/>
      <c r="V483" s="12"/>
      <c r="W483" s="47" t="s">
        <v>47</v>
      </c>
      <c r="X483" s="47"/>
      <c r="Y483" s="47"/>
      <c r="Z483" s="12"/>
      <c r="AA483" s="12"/>
      <c r="AB483" s="12" t="s">
        <v>765</v>
      </c>
      <c r="AC483" s="12" t="s">
        <v>51</v>
      </c>
      <c r="AD483" s="12" t="s">
        <v>51</v>
      </c>
      <c r="AE483" s="12" t="s">
        <v>51</v>
      </c>
      <c r="AF483" s="12" t="s">
        <v>51</v>
      </c>
      <c r="AG483" s="12"/>
      <c r="AH483" s="47" t="s">
        <v>52</v>
      </c>
      <c r="AI483" s="12">
        <v>0</v>
      </c>
      <c r="AJ483" s="12" t="s">
        <v>766</v>
      </c>
      <c r="AK483" s="12"/>
      <c r="AL483" s="12"/>
      <c r="AM483" s="12"/>
      <c r="AN483" s="47" t="s">
        <v>47</v>
      </c>
      <c r="AO483" s="12">
        <v>2320</v>
      </c>
      <c r="AP483" s="12" t="s">
        <v>53</v>
      </c>
      <c r="AQ483" s="2">
        <v>0</v>
      </c>
    </row>
    <row r="484" s="2" customFormat="1" spans="1:43">
      <c r="A484" s="11">
        <v>170201</v>
      </c>
      <c r="B484" s="11" t="s">
        <v>767</v>
      </c>
      <c r="C484" s="11">
        <v>2</v>
      </c>
      <c r="D484" s="11">
        <v>3</v>
      </c>
      <c r="E484" s="11"/>
      <c r="F484" s="11">
        <v>0</v>
      </c>
      <c r="G484" s="11">
        <v>0</v>
      </c>
      <c r="H484" s="11" t="s">
        <v>45</v>
      </c>
      <c r="I484" s="11">
        <v>7</v>
      </c>
      <c r="J484" s="11">
        <v>0</v>
      </c>
      <c r="K484" s="11" t="s">
        <v>46</v>
      </c>
      <c r="L484" s="47" t="s">
        <v>47</v>
      </c>
      <c r="M484" s="11">
        <v>1020102</v>
      </c>
      <c r="N484" s="11">
        <v>0</v>
      </c>
      <c r="O484" s="47" t="s">
        <v>48</v>
      </c>
      <c r="P484" s="11">
        <v>0</v>
      </c>
      <c r="Q484" s="11"/>
      <c r="R484" s="11"/>
      <c r="S484" s="11">
        <v>0</v>
      </c>
      <c r="T484" s="11">
        <v>0</v>
      </c>
      <c r="U484" s="11"/>
      <c r="V484" s="11"/>
      <c r="W484" s="47" t="s">
        <v>47</v>
      </c>
      <c r="X484" s="47"/>
      <c r="Y484" s="47"/>
      <c r="Z484" s="11" t="s">
        <v>768</v>
      </c>
      <c r="AA484" s="11"/>
      <c r="AB484" s="11" t="s">
        <v>769</v>
      </c>
      <c r="AC484" s="98">
        <v>2775</v>
      </c>
      <c r="AD484" s="11" t="s">
        <v>51</v>
      </c>
      <c r="AE484" s="11" t="s">
        <v>51</v>
      </c>
      <c r="AF484" s="11" t="s">
        <v>51</v>
      </c>
      <c r="AG484" s="11"/>
      <c r="AH484" s="47" t="s">
        <v>52</v>
      </c>
      <c r="AI484" s="11">
        <v>1</v>
      </c>
      <c r="AJ484" s="11"/>
      <c r="AK484" s="11"/>
      <c r="AL484" s="11"/>
      <c r="AM484" s="11"/>
      <c r="AN484" s="47" t="s">
        <v>47</v>
      </c>
      <c r="AO484" s="11">
        <v>2353</v>
      </c>
      <c r="AP484" s="11" t="s">
        <v>53</v>
      </c>
      <c r="AQ484" s="2">
        <v>0</v>
      </c>
    </row>
    <row r="485" s="3" customFormat="1" ht="12" spans="1:43">
      <c r="A485" s="12">
        <v>170210</v>
      </c>
      <c r="B485" s="91" t="s">
        <v>770</v>
      </c>
      <c r="C485" s="12"/>
      <c r="D485" s="12"/>
      <c r="E485" s="12"/>
      <c r="F485" s="12">
        <v>0</v>
      </c>
      <c r="G485" s="12">
        <v>0</v>
      </c>
      <c r="H485" s="12" t="s">
        <v>45</v>
      </c>
      <c r="I485" s="12">
        <v>7</v>
      </c>
      <c r="J485" s="12">
        <v>0</v>
      </c>
      <c r="K485" s="12" t="s">
        <v>46</v>
      </c>
      <c r="L485" s="47" t="s">
        <v>47</v>
      </c>
      <c r="M485" s="12">
        <v>1010112</v>
      </c>
      <c r="N485" s="12">
        <v>0</v>
      </c>
      <c r="O485" s="47" t="s">
        <v>48</v>
      </c>
      <c r="P485" s="12">
        <v>0</v>
      </c>
      <c r="Q485" s="12"/>
      <c r="R485" s="12"/>
      <c r="S485" s="12">
        <v>0</v>
      </c>
      <c r="T485" s="12">
        <v>0</v>
      </c>
      <c r="U485" s="12"/>
      <c r="V485" s="12"/>
      <c r="W485" s="47" t="s">
        <v>47</v>
      </c>
      <c r="X485" s="47"/>
      <c r="Y485" s="47"/>
      <c r="Z485" s="12" t="s">
        <v>771</v>
      </c>
      <c r="AA485" s="12"/>
      <c r="AB485" s="12" t="s">
        <v>771</v>
      </c>
      <c r="AC485" s="12">
        <v>2194</v>
      </c>
      <c r="AD485" s="12" t="s">
        <v>51</v>
      </c>
      <c r="AE485" s="12" t="s">
        <v>51</v>
      </c>
      <c r="AF485" s="12" t="s">
        <v>51</v>
      </c>
      <c r="AG485" s="12"/>
      <c r="AH485" s="47" t="s">
        <v>52</v>
      </c>
      <c r="AI485" s="12">
        <v>0</v>
      </c>
      <c r="AJ485" s="12"/>
      <c r="AK485" s="12"/>
      <c r="AL485" s="12"/>
      <c r="AM485" s="12"/>
      <c r="AN485" s="47" t="s">
        <v>47</v>
      </c>
      <c r="AO485" s="12">
        <v>2381</v>
      </c>
      <c r="AP485" s="12" t="s">
        <v>53</v>
      </c>
      <c r="AQ485" s="2">
        <v>0</v>
      </c>
    </row>
    <row r="486" s="2" customFormat="1" ht="12" spans="1:43">
      <c r="A486" s="11">
        <v>170211</v>
      </c>
      <c r="B486" s="91" t="s">
        <v>772</v>
      </c>
      <c r="C486" s="11"/>
      <c r="D486" s="11"/>
      <c r="E486" s="11"/>
      <c r="F486" s="11">
        <v>0</v>
      </c>
      <c r="G486" s="11">
        <v>0</v>
      </c>
      <c r="H486" s="11" t="s">
        <v>45</v>
      </c>
      <c r="I486" s="11">
        <v>7</v>
      </c>
      <c r="J486" s="11">
        <v>0</v>
      </c>
      <c r="K486" s="11" t="s">
        <v>46</v>
      </c>
      <c r="L486" s="47" t="s">
        <v>47</v>
      </c>
      <c r="M486" s="11" t="s">
        <v>773</v>
      </c>
      <c r="N486" s="11">
        <v>0</v>
      </c>
      <c r="O486" s="47" t="s">
        <v>48</v>
      </c>
      <c r="P486" s="11">
        <v>0</v>
      </c>
      <c r="Q486" s="11"/>
      <c r="R486" s="11"/>
      <c r="S486" s="11">
        <v>0</v>
      </c>
      <c r="T486" s="11">
        <v>0</v>
      </c>
      <c r="U486" s="11"/>
      <c r="V486" s="11"/>
      <c r="W486" s="47" t="s">
        <v>47</v>
      </c>
      <c r="X486" s="47"/>
      <c r="Y486" s="47"/>
      <c r="Z486" s="11" t="s">
        <v>771</v>
      </c>
      <c r="AA486" s="11"/>
      <c r="AB486" s="11" t="s">
        <v>771</v>
      </c>
      <c r="AC486" s="11">
        <v>2194</v>
      </c>
      <c r="AD486" s="11" t="s">
        <v>51</v>
      </c>
      <c r="AE486" s="11" t="s">
        <v>51</v>
      </c>
      <c r="AF486" s="11" t="s">
        <v>51</v>
      </c>
      <c r="AG486" s="11"/>
      <c r="AH486" s="47" t="s">
        <v>52</v>
      </c>
      <c r="AI486" s="11">
        <v>0</v>
      </c>
      <c r="AJ486" s="11"/>
      <c r="AK486" s="11"/>
      <c r="AL486" s="11"/>
      <c r="AM486" s="11"/>
      <c r="AN486" s="47" t="s">
        <v>47</v>
      </c>
      <c r="AO486" s="11">
        <v>2382</v>
      </c>
      <c r="AP486" s="11" t="s">
        <v>53</v>
      </c>
      <c r="AQ486" s="2">
        <v>0</v>
      </c>
    </row>
    <row r="487" s="3" customFormat="1" ht="12" spans="1:43">
      <c r="A487" s="12">
        <v>170212</v>
      </c>
      <c r="B487" s="91" t="s">
        <v>770</v>
      </c>
      <c r="C487" s="12"/>
      <c r="D487" s="12"/>
      <c r="E487" s="12"/>
      <c r="F487" s="12">
        <v>0</v>
      </c>
      <c r="G487" s="12">
        <v>0</v>
      </c>
      <c r="H487" s="12" t="s">
        <v>45</v>
      </c>
      <c r="I487" s="12">
        <v>7</v>
      </c>
      <c r="J487" s="12">
        <v>0</v>
      </c>
      <c r="K487" s="12" t="s">
        <v>46</v>
      </c>
      <c r="L487" s="47" t="s">
        <v>47</v>
      </c>
      <c r="M487" s="63">
        <v>1010159</v>
      </c>
      <c r="N487" s="12">
        <v>0</v>
      </c>
      <c r="O487" s="47" t="s">
        <v>48</v>
      </c>
      <c r="P487" s="12">
        <v>0</v>
      </c>
      <c r="Q487" s="12"/>
      <c r="R487" s="12"/>
      <c r="S487" s="12">
        <v>0</v>
      </c>
      <c r="T487" s="12">
        <v>0</v>
      </c>
      <c r="U487" s="12"/>
      <c r="V487" s="12"/>
      <c r="W487" s="47" t="s">
        <v>47</v>
      </c>
      <c r="X487" s="47"/>
      <c r="Y487" s="47"/>
      <c r="Z487" s="12" t="s">
        <v>771</v>
      </c>
      <c r="AA487" s="12"/>
      <c r="AB487" s="12" t="s">
        <v>771</v>
      </c>
      <c r="AC487" s="12">
        <v>2194</v>
      </c>
      <c r="AD487" s="12" t="s">
        <v>51</v>
      </c>
      <c r="AE487" s="12" t="s">
        <v>51</v>
      </c>
      <c r="AF487" s="12" t="s">
        <v>51</v>
      </c>
      <c r="AG487" s="12"/>
      <c r="AH487" s="47" t="s">
        <v>52</v>
      </c>
      <c r="AI487" s="12">
        <v>0</v>
      </c>
      <c r="AJ487" s="12"/>
      <c r="AK487" s="12"/>
      <c r="AL487" s="12"/>
      <c r="AM487" s="12"/>
      <c r="AN487" s="47" t="s">
        <v>47</v>
      </c>
      <c r="AO487" s="12">
        <v>2383</v>
      </c>
      <c r="AP487" s="12" t="s">
        <v>53</v>
      </c>
      <c r="AQ487" s="2">
        <v>0</v>
      </c>
    </row>
    <row r="488" s="2" customFormat="1" ht="12" spans="1:43">
      <c r="A488" s="11">
        <v>170213</v>
      </c>
      <c r="B488" s="91" t="s">
        <v>774</v>
      </c>
      <c r="C488" s="11"/>
      <c r="D488" s="11"/>
      <c r="E488" s="11"/>
      <c r="F488" s="11">
        <v>0</v>
      </c>
      <c r="G488" s="11">
        <v>0</v>
      </c>
      <c r="H488" s="11" t="s">
        <v>45</v>
      </c>
      <c r="I488" s="11">
        <v>7</v>
      </c>
      <c r="J488" s="11">
        <v>0</v>
      </c>
      <c r="K488" s="11" t="s">
        <v>46</v>
      </c>
      <c r="L488" s="47" t="s">
        <v>47</v>
      </c>
      <c r="M488" s="11" t="s">
        <v>775</v>
      </c>
      <c r="N488" s="11">
        <v>0</v>
      </c>
      <c r="O488" s="47" t="s">
        <v>48</v>
      </c>
      <c r="P488" s="11">
        <v>0</v>
      </c>
      <c r="Q488" s="11"/>
      <c r="R488" s="11"/>
      <c r="S488" s="11">
        <v>0</v>
      </c>
      <c r="T488" s="11">
        <v>0</v>
      </c>
      <c r="U488" s="11"/>
      <c r="V488" s="11"/>
      <c r="W488" s="47" t="s">
        <v>47</v>
      </c>
      <c r="X488" s="47"/>
      <c r="Y488" s="47"/>
      <c r="Z488" s="11" t="s">
        <v>771</v>
      </c>
      <c r="AA488" s="11"/>
      <c r="AB488" s="11" t="s">
        <v>771</v>
      </c>
      <c r="AC488" s="11">
        <v>2194</v>
      </c>
      <c r="AD488" s="11" t="s">
        <v>51</v>
      </c>
      <c r="AE488" s="11" t="s">
        <v>51</v>
      </c>
      <c r="AF488" s="11" t="s">
        <v>51</v>
      </c>
      <c r="AG488" s="11"/>
      <c r="AH488" s="47" t="s">
        <v>52</v>
      </c>
      <c r="AI488" s="11">
        <v>0</v>
      </c>
      <c r="AJ488" s="11"/>
      <c r="AK488" s="11"/>
      <c r="AL488" s="11"/>
      <c r="AM488" s="11"/>
      <c r="AN488" s="47" t="s">
        <v>47</v>
      </c>
      <c r="AO488" s="11">
        <v>2384</v>
      </c>
      <c r="AP488" s="11" t="s">
        <v>53</v>
      </c>
      <c r="AQ488" s="2">
        <v>0</v>
      </c>
    </row>
    <row r="489" s="3" customFormat="1" ht="12" spans="1:43">
      <c r="A489" s="12">
        <v>170214</v>
      </c>
      <c r="B489" s="91" t="s">
        <v>776</v>
      </c>
      <c r="C489" s="12"/>
      <c r="D489" s="12"/>
      <c r="E489" s="12"/>
      <c r="F489" s="12">
        <v>0</v>
      </c>
      <c r="G489" s="12">
        <v>0</v>
      </c>
      <c r="H489" s="12" t="s">
        <v>45</v>
      </c>
      <c r="I489" s="12">
        <v>7</v>
      </c>
      <c r="J489" s="12">
        <v>0</v>
      </c>
      <c r="K489" s="12" t="s">
        <v>46</v>
      </c>
      <c r="L489" s="47" t="s">
        <v>47</v>
      </c>
      <c r="M489" s="12" t="s">
        <v>777</v>
      </c>
      <c r="N489" s="12">
        <v>0</v>
      </c>
      <c r="O489" s="47" t="s">
        <v>48</v>
      </c>
      <c r="P489" s="12">
        <v>0</v>
      </c>
      <c r="Q489" s="12"/>
      <c r="R489" s="12"/>
      <c r="S489" s="12">
        <v>0</v>
      </c>
      <c r="T489" s="12">
        <v>0</v>
      </c>
      <c r="U489" s="12"/>
      <c r="V489" s="12"/>
      <c r="W489" s="47" t="s">
        <v>47</v>
      </c>
      <c r="X489" s="47"/>
      <c r="Y489" s="47"/>
      <c r="Z489" s="12" t="s">
        <v>771</v>
      </c>
      <c r="AA489" s="12"/>
      <c r="AB489" s="12" t="s">
        <v>771</v>
      </c>
      <c r="AC489" s="12">
        <v>2194</v>
      </c>
      <c r="AD489" s="12" t="s">
        <v>51</v>
      </c>
      <c r="AE489" s="12" t="s">
        <v>51</v>
      </c>
      <c r="AF489" s="12" t="s">
        <v>51</v>
      </c>
      <c r="AG489" s="12"/>
      <c r="AH489" s="47" t="s">
        <v>52</v>
      </c>
      <c r="AI489" s="12">
        <v>0</v>
      </c>
      <c r="AJ489" s="12"/>
      <c r="AK489" s="12"/>
      <c r="AL489" s="12"/>
      <c r="AM489" s="12"/>
      <c r="AN489" s="47" t="s">
        <v>47</v>
      </c>
      <c r="AO489" s="12">
        <v>2385</v>
      </c>
      <c r="AP489" s="12" t="s">
        <v>53</v>
      </c>
      <c r="AQ489" s="2">
        <v>0</v>
      </c>
    </row>
    <row r="490" s="2" customFormat="1" ht="12" spans="1:43">
      <c r="A490" s="11">
        <v>170215</v>
      </c>
      <c r="B490" s="91" t="s">
        <v>778</v>
      </c>
      <c r="C490" s="11"/>
      <c r="D490" s="11"/>
      <c r="E490" s="11"/>
      <c r="F490" s="11">
        <v>0</v>
      </c>
      <c r="G490" s="11">
        <v>0</v>
      </c>
      <c r="H490" s="11" t="s">
        <v>45</v>
      </c>
      <c r="I490" s="11">
        <v>7</v>
      </c>
      <c r="J490" s="11">
        <v>0</v>
      </c>
      <c r="K490" s="11" t="s">
        <v>46</v>
      </c>
      <c r="L490" s="47" t="s">
        <v>47</v>
      </c>
      <c r="M490" s="11" t="s">
        <v>779</v>
      </c>
      <c r="N490" s="11">
        <v>0</v>
      </c>
      <c r="O490" s="47" t="s">
        <v>48</v>
      </c>
      <c r="P490" s="11">
        <v>0</v>
      </c>
      <c r="Q490" s="11"/>
      <c r="R490" s="11"/>
      <c r="S490" s="11">
        <v>0</v>
      </c>
      <c r="T490" s="11">
        <v>0</v>
      </c>
      <c r="U490" s="11"/>
      <c r="V490" s="11"/>
      <c r="W490" s="47" t="s">
        <v>47</v>
      </c>
      <c r="X490" s="47"/>
      <c r="Y490" s="47"/>
      <c r="Z490" s="11" t="s">
        <v>771</v>
      </c>
      <c r="AA490" s="11"/>
      <c r="AB490" s="11" t="s">
        <v>771</v>
      </c>
      <c r="AC490" s="11">
        <v>2194</v>
      </c>
      <c r="AD490" s="11" t="s">
        <v>51</v>
      </c>
      <c r="AE490" s="11" t="s">
        <v>51</v>
      </c>
      <c r="AF490" s="11" t="s">
        <v>51</v>
      </c>
      <c r="AG490" s="11"/>
      <c r="AH490" s="47" t="s">
        <v>52</v>
      </c>
      <c r="AI490" s="11">
        <v>0</v>
      </c>
      <c r="AJ490" s="11"/>
      <c r="AK490" s="11"/>
      <c r="AL490" s="11"/>
      <c r="AM490" s="11"/>
      <c r="AN490" s="47" t="s">
        <v>47</v>
      </c>
      <c r="AO490" s="11">
        <v>2386</v>
      </c>
      <c r="AP490" s="11" t="s">
        <v>53</v>
      </c>
      <c r="AQ490" s="2">
        <v>0</v>
      </c>
    </row>
    <row r="491" s="3" customFormat="1" ht="12" spans="1:43">
      <c r="A491" s="12">
        <v>170216</v>
      </c>
      <c r="B491" s="91" t="s">
        <v>780</v>
      </c>
      <c r="C491" s="12"/>
      <c r="D491" s="12"/>
      <c r="E491" s="12"/>
      <c r="F491" s="12">
        <v>0</v>
      </c>
      <c r="G491" s="12">
        <v>0</v>
      </c>
      <c r="H491" s="12" t="s">
        <v>45</v>
      </c>
      <c r="I491" s="12">
        <v>7</v>
      </c>
      <c r="J491" s="12">
        <v>0</v>
      </c>
      <c r="K491" s="12" t="s">
        <v>46</v>
      </c>
      <c r="L491" s="47" t="s">
        <v>47</v>
      </c>
      <c r="M491" s="12" t="s">
        <v>781</v>
      </c>
      <c r="N491" s="12">
        <v>0</v>
      </c>
      <c r="O491" s="47" t="s">
        <v>48</v>
      </c>
      <c r="P491" s="12">
        <v>0</v>
      </c>
      <c r="Q491" s="12"/>
      <c r="R491" s="12"/>
      <c r="S491" s="12">
        <v>0</v>
      </c>
      <c r="T491" s="12">
        <v>0</v>
      </c>
      <c r="U491" s="12"/>
      <c r="V491" s="12"/>
      <c r="W491" s="47" t="s">
        <v>47</v>
      </c>
      <c r="X491" s="47"/>
      <c r="Y491" s="47"/>
      <c r="Z491" s="12" t="s">
        <v>771</v>
      </c>
      <c r="AA491" s="12"/>
      <c r="AB491" s="12" t="s">
        <v>771</v>
      </c>
      <c r="AC491" s="12">
        <v>2194</v>
      </c>
      <c r="AD491" s="12" t="s">
        <v>51</v>
      </c>
      <c r="AE491" s="12" t="s">
        <v>51</v>
      </c>
      <c r="AF491" s="12" t="s">
        <v>51</v>
      </c>
      <c r="AG491" s="12"/>
      <c r="AH491" s="47" t="s">
        <v>52</v>
      </c>
      <c r="AI491" s="12">
        <v>0</v>
      </c>
      <c r="AJ491" s="12"/>
      <c r="AK491" s="12"/>
      <c r="AL491" s="12"/>
      <c r="AM491" s="12"/>
      <c r="AN491" s="47" t="s">
        <v>47</v>
      </c>
      <c r="AO491" s="12">
        <v>2387</v>
      </c>
      <c r="AP491" s="12" t="s">
        <v>53</v>
      </c>
      <c r="AQ491" s="2">
        <v>0</v>
      </c>
    </row>
    <row r="492" s="2" customFormat="1" ht="12" spans="1:43">
      <c r="A492" s="11">
        <v>170217</v>
      </c>
      <c r="B492" s="91" t="s">
        <v>782</v>
      </c>
      <c r="C492" s="11"/>
      <c r="D492" s="11"/>
      <c r="E492" s="11"/>
      <c r="F492" s="11">
        <v>0</v>
      </c>
      <c r="G492" s="11">
        <v>0</v>
      </c>
      <c r="H492" s="11" t="s">
        <v>45</v>
      </c>
      <c r="I492" s="11">
        <v>7</v>
      </c>
      <c r="J492" s="11">
        <v>0</v>
      </c>
      <c r="K492" s="11" t="s">
        <v>46</v>
      </c>
      <c r="L492" s="47" t="s">
        <v>47</v>
      </c>
      <c r="M492" s="11" t="s">
        <v>365</v>
      </c>
      <c r="N492" s="11">
        <v>0</v>
      </c>
      <c r="O492" s="47" t="s">
        <v>48</v>
      </c>
      <c r="P492" s="11">
        <v>0</v>
      </c>
      <c r="Q492" s="11"/>
      <c r="R492" s="11"/>
      <c r="S492" s="11">
        <v>0</v>
      </c>
      <c r="T492" s="11">
        <v>0</v>
      </c>
      <c r="U492" s="11"/>
      <c r="V492" s="11"/>
      <c r="W492" s="47" t="s">
        <v>47</v>
      </c>
      <c r="X492" s="47"/>
      <c r="Y492" s="47"/>
      <c r="Z492" s="11" t="s">
        <v>771</v>
      </c>
      <c r="AA492" s="11"/>
      <c r="AB492" s="11" t="s">
        <v>771</v>
      </c>
      <c r="AC492" s="11">
        <v>2194</v>
      </c>
      <c r="AD492" s="11" t="s">
        <v>51</v>
      </c>
      <c r="AE492" s="11" t="s">
        <v>51</v>
      </c>
      <c r="AF492" s="11" t="s">
        <v>51</v>
      </c>
      <c r="AG492" s="11"/>
      <c r="AH492" s="47" t="s">
        <v>52</v>
      </c>
      <c r="AI492" s="11">
        <v>0</v>
      </c>
      <c r="AJ492" s="11"/>
      <c r="AK492" s="11"/>
      <c r="AL492" s="11"/>
      <c r="AM492" s="11"/>
      <c r="AN492" s="47" t="s">
        <v>47</v>
      </c>
      <c r="AO492" s="11">
        <v>2388</v>
      </c>
      <c r="AP492" s="11" t="s">
        <v>53</v>
      </c>
      <c r="AQ492" s="2">
        <v>0</v>
      </c>
    </row>
    <row r="493" s="3" customFormat="1" ht="12" spans="1:43">
      <c r="A493" s="12">
        <v>170218</v>
      </c>
      <c r="B493" s="91" t="s">
        <v>783</v>
      </c>
      <c r="C493" s="12"/>
      <c r="D493" s="12"/>
      <c r="E493" s="12"/>
      <c r="F493" s="12">
        <v>0</v>
      </c>
      <c r="G493" s="12">
        <v>0</v>
      </c>
      <c r="H493" s="12" t="s">
        <v>45</v>
      </c>
      <c r="I493" s="12">
        <v>7</v>
      </c>
      <c r="J493" s="12">
        <v>0</v>
      </c>
      <c r="K493" s="12" t="s">
        <v>46</v>
      </c>
      <c r="L493" s="47" t="s">
        <v>47</v>
      </c>
      <c r="M493" s="12" t="s">
        <v>280</v>
      </c>
      <c r="N493" s="12">
        <v>0</v>
      </c>
      <c r="O493" s="47" t="s">
        <v>48</v>
      </c>
      <c r="P493" s="12">
        <v>0</v>
      </c>
      <c r="Q493" s="12"/>
      <c r="R493" s="12"/>
      <c r="S493" s="12">
        <v>0</v>
      </c>
      <c r="T493" s="12">
        <v>0</v>
      </c>
      <c r="U493" s="12"/>
      <c r="V493" s="12"/>
      <c r="W493" s="47" t="s">
        <v>47</v>
      </c>
      <c r="X493" s="47"/>
      <c r="Y493" s="47"/>
      <c r="Z493" s="12" t="s">
        <v>771</v>
      </c>
      <c r="AA493" s="12"/>
      <c r="AB493" s="12" t="s">
        <v>771</v>
      </c>
      <c r="AC493" s="12">
        <v>2194</v>
      </c>
      <c r="AD493" s="12" t="s">
        <v>51</v>
      </c>
      <c r="AE493" s="12" t="s">
        <v>51</v>
      </c>
      <c r="AF493" s="12" t="s">
        <v>51</v>
      </c>
      <c r="AG493" s="12"/>
      <c r="AH493" s="47" t="s">
        <v>52</v>
      </c>
      <c r="AI493" s="12">
        <v>0</v>
      </c>
      <c r="AJ493" s="12"/>
      <c r="AK493" s="12"/>
      <c r="AL493" s="12"/>
      <c r="AM493" s="12"/>
      <c r="AN493" s="47" t="s">
        <v>47</v>
      </c>
      <c r="AO493" s="12">
        <v>2389</v>
      </c>
      <c r="AP493" s="12" t="s">
        <v>53</v>
      </c>
      <c r="AQ493" s="2">
        <v>0</v>
      </c>
    </row>
    <row r="494" s="2" customFormat="1" ht="12" spans="1:43">
      <c r="A494" s="11">
        <v>170219</v>
      </c>
      <c r="B494" s="91" t="s">
        <v>784</v>
      </c>
      <c r="C494" s="11"/>
      <c r="D494" s="11"/>
      <c r="E494" s="11"/>
      <c r="F494" s="11">
        <v>0</v>
      </c>
      <c r="G494" s="11">
        <v>0</v>
      </c>
      <c r="H494" s="11" t="s">
        <v>45</v>
      </c>
      <c r="I494" s="11">
        <v>7</v>
      </c>
      <c r="J494" s="11">
        <v>0</v>
      </c>
      <c r="K494" s="11" t="s">
        <v>46</v>
      </c>
      <c r="L494" s="47" t="s">
        <v>47</v>
      </c>
      <c r="M494" s="11" t="s">
        <v>785</v>
      </c>
      <c r="N494" s="11">
        <v>0</v>
      </c>
      <c r="O494" s="47" t="s">
        <v>48</v>
      </c>
      <c r="P494" s="11">
        <v>0</v>
      </c>
      <c r="Q494" s="11"/>
      <c r="R494" s="11"/>
      <c r="S494" s="11">
        <v>0</v>
      </c>
      <c r="T494" s="11">
        <v>0</v>
      </c>
      <c r="U494" s="11"/>
      <c r="V494" s="11"/>
      <c r="W494" s="47" t="s">
        <v>47</v>
      </c>
      <c r="X494" s="47"/>
      <c r="Y494" s="47"/>
      <c r="Z494" s="11" t="s">
        <v>771</v>
      </c>
      <c r="AA494" s="11"/>
      <c r="AB494" s="11" t="s">
        <v>771</v>
      </c>
      <c r="AC494" s="11">
        <v>2194</v>
      </c>
      <c r="AD494" s="11" t="s">
        <v>51</v>
      </c>
      <c r="AE494" s="11" t="s">
        <v>51</v>
      </c>
      <c r="AF494" s="11" t="s">
        <v>51</v>
      </c>
      <c r="AG494" s="11"/>
      <c r="AH494" s="47" t="s">
        <v>52</v>
      </c>
      <c r="AI494" s="11">
        <v>0</v>
      </c>
      <c r="AJ494" s="11"/>
      <c r="AK494" s="11"/>
      <c r="AL494" s="11"/>
      <c r="AM494" s="11"/>
      <c r="AN494" s="47" t="s">
        <v>47</v>
      </c>
      <c r="AO494" s="11">
        <v>2390</v>
      </c>
      <c r="AP494" s="11" t="s">
        <v>53</v>
      </c>
      <c r="AQ494" s="2">
        <v>0</v>
      </c>
    </row>
    <row r="495" s="3" customFormat="1" ht="12" spans="1:43">
      <c r="A495" s="12">
        <v>170220</v>
      </c>
      <c r="B495" s="91" t="s">
        <v>786</v>
      </c>
      <c r="C495" s="12"/>
      <c r="D495" s="12"/>
      <c r="E495" s="12"/>
      <c r="F495" s="12">
        <v>0</v>
      </c>
      <c r="G495" s="12">
        <v>0</v>
      </c>
      <c r="H495" s="12" t="s">
        <v>45</v>
      </c>
      <c r="I495" s="12">
        <v>7</v>
      </c>
      <c r="J495" s="12">
        <v>0</v>
      </c>
      <c r="K495" s="12" t="s">
        <v>46</v>
      </c>
      <c r="L495" s="47" t="s">
        <v>47</v>
      </c>
      <c r="M495" s="12" t="s">
        <v>787</v>
      </c>
      <c r="N495" s="12">
        <v>0</v>
      </c>
      <c r="O495" s="47" t="s">
        <v>48</v>
      </c>
      <c r="P495" s="12">
        <v>0</v>
      </c>
      <c r="Q495" s="12"/>
      <c r="R495" s="12"/>
      <c r="S495" s="12">
        <v>0</v>
      </c>
      <c r="T495" s="12">
        <v>0</v>
      </c>
      <c r="U495" s="12"/>
      <c r="V495" s="12"/>
      <c r="W495" s="47" t="s">
        <v>47</v>
      </c>
      <c r="X495" s="47"/>
      <c r="Y495" s="47"/>
      <c r="Z495" s="12" t="s">
        <v>771</v>
      </c>
      <c r="AA495" s="12"/>
      <c r="AB495" s="12" t="s">
        <v>771</v>
      </c>
      <c r="AC495" s="12">
        <v>2194</v>
      </c>
      <c r="AD495" s="12" t="s">
        <v>51</v>
      </c>
      <c r="AE495" s="12" t="s">
        <v>51</v>
      </c>
      <c r="AF495" s="12" t="s">
        <v>51</v>
      </c>
      <c r="AG495" s="12"/>
      <c r="AH495" s="47" t="s">
        <v>52</v>
      </c>
      <c r="AI495" s="12">
        <v>0</v>
      </c>
      <c r="AJ495" s="12"/>
      <c r="AK495" s="12"/>
      <c r="AL495" s="12"/>
      <c r="AM495" s="12"/>
      <c r="AN495" s="47" t="s">
        <v>47</v>
      </c>
      <c r="AO495" s="12">
        <v>2391</v>
      </c>
      <c r="AP495" s="12" t="s">
        <v>53</v>
      </c>
      <c r="AQ495" s="2">
        <v>0</v>
      </c>
    </row>
    <row r="496" s="2" customFormat="1" ht="12" spans="1:43">
      <c r="A496" s="11">
        <v>170221</v>
      </c>
      <c r="B496" s="91" t="s">
        <v>788</v>
      </c>
      <c r="C496" s="11"/>
      <c r="D496" s="11"/>
      <c r="E496" s="11"/>
      <c r="F496" s="11">
        <v>0</v>
      </c>
      <c r="G496" s="11">
        <v>0</v>
      </c>
      <c r="H496" s="11" t="s">
        <v>45</v>
      </c>
      <c r="I496" s="11">
        <v>7</v>
      </c>
      <c r="J496" s="11">
        <v>0</v>
      </c>
      <c r="K496" s="11" t="s">
        <v>46</v>
      </c>
      <c r="L496" s="47" t="s">
        <v>47</v>
      </c>
      <c r="M496" s="11" t="s">
        <v>789</v>
      </c>
      <c r="N496" s="11">
        <v>0</v>
      </c>
      <c r="O496" s="47" t="s">
        <v>48</v>
      </c>
      <c r="P496" s="11">
        <v>0</v>
      </c>
      <c r="Q496" s="11"/>
      <c r="R496" s="11"/>
      <c r="S496" s="11">
        <v>0</v>
      </c>
      <c r="T496" s="11">
        <v>0</v>
      </c>
      <c r="U496" s="11"/>
      <c r="V496" s="11"/>
      <c r="W496" s="47" t="s">
        <v>47</v>
      </c>
      <c r="X496" s="47"/>
      <c r="Y496" s="47"/>
      <c r="Z496" s="11" t="s">
        <v>771</v>
      </c>
      <c r="AA496" s="11"/>
      <c r="AB496" s="11" t="s">
        <v>771</v>
      </c>
      <c r="AC496" s="11">
        <v>2194</v>
      </c>
      <c r="AD496" s="11" t="s">
        <v>51</v>
      </c>
      <c r="AE496" s="11" t="s">
        <v>51</v>
      </c>
      <c r="AF496" s="11" t="s">
        <v>51</v>
      </c>
      <c r="AG496" s="11"/>
      <c r="AH496" s="47" t="s">
        <v>52</v>
      </c>
      <c r="AI496" s="11">
        <v>0</v>
      </c>
      <c r="AJ496" s="11"/>
      <c r="AK496" s="11"/>
      <c r="AL496" s="11"/>
      <c r="AM496" s="11"/>
      <c r="AN496" s="47" t="s">
        <v>47</v>
      </c>
      <c r="AO496" s="11">
        <v>2392</v>
      </c>
      <c r="AP496" s="11" t="s">
        <v>53</v>
      </c>
      <c r="AQ496" s="2">
        <v>0</v>
      </c>
    </row>
    <row r="497" s="3" customFormat="1" ht="12" spans="1:43">
      <c r="A497" s="12">
        <v>170222</v>
      </c>
      <c r="B497" s="91" t="s">
        <v>790</v>
      </c>
      <c r="C497" s="12"/>
      <c r="D497" s="12"/>
      <c r="E497" s="12"/>
      <c r="F497" s="12">
        <v>0</v>
      </c>
      <c r="G497" s="12">
        <v>0</v>
      </c>
      <c r="H497" s="12" t="s">
        <v>45</v>
      </c>
      <c r="I497" s="12">
        <v>7</v>
      </c>
      <c r="J497" s="12">
        <v>0</v>
      </c>
      <c r="K497" s="12" t="s">
        <v>46</v>
      </c>
      <c r="L497" s="47" t="s">
        <v>47</v>
      </c>
      <c r="M497" s="12" t="s">
        <v>378</v>
      </c>
      <c r="N497" s="12">
        <v>0</v>
      </c>
      <c r="O497" s="47" t="s">
        <v>48</v>
      </c>
      <c r="P497" s="12">
        <v>0</v>
      </c>
      <c r="Q497" s="12"/>
      <c r="R497" s="12"/>
      <c r="S497" s="12">
        <v>0</v>
      </c>
      <c r="T497" s="12">
        <v>0</v>
      </c>
      <c r="U497" s="12"/>
      <c r="V497" s="12"/>
      <c r="W497" s="47" t="s">
        <v>47</v>
      </c>
      <c r="X497" s="47"/>
      <c r="Y497" s="47"/>
      <c r="Z497" s="12" t="s">
        <v>771</v>
      </c>
      <c r="AA497" s="12"/>
      <c r="AB497" s="12" t="s">
        <v>771</v>
      </c>
      <c r="AC497" s="12">
        <v>2194</v>
      </c>
      <c r="AD497" s="12" t="s">
        <v>51</v>
      </c>
      <c r="AE497" s="12" t="s">
        <v>51</v>
      </c>
      <c r="AF497" s="12" t="s">
        <v>51</v>
      </c>
      <c r="AG497" s="12"/>
      <c r="AH497" s="47" t="s">
        <v>52</v>
      </c>
      <c r="AI497" s="12">
        <v>0</v>
      </c>
      <c r="AJ497" s="12"/>
      <c r="AK497" s="12"/>
      <c r="AL497" s="12"/>
      <c r="AM497" s="12"/>
      <c r="AN497" s="47" t="s">
        <v>47</v>
      </c>
      <c r="AO497" s="12">
        <v>2393</v>
      </c>
      <c r="AP497" s="12" t="s">
        <v>53</v>
      </c>
      <c r="AQ497" s="2">
        <v>0</v>
      </c>
    </row>
    <row r="498" s="2" customFormat="1" ht="12" spans="1:43">
      <c r="A498" s="11">
        <v>170223</v>
      </c>
      <c r="B498" s="92" t="s">
        <v>791</v>
      </c>
      <c r="C498" s="11"/>
      <c r="D498" s="11"/>
      <c r="E498" s="11"/>
      <c r="F498" s="11">
        <v>0</v>
      </c>
      <c r="G498" s="11">
        <v>0</v>
      </c>
      <c r="H498" s="11" t="s">
        <v>45</v>
      </c>
      <c r="I498" s="11">
        <v>7</v>
      </c>
      <c r="J498" s="11">
        <v>0</v>
      </c>
      <c r="K498" s="11" t="s">
        <v>46</v>
      </c>
      <c r="L498" s="47" t="s">
        <v>47</v>
      </c>
      <c r="M498" s="11" t="s">
        <v>792</v>
      </c>
      <c r="N498" s="11">
        <v>0</v>
      </c>
      <c r="O498" s="47" t="s">
        <v>48</v>
      </c>
      <c r="P498" s="11">
        <v>0</v>
      </c>
      <c r="Q498" s="11"/>
      <c r="R498" s="11"/>
      <c r="S498" s="11">
        <v>0</v>
      </c>
      <c r="T498" s="11">
        <v>0</v>
      </c>
      <c r="U498" s="11"/>
      <c r="V498" s="11"/>
      <c r="W498" s="47" t="s">
        <v>47</v>
      </c>
      <c r="X498" s="47"/>
      <c r="Y498" s="47"/>
      <c r="Z498" s="11" t="s">
        <v>771</v>
      </c>
      <c r="AA498" s="11"/>
      <c r="AB498" s="11" t="s">
        <v>771</v>
      </c>
      <c r="AC498" s="11">
        <v>2194</v>
      </c>
      <c r="AD498" s="11" t="s">
        <v>51</v>
      </c>
      <c r="AE498" s="11" t="s">
        <v>51</v>
      </c>
      <c r="AF498" s="11" t="s">
        <v>51</v>
      </c>
      <c r="AG498" s="11"/>
      <c r="AH498" s="47" t="s">
        <v>52</v>
      </c>
      <c r="AI498" s="11">
        <v>0</v>
      </c>
      <c r="AJ498" s="11"/>
      <c r="AK498" s="11"/>
      <c r="AL498" s="11"/>
      <c r="AM498" s="11"/>
      <c r="AN498" s="47" t="s">
        <v>47</v>
      </c>
      <c r="AO498" s="11">
        <v>2394</v>
      </c>
      <c r="AP498" s="11" t="s">
        <v>53</v>
      </c>
      <c r="AQ498" s="2">
        <v>0</v>
      </c>
    </row>
    <row r="499" s="3" customFormat="1" ht="12" spans="1:43">
      <c r="A499" s="12">
        <v>170224</v>
      </c>
      <c r="B499" s="91" t="s">
        <v>793</v>
      </c>
      <c r="C499" s="12"/>
      <c r="D499" s="12"/>
      <c r="E499" s="12"/>
      <c r="F499" s="12">
        <v>0</v>
      </c>
      <c r="G499" s="12">
        <v>0</v>
      </c>
      <c r="H499" s="12" t="s">
        <v>45</v>
      </c>
      <c r="I499" s="12">
        <v>7</v>
      </c>
      <c r="J499" s="12">
        <v>0</v>
      </c>
      <c r="K499" s="12" t="s">
        <v>46</v>
      </c>
      <c r="L499" s="47" t="s">
        <v>47</v>
      </c>
      <c r="M499" s="12" t="s">
        <v>794</v>
      </c>
      <c r="N499" s="12">
        <v>0</v>
      </c>
      <c r="O499" s="47" t="s">
        <v>48</v>
      </c>
      <c r="P499" s="12">
        <v>0</v>
      </c>
      <c r="Q499" s="12"/>
      <c r="R499" s="12"/>
      <c r="S499" s="12">
        <v>0</v>
      </c>
      <c r="T499" s="12">
        <v>0</v>
      </c>
      <c r="U499" s="12"/>
      <c r="V499" s="12"/>
      <c r="W499" s="47" t="s">
        <v>47</v>
      </c>
      <c r="X499" s="47"/>
      <c r="Y499" s="47"/>
      <c r="Z499" s="12" t="s">
        <v>771</v>
      </c>
      <c r="AA499" s="12"/>
      <c r="AB499" s="12" t="s">
        <v>771</v>
      </c>
      <c r="AC499" s="12">
        <v>2194</v>
      </c>
      <c r="AD499" s="12" t="s">
        <v>51</v>
      </c>
      <c r="AE499" s="12" t="s">
        <v>51</v>
      </c>
      <c r="AF499" s="12" t="s">
        <v>51</v>
      </c>
      <c r="AG499" s="12"/>
      <c r="AH499" s="47" t="s">
        <v>52</v>
      </c>
      <c r="AI499" s="12">
        <v>0</v>
      </c>
      <c r="AJ499" s="12"/>
      <c r="AK499" s="12"/>
      <c r="AL499" s="12"/>
      <c r="AM499" s="12"/>
      <c r="AN499" s="47" t="s">
        <v>47</v>
      </c>
      <c r="AO499" s="12">
        <v>2395</v>
      </c>
      <c r="AP499" s="12" t="s">
        <v>53</v>
      </c>
      <c r="AQ499" s="2">
        <v>0</v>
      </c>
    </row>
    <row r="500" s="2" customFormat="1" ht="12" spans="1:43">
      <c r="A500" s="11">
        <v>170225</v>
      </c>
      <c r="B500" s="91" t="s">
        <v>795</v>
      </c>
      <c r="C500" s="11"/>
      <c r="D500" s="11"/>
      <c r="E500" s="11"/>
      <c r="F500" s="11">
        <v>0</v>
      </c>
      <c r="G500" s="11">
        <v>0</v>
      </c>
      <c r="H500" s="11" t="s">
        <v>45</v>
      </c>
      <c r="I500" s="11">
        <v>7</v>
      </c>
      <c r="J500" s="11">
        <v>0</v>
      </c>
      <c r="K500" s="11" t="s">
        <v>46</v>
      </c>
      <c r="L500" s="47" t="s">
        <v>47</v>
      </c>
      <c r="M500" s="11" t="s">
        <v>686</v>
      </c>
      <c r="N500" s="11">
        <v>0</v>
      </c>
      <c r="O500" s="47" t="s">
        <v>48</v>
      </c>
      <c r="P500" s="11">
        <v>0</v>
      </c>
      <c r="Q500" s="11"/>
      <c r="R500" s="11"/>
      <c r="S500" s="11">
        <v>0</v>
      </c>
      <c r="T500" s="11">
        <v>0</v>
      </c>
      <c r="U500" s="11"/>
      <c r="V500" s="11"/>
      <c r="W500" s="47" t="s">
        <v>47</v>
      </c>
      <c r="X500" s="47"/>
      <c r="Y500" s="47"/>
      <c r="Z500" s="11" t="s">
        <v>771</v>
      </c>
      <c r="AA500" s="11"/>
      <c r="AB500" s="11" t="s">
        <v>771</v>
      </c>
      <c r="AC500" s="11">
        <v>2194</v>
      </c>
      <c r="AD500" s="11" t="s">
        <v>51</v>
      </c>
      <c r="AE500" s="11" t="s">
        <v>51</v>
      </c>
      <c r="AF500" s="11" t="s">
        <v>51</v>
      </c>
      <c r="AG500" s="11"/>
      <c r="AH500" s="47" t="s">
        <v>52</v>
      </c>
      <c r="AI500" s="11">
        <v>0</v>
      </c>
      <c r="AJ500" s="11"/>
      <c r="AK500" s="11"/>
      <c r="AL500" s="11"/>
      <c r="AM500" s="11"/>
      <c r="AN500" s="47" t="s">
        <v>47</v>
      </c>
      <c r="AO500" s="11">
        <v>2396</v>
      </c>
      <c r="AP500" s="11" t="s">
        <v>53</v>
      </c>
      <c r="AQ500" s="2">
        <v>0</v>
      </c>
    </row>
    <row r="501" s="3" customFormat="1" ht="12" spans="1:43">
      <c r="A501" s="12">
        <v>170226</v>
      </c>
      <c r="B501" s="91" t="s">
        <v>796</v>
      </c>
      <c r="C501" s="12"/>
      <c r="D501" s="12"/>
      <c r="E501" s="12"/>
      <c r="F501" s="12">
        <v>0</v>
      </c>
      <c r="G501" s="12">
        <v>0</v>
      </c>
      <c r="H501" s="12" t="s">
        <v>45</v>
      </c>
      <c r="I501" s="12">
        <v>7</v>
      </c>
      <c r="J501" s="12">
        <v>0</v>
      </c>
      <c r="K501" s="12" t="s">
        <v>46</v>
      </c>
      <c r="L501" s="47" t="s">
        <v>47</v>
      </c>
      <c r="M501" s="12" t="s">
        <v>797</v>
      </c>
      <c r="N501" s="12">
        <v>0</v>
      </c>
      <c r="O501" s="47" t="s">
        <v>48</v>
      </c>
      <c r="P501" s="12">
        <v>0</v>
      </c>
      <c r="Q501" s="12"/>
      <c r="R501" s="12"/>
      <c r="S501" s="12">
        <v>0</v>
      </c>
      <c r="T501" s="12">
        <v>0</v>
      </c>
      <c r="U501" s="12"/>
      <c r="V501" s="12"/>
      <c r="W501" s="47" t="s">
        <v>47</v>
      </c>
      <c r="X501" s="47"/>
      <c r="Y501" s="47"/>
      <c r="Z501" s="12" t="s">
        <v>771</v>
      </c>
      <c r="AA501" s="12"/>
      <c r="AB501" s="12" t="s">
        <v>771</v>
      </c>
      <c r="AC501" s="12">
        <v>2194</v>
      </c>
      <c r="AD501" s="12" t="s">
        <v>51</v>
      </c>
      <c r="AE501" s="12" t="s">
        <v>51</v>
      </c>
      <c r="AF501" s="12" t="s">
        <v>51</v>
      </c>
      <c r="AG501" s="12"/>
      <c r="AH501" s="47" t="s">
        <v>52</v>
      </c>
      <c r="AI501" s="12">
        <v>0</v>
      </c>
      <c r="AJ501" s="12"/>
      <c r="AK501" s="12"/>
      <c r="AL501" s="12"/>
      <c r="AM501" s="12"/>
      <c r="AN501" s="47" t="s">
        <v>47</v>
      </c>
      <c r="AO501" s="12">
        <v>2397</v>
      </c>
      <c r="AP501" s="12" t="s">
        <v>53</v>
      </c>
      <c r="AQ501" s="2">
        <v>0</v>
      </c>
    </row>
    <row r="502" s="2" customFormat="1" ht="12" spans="1:43">
      <c r="A502" s="11">
        <v>170227</v>
      </c>
      <c r="B502" s="91" t="s">
        <v>798</v>
      </c>
      <c r="C502" s="11"/>
      <c r="D502" s="11"/>
      <c r="E502" s="11"/>
      <c r="F502" s="11">
        <v>0</v>
      </c>
      <c r="G502" s="11">
        <v>0</v>
      </c>
      <c r="H502" s="11" t="s">
        <v>45</v>
      </c>
      <c r="I502" s="11">
        <v>7</v>
      </c>
      <c r="J502" s="11">
        <v>0</v>
      </c>
      <c r="K502" s="11" t="s">
        <v>46</v>
      </c>
      <c r="L502" s="47" t="s">
        <v>47</v>
      </c>
      <c r="M502" s="11" t="s">
        <v>799</v>
      </c>
      <c r="N502" s="11">
        <v>0</v>
      </c>
      <c r="O502" s="47" t="s">
        <v>48</v>
      </c>
      <c r="P502" s="11">
        <v>0</v>
      </c>
      <c r="Q502" s="11"/>
      <c r="R502" s="11"/>
      <c r="S502" s="11">
        <v>0</v>
      </c>
      <c r="T502" s="11">
        <v>0</v>
      </c>
      <c r="U502" s="11"/>
      <c r="V502" s="11"/>
      <c r="W502" s="47" t="s">
        <v>47</v>
      </c>
      <c r="X502" s="47"/>
      <c r="Y502" s="47"/>
      <c r="Z502" s="11" t="s">
        <v>771</v>
      </c>
      <c r="AA502" s="11"/>
      <c r="AB502" s="11" t="s">
        <v>771</v>
      </c>
      <c r="AC502" s="11">
        <v>2194</v>
      </c>
      <c r="AD502" s="11" t="s">
        <v>51</v>
      </c>
      <c r="AE502" s="11" t="s">
        <v>51</v>
      </c>
      <c r="AF502" s="11" t="s">
        <v>51</v>
      </c>
      <c r="AG502" s="11"/>
      <c r="AH502" s="47" t="s">
        <v>52</v>
      </c>
      <c r="AI502" s="11">
        <v>0</v>
      </c>
      <c r="AJ502" s="11"/>
      <c r="AK502" s="11"/>
      <c r="AL502" s="11"/>
      <c r="AM502" s="11"/>
      <c r="AN502" s="47" t="s">
        <v>47</v>
      </c>
      <c r="AO502" s="11">
        <v>2398</v>
      </c>
      <c r="AP502" s="11" t="s">
        <v>53</v>
      </c>
      <c r="AQ502" s="2">
        <v>0</v>
      </c>
    </row>
    <row r="503" s="3" customFormat="1" ht="12" spans="1:43">
      <c r="A503" s="12">
        <v>170228</v>
      </c>
      <c r="B503" s="92" t="s">
        <v>800</v>
      </c>
      <c r="C503" s="12"/>
      <c r="D503" s="12"/>
      <c r="E503" s="12"/>
      <c r="F503" s="12">
        <v>0</v>
      </c>
      <c r="G503" s="12">
        <v>0</v>
      </c>
      <c r="H503" s="12" t="s">
        <v>45</v>
      </c>
      <c r="I503" s="12">
        <v>7</v>
      </c>
      <c r="J503" s="12">
        <v>0</v>
      </c>
      <c r="K503" s="12" t="s">
        <v>46</v>
      </c>
      <c r="L503" s="47" t="s">
        <v>47</v>
      </c>
      <c r="M503" s="12" t="s">
        <v>148</v>
      </c>
      <c r="N503" s="12">
        <v>0</v>
      </c>
      <c r="O503" s="47" t="s">
        <v>48</v>
      </c>
      <c r="P503" s="12">
        <v>0</v>
      </c>
      <c r="Q503" s="12"/>
      <c r="R503" s="12"/>
      <c r="S503" s="12">
        <v>0</v>
      </c>
      <c r="T503" s="12">
        <v>0</v>
      </c>
      <c r="U503" s="12"/>
      <c r="V503" s="12"/>
      <c r="W503" s="47" t="s">
        <v>47</v>
      </c>
      <c r="X503" s="47"/>
      <c r="Y503" s="47"/>
      <c r="Z503" s="12" t="s">
        <v>771</v>
      </c>
      <c r="AA503" s="12"/>
      <c r="AB503" s="12" t="s">
        <v>771</v>
      </c>
      <c r="AC503" s="12">
        <v>2194</v>
      </c>
      <c r="AD503" s="12" t="s">
        <v>51</v>
      </c>
      <c r="AE503" s="12" t="s">
        <v>51</v>
      </c>
      <c r="AF503" s="12" t="s">
        <v>51</v>
      </c>
      <c r="AG503" s="12"/>
      <c r="AH503" s="47" t="s">
        <v>52</v>
      </c>
      <c r="AI503" s="12">
        <v>0</v>
      </c>
      <c r="AJ503" s="12"/>
      <c r="AK503" s="12"/>
      <c r="AL503" s="12"/>
      <c r="AM503" s="12"/>
      <c r="AN503" s="47" t="s">
        <v>47</v>
      </c>
      <c r="AO503" s="12">
        <v>2399</v>
      </c>
      <c r="AP503" s="12" t="s">
        <v>53</v>
      </c>
      <c r="AQ503" s="2">
        <v>0</v>
      </c>
    </row>
    <row r="504" s="2" customFormat="1" ht="12" spans="1:43">
      <c r="A504" s="11">
        <v>170229</v>
      </c>
      <c r="B504" s="91" t="s">
        <v>801</v>
      </c>
      <c r="C504" s="11"/>
      <c r="D504" s="11"/>
      <c r="E504" s="11"/>
      <c r="F504" s="11">
        <v>0</v>
      </c>
      <c r="G504" s="11">
        <v>0</v>
      </c>
      <c r="H504" s="11" t="s">
        <v>45</v>
      </c>
      <c r="I504" s="11">
        <v>7</v>
      </c>
      <c r="J504" s="11">
        <v>0</v>
      </c>
      <c r="K504" s="11" t="s">
        <v>46</v>
      </c>
      <c r="L504" s="47" t="s">
        <v>47</v>
      </c>
      <c r="M504" s="11" t="s">
        <v>802</v>
      </c>
      <c r="N504" s="11">
        <v>0</v>
      </c>
      <c r="O504" s="47" t="s">
        <v>48</v>
      </c>
      <c r="P504" s="11">
        <v>0</v>
      </c>
      <c r="Q504" s="11"/>
      <c r="R504" s="11"/>
      <c r="S504" s="11">
        <v>0</v>
      </c>
      <c r="T504" s="11">
        <v>0</v>
      </c>
      <c r="U504" s="11"/>
      <c r="V504" s="11"/>
      <c r="W504" s="47" t="s">
        <v>47</v>
      </c>
      <c r="X504" s="47"/>
      <c r="Y504" s="47"/>
      <c r="Z504" s="11" t="s">
        <v>771</v>
      </c>
      <c r="AA504" s="11"/>
      <c r="AB504" s="11" t="s">
        <v>771</v>
      </c>
      <c r="AC504" s="11">
        <v>2194</v>
      </c>
      <c r="AD504" s="11" t="s">
        <v>51</v>
      </c>
      <c r="AE504" s="11" t="s">
        <v>51</v>
      </c>
      <c r="AF504" s="11" t="s">
        <v>51</v>
      </c>
      <c r="AG504" s="11"/>
      <c r="AH504" s="47" t="s">
        <v>52</v>
      </c>
      <c r="AI504" s="11">
        <v>0</v>
      </c>
      <c r="AJ504" s="11"/>
      <c r="AK504" s="11"/>
      <c r="AL504" s="11"/>
      <c r="AM504" s="11"/>
      <c r="AN504" s="47" t="s">
        <v>47</v>
      </c>
      <c r="AO504" s="11">
        <v>2400</v>
      </c>
      <c r="AP504" s="11" t="s">
        <v>53</v>
      </c>
      <c r="AQ504" s="2">
        <v>0</v>
      </c>
    </row>
    <row r="505" s="3" customFormat="1" ht="12" spans="1:43">
      <c r="A505" s="12">
        <v>170230</v>
      </c>
      <c r="B505" s="91" t="s">
        <v>803</v>
      </c>
      <c r="C505" s="12"/>
      <c r="D505" s="12"/>
      <c r="E505" s="12"/>
      <c r="F505" s="12">
        <v>0</v>
      </c>
      <c r="G505" s="12">
        <v>0</v>
      </c>
      <c r="H505" s="12" t="s">
        <v>45</v>
      </c>
      <c r="I505" s="12">
        <v>7</v>
      </c>
      <c r="J505" s="12">
        <v>0</v>
      </c>
      <c r="K505" s="12" t="s">
        <v>46</v>
      </c>
      <c r="L505" s="47" t="s">
        <v>47</v>
      </c>
      <c r="M505" s="12" t="s">
        <v>412</v>
      </c>
      <c r="N505" s="12">
        <v>0</v>
      </c>
      <c r="O505" s="47" t="s">
        <v>48</v>
      </c>
      <c r="P505" s="12">
        <v>0</v>
      </c>
      <c r="Q505" s="12"/>
      <c r="R505" s="12"/>
      <c r="S505" s="12">
        <v>0</v>
      </c>
      <c r="T505" s="12">
        <v>0</v>
      </c>
      <c r="U505" s="12"/>
      <c r="V505" s="12"/>
      <c r="W505" s="47" t="s">
        <v>47</v>
      </c>
      <c r="X505" s="47"/>
      <c r="Y505" s="47"/>
      <c r="Z505" s="12" t="s">
        <v>771</v>
      </c>
      <c r="AA505" s="12"/>
      <c r="AB505" s="12" t="s">
        <v>771</v>
      </c>
      <c r="AC505" s="12">
        <v>2194</v>
      </c>
      <c r="AD505" s="12" t="s">
        <v>51</v>
      </c>
      <c r="AE505" s="12" t="s">
        <v>51</v>
      </c>
      <c r="AF505" s="12" t="s">
        <v>51</v>
      </c>
      <c r="AG505" s="12"/>
      <c r="AH505" s="47" t="s">
        <v>52</v>
      </c>
      <c r="AI505" s="12">
        <v>0</v>
      </c>
      <c r="AJ505" s="12"/>
      <c r="AK505" s="12"/>
      <c r="AL505" s="12"/>
      <c r="AM505" s="12"/>
      <c r="AN505" s="47" t="s">
        <v>47</v>
      </c>
      <c r="AO505" s="12">
        <v>2401</v>
      </c>
      <c r="AP505" s="12" t="s">
        <v>53</v>
      </c>
      <c r="AQ505" s="2">
        <v>0</v>
      </c>
    </row>
    <row r="506" s="2" customFormat="1" ht="12" spans="1:43">
      <c r="A506" s="11">
        <v>170231</v>
      </c>
      <c r="B506" s="91" t="s">
        <v>804</v>
      </c>
      <c r="C506" s="11"/>
      <c r="D506" s="11"/>
      <c r="E506" s="11"/>
      <c r="F506" s="11">
        <v>0</v>
      </c>
      <c r="G506" s="11">
        <v>0</v>
      </c>
      <c r="H506" s="11" t="s">
        <v>45</v>
      </c>
      <c r="I506" s="11">
        <v>7</v>
      </c>
      <c r="J506" s="11">
        <v>0</v>
      </c>
      <c r="K506" s="11" t="s">
        <v>46</v>
      </c>
      <c r="L506" s="47" t="s">
        <v>47</v>
      </c>
      <c r="M506" s="11" t="s">
        <v>805</v>
      </c>
      <c r="N506" s="11">
        <v>0</v>
      </c>
      <c r="O506" s="47" t="s">
        <v>48</v>
      </c>
      <c r="P506" s="11">
        <v>0</v>
      </c>
      <c r="Q506" s="11"/>
      <c r="R506" s="11"/>
      <c r="S506" s="11">
        <v>0</v>
      </c>
      <c r="T506" s="11">
        <v>0</v>
      </c>
      <c r="U506" s="11"/>
      <c r="V506" s="11"/>
      <c r="W506" s="47" t="s">
        <v>47</v>
      </c>
      <c r="X506" s="47"/>
      <c r="Y506" s="47"/>
      <c r="Z506" s="11" t="s">
        <v>771</v>
      </c>
      <c r="AA506" s="11"/>
      <c r="AB506" s="11" t="s">
        <v>771</v>
      </c>
      <c r="AC506" s="11">
        <v>2194</v>
      </c>
      <c r="AD506" s="11" t="s">
        <v>51</v>
      </c>
      <c r="AE506" s="11" t="s">
        <v>51</v>
      </c>
      <c r="AF506" s="11" t="s">
        <v>51</v>
      </c>
      <c r="AG506" s="11"/>
      <c r="AH506" s="47" t="s">
        <v>52</v>
      </c>
      <c r="AI506" s="11">
        <v>0</v>
      </c>
      <c r="AJ506" s="11"/>
      <c r="AK506" s="11"/>
      <c r="AL506" s="11"/>
      <c r="AM506" s="11"/>
      <c r="AN506" s="47" t="s">
        <v>47</v>
      </c>
      <c r="AO506" s="11">
        <v>2402</v>
      </c>
      <c r="AP506" s="11" t="s">
        <v>53</v>
      </c>
      <c r="AQ506" s="2">
        <v>0</v>
      </c>
    </row>
    <row r="507" s="3" customFormat="1" ht="12" spans="1:43">
      <c r="A507" s="12">
        <v>170232</v>
      </c>
      <c r="B507" s="91" t="s">
        <v>806</v>
      </c>
      <c r="C507" s="12"/>
      <c r="D507" s="12"/>
      <c r="E507" s="12"/>
      <c r="F507" s="12">
        <v>0</v>
      </c>
      <c r="G507" s="12">
        <v>0</v>
      </c>
      <c r="H507" s="12" t="s">
        <v>45</v>
      </c>
      <c r="I507" s="12">
        <v>7</v>
      </c>
      <c r="J507" s="12">
        <v>0</v>
      </c>
      <c r="K507" s="12" t="s">
        <v>46</v>
      </c>
      <c r="L507" s="47" t="s">
        <v>47</v>
      </c>
      <c r="M507" s="12" t="s">
        <v>316</v>
      </c>
      <c r="N507" s="12">
        <v>0</v>
      </c>
      <c r="O507" s="47" t="s">
        <v>48</v>
      </c>
      <c r="P507" s="12">
        <v>0</v>
      </c>
      <c r="Q507" s="12"/>
      <c r="R507" s="12"/>
      <c r="S507" s="12">
        <v>0</v>
      </c>
      <c r="T507" s="12">
        <v>0</v>
      </c>
      <c r="U507" s="12"/>
      <c r="V507" s="12"/>
      <c r="W507" s="47" t="s">
        <v>47</v>
      </c>
      <c r="X507" s="47"/>
      <c r="Y507" s="47"/>
      <c r="Z507" s="12" t="s">
        <v>771</v>
      </c>
      <c r="AA507" s="12"/>
      <c r="AB507" s="12" t="s">
        <v>771</v>
      </c>
      <c r="AC507" s="12">
        <v>2194</v>
      </c>
      <c r="AD507" s="12" t="s">
        <v>51</v>
      </c>
      <c r="AE507" s="12" t="s">
        <v>51</v>
      </c>
      <c r="AF507" s="12" t="s">
        <v>51</v>
      </c>
      <c r="AG507" s="12"/>
      <c r="AH507" s="47" t="s">
        <v>52</v>
      </c>
      <c r="AI507" s="12">
        <v>0</v>
      </c>
      <c r="AJ507" s="12"/>
      <c r="AK507" s="12"/>
      <c r="AL507" s="12"/>
      <c r="AM507" s="12"/>
      <c r="AN507" s="47" t="s">
        <v>47</v>
      </c>
      <c r="AO507" s="12">
        <v>2403</v>
      </c>
      <c r="AP507" s="12" t="s">
        <v>53</v>
      </c>
      <c r="AQ507" s="2">
        <v>0</v>
      </c>
    </row>
    <row r="508" s="2" customFormat="1" ht="12" spans="1:43">
      <c r="A508" s="11">
        <v>170233</v>
      </c>
      <c r="B508" s="92" t="s">
        <v>807</v>
      </c>
      <c r="C508" s="11"/>
      <c r="D508" s="11"/>
      <c r="E508" s="11"/>
      <c r="F508" s="11">
        <v>0</v>
      </c>
      <c r="G508" s="11">
        <v>0</v>
      </c>
      <c r="H508" s="11" t="s">
        <v>45</v>
      </c>
      <c r="I508" s="11">
        <v>7</v>
      </c>
      <c r="J508" s="11">
        <v>0</v>
      </c>
      <c r="K508" s="11" t="s">
        <v>46</v>
      </c>
      <c r="L508" s="47" t="s">
        <v>47</v>
      </c>
      <c r="M508" s="11" t="s">
        <v>594</v>
      </c>
      <c r="N508" s="11">
        <v>0</v>
      </c>
      <c r="O508" s="47" t="s">
        <v>48</v>
      </c>
      <c r="P508" s="11">
        <v>0</v>
      </c>
      <c r="Q508" s="11"/>
      <c r="R508" s="11"/>
      <c r="S508" s="11">
        <v>0</v>
      </c>
      <c r="T508" s="11">
        <v>0</v>
      </c>
      <c r="U508" s="11"/>
      <c r="V508" s="11"/>
      <c r="W508" s="47" t="s">
        <v>47</v>
      </c>
      <c r="X508" s="47"/>
      <c r="Y508" s="47"/>
      <c r="Z508" s="11" t="s">
        <v>771</v>
      </c>
      <c r="AA508" s="11"/>
      <c r="AB508" s="11" t="s">
        <v>771</v>
      </c>
      <c r="AC508" s="11">
        <v>2194</v>
      </c>
      <c r="AD508" s="11" t="s">
        <v>51</v>
      </c>
      <c r="AE508" s="11" t="s">
        <v>51</v>
      </c>
      <c r="AF508" s="11" t="s">
        <v>51</v>
      </c>
      <c r="AG508" s="11"/>
      <c r="AH508" s="47" t="s">
        <v>52</v>
      </c>
      <c r="AI508" s="11">
        <v>0</v>
      </c>
      <c r="AJ508" s="11"/>
      <c r="AK508" s="11"/>
      <c r="AL508" s="11"/>
      <c r="AM508" s="11"/>
      <c r="AN508" s="47" t="s">
        <v>47</v>
      </c>
      <c r="AO508" s="11">
        <v>2404</v>
      </c>
      <c r="AP508" s="11" t="s">
        <v>53</v>
      </c>
      <c r="AQ508" s="2">
        <v>0</v>
      </c>
    </row>
    <row r="509" s="3" customFormat="1" ht="12" spans="1:43">
      <c r="A509" s="12">
        <v>170234</v>
      </c>
      <c r="B509" s="93" t="s">
        <v>808</v>
      </c>
      <c r="C509" s="12"/>
      <c r="D509" s="12"/>
      <c r="E509" s="12"/>
      <c r="F509" s="12">
        <v>0</v>
      </c>
      <c r="G509" s="12">
        <v>0</v>
      </c>
      <c r="H509" s="12" t="s">
        <v>45</v>
      </c>
      <c r="I509" s="12">
        <v>7</v>
      </c>
      <c r="J509" s="12">
        <v>0</v>
      </c>
      <c r="K509" s="12" t="s">
        <v>46</v>
      </c>
      <c r="L509" s="47" t="s">
        <v>47</v>
      </c>
      <c r="M509" s="12">
        <v>1010172</v>
      </c>
      <c r="N509" s="12">
        <v>0</v>
      </c>
      <c r="O509" s="47" t="s">
        <v>48</v>
      </c>
      <c r="P509" s="12">
        <v>0</v>
      </c>
      <c r="Q509" s="12"/>
      <c r="R509" s="12"/>
      <c r="S509" s="12">
        <v>0</v>
      </c>
      <c r="T509" s="12">
        <v>0</v>
      </c>
      <c r="U509" s="12"/>
      <c r="V509" s="12"/>
      <c r="W509" s="47" t="s">
        <v>47</v>
      </c>
      <c r="X509" s="47"/>
      <c r="Y509" s="47"/>
      <c r="Z509" s="12" t="s">
        <v>771</v>
      </c>
      <c r="AA509" s="12"/>
      <c r="AB509" s="12" t="s">
        <v>771</v>
      </c>
      <c r="AC509" s="12">
        <v>2194</v>
      </c>
      <c r="AD509" s="12" t="s">
        <v>51</v>
      </c>
      <c r="AE509" s="12" t="s">
        <v>51</v>
      </c>
      <c r="AF509" s="12" t="s">
        <v>51</v>
      </c>
      <c r="AG509" s="12"/>
      <c r="AH509" s="47" t="s">
        <v>52</v>
      </c>
      <c r="AI509" s="12">
        <v>0</v>
      </c>
      <c r="AJ509" s="12"/>
      <c r="AK509" s="12"/>
      <c r="AL509" s="12"/>
      <c r="AM509" s="12"/>
      <c r="AN509" s="47" t="s">
        <v>47</v>
      </c>
      <c r="AO509" s="12">
        <v>2405</v>
      </c>
      <c r="AP509" s="12" t="s">
        <v>53</v>
      </c>
      <c r="AQ509" s="2">
        <v>0</v>
      </c>
    </row>
    <row r="510" s="2" customFormat="1" ht="12" spans="1:43">
      <c r="A510" s="11">
        <v>170235</v>
      </c>
      <c r="B510" s="93" t="s">
        <v>809</v>
      </c>
      <c r="C510" s="11"/>
      <c r="D510" s="11"/>
      <c r="E510" s="11"/>
      <c r="F510" s="11">
        <v>0</v>
      </c>
      <c r="G510" s="11">
        <v>0</v>
      </c>
      <c r="H510" s="11" t="s">
        <v>45</v>
      </c>
      <c r="I510" s="11">
        <v>7</v>
      </c>
      <c r="J510" s="11">
        <v>0</v>
      </c>
      <c r="K510" s="11" t="s">
        <v>46</v>
      </c>
      <c r="L510" s="47" t="s">
        <v>47</v>
      </c>
      <c r="M510" s="11">
        <v>1010138</v>
      </c>
      <c r="N510" s="11">
        <v>0</v>
      </c>
      <c r="O510" s="47" t="s">
        <v>48</v>
      </c>
      <c r="P510" s="11">
        <v>0</v>
      </c>
      <c r="Q510" s="11"/>
      <c r="R510" s="11"/>
      <c r="S510" s="11">
        <v>0</v>
      </c>
      <c r="T510" s="11">
        <v>0</v>
      </c>
      <c r="U510" s="11"/>
      <c r="V510" s="11"/>
      <c r="W510" s="47" t="s">
        <v>47</v>
      </c>
      <c r="X510" s="47"/>
      <c r="Y510" s="47"/>
      <c r="Z510" s="11" t="s">
        <v>771</v>
      </c>
      <c r="AA510" s="11"/>
      <c r="AB510" s="11" t="s">
        <v>771</v>
      </c>
      <c r="AC510" s="11">
        <v>2194</v>
      </c>
      <c r="AD510" s="11" t="s">
        <v>51</v>
      </c>
      <c r="AE510" s="11" t="s">
        <v>51</v>
      </c>
      <c r="AF510" s="11" t="s">
        <v>51</v>
      </c>
      <c r="AG510" s="11"/>
      <c r="AH510" s="47" t="s">
        <v>52</v>
      </c>
      <c r="AI510" s="11">
        <v>0</v>
      </c>
      <c r="AJ510" s="11"/>
      <c r="AK510" s="11"/>
      <c r="AL510" s="11"/>
      <c r="AM510" s="11"/>
      <c r="AN510" s="47" t="s">
        <v>47</v>
      </c>
      <c r="AO510" s="11">
        <v>2406</v>
      </c>
      <c r="AP510" s="11" t="s">
        <v>53</v>
      </c>
      <c r="AQ510" s="2">
        <v>0</v>
      </c>
    </row>
    <row r="511" s="3" customFormat="1" ht="12" spans="1:43">
      <c r="A511" s="12">
        <v>170236</v>
      </c>
      <c r="B511" s="93" t="s">
        <v>810</v>
      </c>
      <c r="C511" s="12"/>
      <c r="D511" s="12"/>
      <c r="E511" s="12"/>
      <c r="F511" s="12">
        <v>0</v>
      </c>
      <c r="G511" s="12">
        <v>0</v>
      </c>
      <c r="H511" s="12" t="s">
        <v>45</v>
      </c>
      <c r="I511" s="12">
        <v>7</v>
      </c>
      <c r="J511" s="12">
        <v>0</v>
      </c>
      <c r="K511" s="12" t="s">
        <v>46</v>
      </c>
      <c r="L511" s="47" t="s">
        <v>47</v>
      </c>
      <c r="M511" s="12">
        <v>1010176</v>
      </c>
      <c r="N511" s="12">
        <v>0</v>
      </c>
      <c r="O511" s="47" t="s">
        <v>48</v>
      </c>
      <c r="P511" s="12">
        <v>0</v>
      </c>
      <c r="Q511" s="12"/>
      <c r="R511" s="12"/>
      <c r="S511" s="12">
        <v>0</v>
      </c>
      <c r="T511" s="12">
        <v>0</v>
      </c>
      <c r="U511" s="12"/>
      <c r="V511" s="12"/>
      <c r="W511" s="47" t="s">
        <v>47</v>
      </c>
      <c r="X511" s="47"/>
      <c r="Y511" s="47"/>
      <c r="Z511" s="12" t="s">
        <v>771</v>
      </c>
      <c r="AA511" s="12"/>
      <c r="AB511" s="12" t="s">
        <v>771</v>
      </c>
      <c r="AC511" s="12">
        <v>2194</v>
      </c>
      <c r="AD511" s="12" t="s">
        <v>51</v>
      </c>
      <c r="AE511" s="12" t="s">
        <v>51</v>
      </c>
      <c r="AF511" s="12" t="s">
        <v>51</v>
      </c>
      <c r="AG511" s="12"/>
      <c r="AH511" s="47" t="s">
        <v>52</v>
      </c>
      <c r="AI511" s="12">
        <v>0</v>
      </c>
      <c r="AJ511" s="12"/>
      <c r="AK511" s="12"/>
      <c r="AL511" s="12"/>
      <c r="AM511" s="12"/>
      <c r="AN511" s="47" t="s">
        <v>47</v>
      </c>
      <c r="AO511" s="12">
        <v>2407</v>
      </c>
      <c r="AP511" s="12" t="s">
        <v>53</v>
      </c>
      <c r="AQ511" s="2">
        <v>0</v>
      </c>
    </row>
    <row r="512" s="2" customFormat="1" ht="12" spans="1:43">
      <c r="A512" s="11">
        <v>170237</v>
      </c>
      <c r="B512" s="93" t="s">
        <v>811</v>
      </c>
      <c r="C512" s="11"/>
      <c r="D512" s="11"/>
      <c r="E512" s="11"/>
      <c r="F512" s="11">
        <v>0</v>
      </c>
      <c r="G512" s="11">
        <v>0</v>
      </c>
      <c r="H512" s="11" t="s">
        <v>45</v>
      </c>
      <c r="I512" s="11">
        <v>7</v>
      </c>
      <c r="J512" s="11">
        <v>0</v>
      </c>
      <c r="K512" s="11" t="s">
        <v>46</v>
      </c>
      <c r="L512" s="47" t="s">
        <v>47</v>
      </c>
      <c r="M512" s="11">
        <v>1010171</v>
      </c>
      <c r="N512" s="11">
        <v>0</v>
      </c>
      <c r="O512" s="47" t="s">
        <v>48</v>
      </c>
      <c r="P512" s="11">
        <v>0</v>
      </c>
      <c r="Q512" s="11"/>
      <c r="R512" s="11"/>
      <c r="S512" s="11">
        <v>0</v>
      </c>
      <c r="T512" s="11">
        <v>0</v>
      </c>
      <c r="U512" s="11"/>
      <c r="V512" s="11"/>
      <c r="W512" s="47" t="s">
        <v>47</v>
      </c>
      <c r="X512" s="47"/>
      <c r="Y512" s="47"/>
      <c r="Z512" s="11" t="s">
        <v>771</v>
      </c>
      <c r="AA512" s="11"/>
      <c r="AB512" s="11" t="s">
        <v>771</v>
      </c>
      <c r="AC512" s="11">
        <v>2194</v>
      </c>
      <c r="AD512" s="11" t="s">
        <v>51</v>
      </c>
      <c r="AE512" s="11" t="s">
        <v>51</v>
      </c>
      <c r="AF512" s="11" t="s">
        <v>51</v>
      </c>
      <c r="AG512" s="11"/>
      <c r="AH512" s="47" t="s">
        <v>52</v>
      </c>
      <c r="AI512" s="11">
        <v>0</v>
      </c>
      <c r="AJ512" s="11"/>
      <c r="AK512" s="11"/>
      <c r="AL512" s="11"/>
      <c r="AM512" s="11"/>
      <c r="AN512" s="47" t="s">
        <v>47</v>
      </c>
      <c r="AO512" s="11">
        <v>2408</v>
      </c>
      <c r="AP512" s="11" t="s">
        <v>53</v>
      </c>
      <c r="AQ512" s="2">
        <v>0</v>
      </c>
    </row>
    <row r="513" s="3" customFormat="1" ht="12" spans="1:43">
      <c r="A513" s="12">
        <v>170238</v>
      </c>
      <c r="B513" s="93" t="s">
        <v>812</v>
      </c>
      <c r="C513" s="12"/>
      <c r="D513" s="12"/>
      <c r="E513" s="12"/>
      <c r="F513" s="12">
        <v>0</v>
      </c>
      <c r="G513" s="12">
        <v>0</v>
      </c>
      <c r="H513" s="12" t="s">
        <v>45</v>
      </c>
      <c r="I513" s="12">
        <v>7</v>
      </c>
      <c r="J513" s="12">
        <v>0</v>
      </c>
      <c r="K513" s="12" t="s">
        <v>46</v>
      </c>
      <c r="L513" s="47" t="s">
        <v>47</v>
      </c>
      <c r="M513" s="12">
        <v>1010173</v>
      </c>
      <c r="N513" s="12">
        <v>0</v>
      </c>
      <c r="O513" s="47" t="s">
        <v>48</v>
      </c>
      <c r="P513" s="12">
        <v>0</v>
      </c>
      <c r="Q513" s="12"/>
      <c r="R513" s="12"/>
      <c r="S513" s="12">
        <v>0</v>
      </c>
      <c r="T513" s="12">
        <v>0</v>
      </c>
      <c r="U513" s="12"/>
      <c r="V513" s="12"/>
      <c r="W513" s="47" t="s">
        <v>47</v>
      </c>
      <c r="X513" s="47"/>
      <c r="Y513" s="47"/>
      <c r="Z513" s="12" t="s">
        <v>771</v>
      </c>
      <c r="AA513" s="12"/>
      <c r="AB513" s="12" t="s">
        <v>771</v>
      </c>
      <c r="AC513" s="12">
        <v>2194</v>
      </c>
      <c r="AD513" s="12" t="s">
        <v>51</v>
      </c>
      <c r="AE513" s="12" t="s">
        <v>51</v>
      </c>
      <c r="AF513" s="12" t="s">
        <v>51</v>
      </c>
      <c r="AG513" s="12"/>
      <c r="AH513" s="47" t="s">
        <v>52</v>
      </c>
      <c r="AI513" s="12">
        <v>0</v>
      </c>
      <c r="AJ513" s="12"/>
      <c r="AK513" s="12"/>
      <c r="AL513" s="12"/>
      <c r="AM513" s="12"/>
      <c r="AN513" s="47" t="s">
        <v>47</v>
      </c>
      <c r="AO513" s="12">
        <v>2409</v>
      </c>
      <c r="AP513" s="12" t="s">
        <v>53</v>
      </c>
      <c r="AQ513" s="2">
        <v>0</v>
      </c>
    </row>
    <row r="514" s="2" customFormat="1" ht="12" spans="1:43">
      <c r="A514" s="11">
        <v>170239</v>
      </c>
      <c r="B514" s="92" t="s">
        <v>813</v>
      </c>
      <c r="C514" s="11"/>
      <c r="D514" s="11"/>
      <c r="E514" s="11"/>
      <c r="F514" s="11">
        <v>0</v>
      </c>
      <c r="G514" s="11">
        <v>0</v>
      </c>
      <c r="H514" s="11" t="s">
        <v>45</v>
      </c>
      <c r="I514" s="11">
        <v>7</v>
      </c>
      <c r="J514" s="11">
        <v>0</v>
      </c>
      <c r="K514" s="11" t="s">
        <v>46</v>
      </c>
      <c r="L514" s="47" t="s">
        <v>47</v>
      </c>
      <c r="M514" s="11">
        <v>1010168</v>
      </c>
      <c r="N514" s="11">
        <v>0</v>
      </c>
      <c r="O514" s="47" t="s">
        <v>48</v>
      </c>
      <c r="P514" s="11">
        <v>0</v>
      </c>
      <c r="Q514" s="11"/>
      <c r="R514" s="11"/>
      <c r="S514" s="11">
        <v>0</v>
      </c>
      <c r="T514" s="11">
        <v>0</v>
      </c>
      <c r="U514" s="11"/>
      <c r="V514" s="11"/>
      <c r="W514" s="47" t="s">
        <v>47</v>
      </c>
      <c r="X514" s="47"/>
      <c r="Y514" s="47"/>
      <c r="Z514" s="11" t="s">
        <v>771</v>
      </c>
      <c r="AA514" s="11"/>
      <c r="AB514" s="11" t="s">
        <v>771</v>
      </c>
      <c r="AC514" s="11">
        <v>2194</v>
      </c>
      <c r="AD514" s="11" t="s">
        <v>51</v>
      </c>
      <c r="AE514" s="11" t="s">
        <v>51</v>
      </c>
      <c r="AF514" s="11" t="s">
        <v>51</v>
      </c>
      <c r="AG514" s="11"/>
      <c r="AH514" s="47" t="s">
        <v>52</v>
      </c>
      <c r="AI514" s="11">
        <v>0</v>
      </c>
      <c r="AJ514" s="11"/>
      <c r="AK514" s="11"/>
      <c r="AL514" s="11"/>
      <c r="AM514" s="11"/>
      <c r="AN514" s="47" t="s">
        <v>47</v>
      </c>
      <c r="AO514" s="11">
        <v>2410</v>
      </c>
      <c r="AP514" s="11" t="s">
        <v>53</v>
      </c>
      <c r="AQ514" s="2">
        <v>0</v>
      </c>
    </row>
    <row r="515" s="3" customFormat="1" ht="12" spans="1:43">
      <c r="A515" s="12">
        <v>170240</v>
      </c>
      <c r="B515" s="91" t="s">
        <v>814</v>
      </c>
      <c r="C515" s="12"/>
      <c r="D515" s="12"/>
      <c r="E515" s="12"/>
      <c r="F515" s="12">
        <v>0</v>
      </c>
      <c r="G515" s="12">
        <v>0</v>
      </c>
      <c r="H515" s="12" t="s">
        <v>45</v>
      </c>
      <c r="I515" s="12">
        <v>7</v>
      </c>
      <c r="J515" s="12">
        <v>0</v>
      </c>
      <c r="K515" s="12" t="s">
        <v>46</v>
      </c>
      <c r="L515" s="47" t="s">
        <v>47</v>
      </c>
      <c r="M515" s="12" t="s">
        <v>815</v>
      </c>
      <c r="N515" s="12">
        <v>0</v>
      </c>
      <c r="O515" s="47" t="s">
        <v>48</v>
      </c>
      <c r="P515" s="12">
        <v>0</v>
      </c>
      <c r="Q515" s="12"/>
      <c r="R515" s="12"/>
      <c r="S515" s="12">
        <v>0</v>
      </c>
      <c r="T515" s="12">
        <v>0</v>
      </c>
      <c r="U515" s="12"/>
      <c r="V515" s="12"/>
      <c r="W515" s="47" t="s">
        <v>47</v>
      </c>
      <c r="X515" s="47"/>
      <c r="Y515" s="47"/>
      <c r="Z515" s="12" t="s">
        <v>771</v>
      </c>
      <c r="AA515" s="12"/>
      <c r="AB515" s="12" t="s">
        <v>771</v>
      </c>
      <c r="AC515" s="12">
        <v>2194</v>
      </c>
      <c r="AD515" s="12" t="s">
        <v>51</v>
      </c>
      <c r="AE515" s="12" t="s">
        <v>51</v>
      </c>
      <c r="AF515" s="12" t="s">
        <v>51</v>
      </c>
      <c r="AG515" s="12"/>
      <c r="AH515" s="47" t="s">
        <v>52</v>
      </c>
      <c r="AI515" s="12">
        <v>0</v>
      </c>
      <c r="AJ515" s="12"/>
      <c r="AK515" s="12"/>
      <c r="AL515" s="12"/>
      <c r="AM515" s="12"/>
      <c r="AN515" s="47" t="s">
        <v>47</v>
      </c>
      <c r="AO515" s="12">
        <v>2411</v>
      </c>
      <c r="AP515" s="12" t="s">
        <v>53</v>
      </c>
      <c r="AQ515" s="2">
        <v>0</v>
      </c>
    </row>
    <row r="516" s="2" customFormat="1" ht="12" spans="1:43">
      <c r="A516" s="11">
        <v>170241</v>
      </c>
      <c r="B516" s="93" t="s">
        <v>816</v>
      </c>
      <c r="C516" s="11"/>
      <c r="D516" s="11"/>
      <c r="E516" s="11"/>
      <c r="F516" s="11">
        <v>0</v>
      </c>
      <c r="G516" s="11">
        <v>0</v>
      </c>
      <c r="H516" s="11" t="s">
        <v>45</v>
      </c>
      <c r="I516" s="11">
        <v>7</v>
      </c>
      <c r="J516" s="11">
        <v>0</v>
      </c>
      <c r="K516" s="11" t="s">
        <v>46</v>
      </c>
      <c r="L516" s="47" t="s">
        <v>47</v>
      </c>
      <c r="M516" s="11">
        <v>1010149</v>
      </c>
      <c r="N516" s="11">
        <v>0</v>
      </c>
      <c r="O516" s="47" t="s">
        <v>48</v>
      </c>
      <c r="P516" s="11">
        <v>0</v>
      </c>
      <c r="Q516" s="11"/>
      <c r="R516" s="11"/>
      <c r="S516" s="11">
        <v>0</v>
      </c>
      <c r="T516" s="11">
        <v>0</v>
      </c>
      <c r="U516" s="11"/>
      <c r="V516" s="11"/>
      <c r="W516" s="47" t="s">
        <v>47</v>
      </c>
      <c r="X516" s="47"/>
      <c r="Y516" s="47"/>
      <c r="Z516" s="11" t="s">
        <v>771</v>
      </c>
      <c r="AA516" s="11"/>
      <c r="AB516" s="11" t="s">
        <v>771</v>
      </c>
      <c r="AC516" s="11">
        <v>2194</v>
      </c>
      <c r="AD516" s="11" t="s">
        <v>51</v>
      </c>
      <c r="AE516" s="11" t="s">
        <v>51</v>
      </c>
      <c r="AF516" s="11" t="s">
        <v>51</v>
      </c>
      <c r="AG516" s="11"/>
      <c r="AH516" s="47" t="s">
        <v>52</v>
      </c>
      <c r="AI516" s="11">
        <v>0</v>
      </c>
      <c r="AJ516" s="11"/>
      <c r="AK516" s="11"/>
      <c r="AL516" s="11"/>
      <c r="AM516" s="11"/>
      <c r="AN516" s="47" t="s">
        <v>47</v>
      </c>
      <c r="AO516" s="11">
        <v>2412</v>
      </c>
      <c r="AP516" s="11" t="s">
        <v>53</v>
      </c>
      <c r="AQ516" s="2">
        <v>0</v>
      </c>
    </row>
    <row r="517" s="3" customFormat="1" ht="12" spans="1:43">
      <c r="A517" s="12">
        <v>170242</v>
      </c>
      <c r="B517" s="93" t="s">
        <v>817</v>
      </c>
      <c r="C517" s="12"/>
      <c r="D517" s="12"/>
      <c r="E517" s="12"/>
      <c r="F517" s="12">
        <v>0</v>
      </c>
      <c r="G517" s="12">
        <v>0</v>
      </c>
      <c r="H517" s="12" t="s">
        <v>45</v>
      </c>
      <c r="I517" s="12">
        <v>7</v>
      </c>
      <c r="J517" s="12">
        <v>0</v>
      </c>
      <c r="K517" s="12" t="s">
        <v>46</v>
      </c>
      <c r="L517" s="47" t="s">
        <v>47</v>
      </c>
      <c r="M517" s="12">
        <v>1010166</v>
      </c>
      <c r="N517" s="12">
        <v>0</v>
      </c>
      <c r="O517" s="47" t="s">
        <v>48</v>
      </c>
      <c r="P517" s="12">
        <v>0</v>
      </c>
      <c r="Q517" s="12"/>
      <c r="R517" s="12"/>
      <c r="S517" s="12">
        <v>0</v>
      </c>
      <c r="T517" s="12">
        <v>0</v>
      </c>
      <c r="U517" s="12"/>
      <c r="V517" s="12"/>
      <c r="W517" s="47" t="s">
        <v>47</v>
      </c>
      <c r="X517" s="47"/>
      <c r="Y517" s="47"/>
      <c r="Z517" s="12" t="s">
        <v>771</v>
      </c>
      <c r="AA517" s="12"/>
      <c r="AB517" s="12" t="s">
        <v>771</v>
      </c>
      <c r="AC517" s="12">
        <v>2194</v>
      </c>
      <c r="AD517" s="12" t="s">
        <v>51</v>
      </c>
      <c r="AE517" s="12" t="s">
        <v>51</v>
      </c>
      <c r="AF517" s="12" t="s">
        <v>51</v>
      </c>
      <c r="AG517" s="12"/>
      <c r="AH517" s="47" t="s">
        <v>52</v>
      </c>
      <c r="AI517" s="12">
        <v>0</v>
      </c>
      <c r="AJ517" s="12"/>
      <c r="AK517" s="12"/>
      <c r="AL517" s="12"/>
      <c r="AM517" s="12"/>
      <c r="AN517" s="47" t="s">
        <v>47</v>
      </c>
      <c r="AO517" s="12">
        <v>2413</v>
      </c>
      <c r="AP517" s="12" t="s">
        <v>53</v>
      </c>
      <c r="AQ517" s="2">
        <v>0</v>
      </c>
    </row>
    <row r="518" s="2" customFormat="1" ht="12" spans="1:43">
      <c r="A518" s="11">
        <v>170243</v>
      </c>
      <c r="B518" s="92" t="s">
        <v>818</v>
      </c>
      <c r="C518" s="11"/>
      <c r="D518" s="11"/>
      <c r="E518" s="11"/>
      <c r="F518" s="11">
        <v>0</v>
      </c>
      <c r="G518" s="11">
        <v>0</v>
      </c>
      <c r="H518" s="11" t="s">
        <v>45</v>
      </c>
      <c r="I518" s="11">
        <v>7</v>
      </c>
      <c r="J518" s="11">
        <v>0</v>
      </c>
      <c r="K518" s="11" t="s">
        <v>46</v>
      </c>
      <c r="L518" s="47" t="s">
        <v>47</v>
      </c>
      <c r="M518" s="11" t="s">
        <v>819</v>
      </c>
      <c r="N518" s="11">
        <v>0</v>
      </c>
      <c r="O518" s="47" t="s">
        <v>48</v>
      </c>
      <c r="P518" s="11">
        <v>0</v>
      </c>
      <c r="Q518" s="11"/>
      <c r="R518" s="11"/>
      <c r="S518" s="11">
        <v>0</v>
      </c>
      <c r="T518" s="11">
        <v>0</v>
      </c>
      <c r="U518" s="11"/>
      <c r="V518" s="11"/>
      <c r="W518" s="47" t="s">
        <v>47</v>
      </c>
      <c r="X518" s="47"/>
      <c r="Y518" s="47"/>
      <c r="Z518" s="11" t="s">
        <v>771</v>
      </c>
      <c r="AA518" s="11"/>
      <c r="AB518" s="11" t="s">
        <v>771</v>
      </c>
      <c r="AC518" s="11">
        <v>2194</v>
      </c>
      <c r="AD518" s="11" t="s">
        <v>51</v>
      </c>
      <c r="AE518" s="11" t="s">
        <v>51</v>
      </c>
      <c r="AF518" s="11" t="s">
        <v>51</v>
      </c>
      <c r="AG518" s="11"/>
      <c r="AH518" s="47" t="s">
        <v>52</v>
      </c>
      <c r="AI518" s="11">
        <v>0</v>
      </c>
      <c r="AJ518" s="11"/>
      <c r="AK518" s="11"/>
      <c r="AL518" s="11"/>
      <c r="AM518" s="11"/>
      <c r="AN518" s="47" t="s">
        <v>47</v>
      </c>
      <c r="AO518" s="11">
        <v>2414</v>
      </c>
      <c r="AP518" s="11" t="s">
        <v>53</v>
      </c>
      <c r="AQ518" s="2">
        <v>0</v>
      </c>
    </row>
    <row r="519" s="3" customFormat="1" ht="12" spans="1:43">
      <c r="A519" s="12">
        <v>170244</v>
      </c>
      <c r="B519" s="91" t="s">
        <v>820</v>
      </c>
      <c r="C519" s="12"/>
      <c r="D519" s="12"/>
      <c r="E519" s="12"/>
      <c r="F519" s="12">
        <v>0</v>
      </c>
      <c r="G519" s="12">
        <v>0</v>
      </c>
      <c r="H519" s="12" t="s">
        <v>45</v>
      </c>
      <c r="I519" s="12">
        <v>7</v>
      </c>
      <c r="J519" s="12">
        <v>0</v>
      </c>
      <c r="K519" s="12" t="s">
        <v>46</v>
      </c>
      <c r="L519" s="47" t="s">
        <v>47</v>
      </c>
      <c r="M519" s="12" t="s">
        <v>411</v>
      </c>
      <c r="N519" s="12">
        <v>0</v>
      </c>
      <c r="O519" s="47" t="s">
        <v>48</v>
      </c>
      <c r="P519" s="12">
        <v>0</v>
      </c>
      <c r="Q519" s="12"/>
      <c r="R519" s="12"/>
      <c r="S519" s="12">
        <v>0</v>
      </c>
      <c r="T519" s="12">
        <v>0</v>
      </c>
      <c r="U519" s="12"/>
      <c r="V519" s="12"/>
      <c r="W519" s="47" t="s">
        <v>47</v>
      </c>
      <c r="X519" s="47"/>
      <c r="Y519" s="47"/>
      <c r="Z519" s="12" t="s">
        <v>771</v>
      </c>
      <c r="AA519" s="12"/>
      <c r="AB519" s="12" t="s">
        <v>771</v>
      </c>
      <c r="AC519" s="12">
        <v>2194</v>
      </c>
      <c r="AD519" s="12" t="s">
        <v>51</v>
      </c>
      <c r="AE519" s="12" t="s">
        <v>51</v>
      </c>
      <c r="AF519" s="12" t="s">
        <v>51</v>
      </c>
      <c r="AG519" s="12"/>
      <c r="AH519" s="47" t="s">
        <v>52</v>
      </c>
      <c r="AI519" s="12">
        <v>0</v>
      </c>
      <c r="AJ519" s="12"/>
      <c r="AK519" s="12"/>
      <c r="AL519" s="12"/>
      <c r="AM519" s="12"/>
      <c r="AN519" s="47" t="s">
        <v>47</v>
      </c>
      <c r="AO519" s="12">
        <v>2415</v>
      </c>
      <c r="AP519" s="12" t="s">
        <v>53</v>
      </c>
      <c r="AQ519" s="2">
        <v>0</v>
      </c>
    </row>
    <row r="520" s="2" customFormat="1" ht="12" spans="1:43">
      <c r="A520" s="11">
        <v>170245</v>
      </c>
      <c r="B520" s="91" t="s">
        <v>821</v>
      </c>
      <c r="C520" s="11"/>
      <c r="D520" s="11"/>
      <c r="E520" s="11"/>
      <c r="F520" s="11">
        <v>0</v>
      </c>
      <c r="G520" s="11">
        <v>0</v>
      </c>
      <c r="H520" s="11" t="s">
        <v>45</v>
      </c>
      <c r="I520" s="11">
        <v>7</v>
      </c>
      <c r="J520" s="11">
        <v>0</v>
      </c>
      <c r="K520" s="11" t="s">
        <v>46</v>
      </c>
      <c r="L520" s="47" t="s">
        <v>47</v>
      </c>
      <c r="M520" s="11" t="s">
        <v>410</v>
      </c>
      <c r="N520" s="11">
        <v>0</v>
      </c>
      <c r="O520" s="47" t="s">
        <v>48</v>
      </c>
      <c r="P520" s="11">
        <v>0</v>
      </c>
      <c r="Q520" s="11"/>
      <c r="R520" s="11"/>
      <c r="S520" s="11">
        <v>0</v>
      </c>
      <c r="T520" s="11">
        <v>0</v>
      </c>
      <c r="U520" s="11"/>
      <c r="V520" s="11"/>
      <c r="W520" s="47" t="s">
        <v>47</v>
      </c>
      <c r="X520" s="47"/>
      <c r="Y520" s="47"/>
      <c r="Z520" s="11" t="s">
        <v>771</v>
      </c>
      <c r="AA520" s="11"/>
      <c r="AB520" s="11" t="s">
        <v>771</v>
      </c>
      <c r="AC520" s="11">
        <v>2194</v>
      </c>
      <c r="AD520" s="11" t="s">
        <v>51</v>
      </c>
      <c r="AE520" s="11" t="s">
        <v>51</v>
      </c>
      <c r="AF520" s="11" t="s">
        <v>51</v>
      </c>
      <c r="AG520" s="11"/>
      <c r="AH520" s="47" t="s">
        <v>52</v>
      </c>
      <c r="AI520" s="11">
        <v>0</v>
      </c>
      <c r="AJ520" s="11"/>
      <c r="AK520" s="11"/>
      <c r="AL520" s="11"/>
      <c r="AM520" s="11"/>
      <c r="AN520" s="47" t="s">
        <v>47</v>
      </c>
      <c r="AO520" s="11">
        <v>2416</v>
      </c>
      <c r="AP520" s="11" t="s">
        <v>53</v>
      </c>
      <c r="AQ520" s="2">
        <v>0</v>
      </c>
    </row>
    <row r="521" s="3" customFormat="1" ht="12" spans="1:43">
      <c r="A521" s="12">
        <v>170246</v>
      </c>
      <c r="B521" s="91" t="s">
        <v>822</v>
      </c>
      <c r="C521" s="12"/>
      <c r="D521" s="12"/>
      <c r="E521" s="12"/>
      <c r="F521" s="12">
        <v>0</v>
      </c>
      <c r="G521" s="12">
        <v>0</v>
      </c>
      <c r="H521" s="12" t="s">
        <v>45</v>
      </c>
      <c r="I521" s="12">
        <v>7</v>
      </c>
      <c r="J521" s="12">
        <v>0</v>
      </c>
      <c r="K521" s="12" t="s">
        <v>46</v>
      </c>
      <c r="L521" s="47" t="s">
        <v>47</v>
      </c>
      <c r="M521" s="12" t="s">
        <v>296</v>
      </c>
      <c r="N521" s="12">
        <v>0</v>
      </c>
      <c r="O521" s="47" t="s">
        <v>48</v>
      </c>
      <c r="P521" s="12">
        <v>0</v>
      </c>
      <c r="Q521" s="12"/>
      <c r="R521" s="12"/>
      <c r="S521" s="12">
        <v>0</v>
      </c>
      <c r="T521" s="12">
        <v>0</v>
      </c>
      <c r="U521" s="12"/>
      <c r="V521" s="12"/>
      <c r="W521" s="47" t="s">
        <v>47</v>
      </c>
      <c r="X521" s="47"/>
      <c r="Y521" s="47"/>
      <c r="Z521" s="12" t="s">
        <v>771</v>
      </c>
      <c r="AA521" s="12"/>
      <c r="AB521" s="12" t="s">
        <v>771</v>
      </c>
      <c r="AC521" s="12">
        <v>2194</v>
      </c>
      <c r="AD521" s="12" t="s">
        <v>51</v>
      </c>
      <c r="AE521" s="12" t="s">
        <v>51</v>
      </c>
      <c r="AF521" s="12" t="s">
        <v>51</v>
      </c>
      <c r="AG521" s="12"/>
      <c r="AH521" s="47" t="s">
        <v>52</v>
      </c>
      <c r="AI521" s="12">
        <v>0</v>
      </c>
      <c r="AJ521" s="12"/>
      <c r="AK521" s="12"/>
      <c r="AL521" s="12"/>
      <c r="AM521" s="12"/>
      <c r="AN521" s="47" t="s">
        <v>47</v>
      </c>
      <c r="AO521" s="12">
        <v>2417</v>
      </c>
      <c r="AP521" s="12" t="s">
        <v>53</v>
      </c>
      <c r="AQ521" s="2">
        <v>0</v>
      </c>
    </row>
    <row r="522" s="2" customFormat="1" ht="12" spans="1:43">
      <c r="A522" s="11">
        <v>170247</v>
      </c>
      <c r="B522" s="93" t="s">
        <v>823</v>
      </c>
      <c r="C522" s="11"/>
      <c r="D522" s="11"/>
      <c r="E522" s="11"/>
      <c r="F522" s="11">
        <v>0</v>
      </c>
      <c r="G522" s="11">
        <v>0</v>
      </c>
      <c r="H522" s="11" t="s">
        <v>45</v>
      </c>
      <c r="I522" s="11">
        <v>7</v>
      </c>
      <c r="J522" s="11">
        <v>0</v>
      </c>
      <c r="K522" s="11" t="s">
        <v>46</v>
      </c>
      <c r="L522" s="47" t="s">
        <v>47</v>
      </c>
      <c r="M522" s="11">
        <v>1010174</v>
      </c>
      <c r="N522" s="11">
        <v>0</v>
      </c>
      <c r="O522" s="47" t="s">
        <v>48</v>
      </c>
      <c r="P522" s="11">
        <v>0</v>
      </c>
      <c r="Q522" s="11"/>
      <c r="R522" s="11"/>
      <c r="S522" s="11">
        <v>0</v>
      </c>
      <c r="T522" s="11">
        <v>0</v>
      </c>
      <c r="U522" s="11"/>
      <c r="V522" s="11"/>
      <c r="W522" s="47" t="s">
        <v>47</v>
      </c>
      <c r="X522" s="47"/>
      <c r="Y522" s="47"/>
      <c r="Z522" s="11" t="s">
        <v>771</v>
      </c>
      <c r="AA522" s="11"/>
      <c r="AB522" s="11" t="s">
        <v>771</v>
      </c>
      <c r="AC522" s="11">
        <v>2194</v>
      </c>
      <c r="AD522" s="11" t="s">
        <v>51</v>
      </c>
      <c r="AE522" s="11" t="s">
        <v>51</v>
      </c>
      <c r="AF522" s="11" t="s">
        <v>51</v>
      </c>
      <c r="AG522" s="11"/>
      <c r="AH522" s="47" t="s">
        <v>52</v>
      </c>
      <c r="AI522" s="11">
        <v>0</v>
      </c>
      <c r="AJ522" s="11"/>
      <c r="AK522" s="11"/>
      <c r="AL522" s="11"/>
      <c r="AM522" s="11"/>
      <c r="AN522" s="47" t="s">
        <v>47</v>
      </c>
      <c r="AO522" s="11">
        <v>2418</v>
      </c>
      <c r="AP522" s="11" t="s">
        <v>53</v>
      </c>
      <c r="AQ522" s="2">
        <v>0</v>
      </c>
    </row>
    <row r="523" s="3" customFormat="1" ht="12" spans="1:43">
      <c r="A523" s="12">
        <v>170248</v>
      </c>
      <c r="B523" s="91" t="s">
        <v>824</v>
      </c>
      <c r="C523" s="12"/>
      <c r="D523" s="12"/>
      <c r="E523" s="12"/>
      <c r="F523" s="12">
        <v>0</v>
      </c>
      <c r="G523" s="12">
        <v>0</v>
      </c>
      <c r="H523" s="12" t="s">
        <v>45</v>
      </c>
      <c r="I523" s="12">
        <v>7</v>
      </c>
      <c r="J523" s="12">
        <v>0</v>
      </c>
      <c r="K523" s="12" t="s">
        <v>46</v>
      </c>
      <c r="L523" s="47" t="s">
        <v>47</v>
      </c>
      <c r="M523" s="12" t="s">
        <v>409</v>
      </c>
      <c r="N523" s="12">
        <v>0</v>
      </c>
      <c r="O523" s="47" t="s">
        <v>48</v>
      </c>
      <c r="P523" s="12">
        <v>0</v>
      </c>
      <c r="Q523" s="12"/>
      <c r="R523" s="12"/>
      <c r="S523" s="12">
        <v>0</v>
      </c>
      <c r="T523" s="12">
        <v>0</v>
      </c>
      <c r="U523" s="12"/>
      <c r="V523" s="12"/>
      <c r="W523" s="47" t="s">
        <v>47</v>
      </c>
      <c r="X523" s="47"/>
      <c r="Y523" s="47"/>
      <c r="Z523" s="12" t="s">
        <v>771</v>
      </c>
      <c r="AA523" s="12"/>
      <c r="AB523" s="12" t="s">
        <v>771</v>
      </c>
      <c r="AC523" s="12">
        <v>2194</v>
      </c>
      <c r="AD523" s="12" t="s">
        <v>51</v>
      </c>
      <c r="AE523" s="12" t="s">
        <v>51</v>
      </c>
      <c r="AF523" s="12" t="s">
        <v>51</v>
      </c>
      <c r="AG523" s="12"/>
      <c r="AH523" s="47" t="s">
        <v>52</v>
      </c>
      <c r="AI523" s="12">
        <v>0</v>
      </c>
      <c r="AJ523" s="12"/>
      <c r="AK523" s="12"/>
      <c r="AL523" s="12"/>
      <c r="AM523" s="12"/>
      <c r="AN523" s="47" t="s">
        <v>47</v>
      </c>
      <c r="AO523" s="12">
        <v>2419</v>
      </c>
      <c r="AP523" s="12" t="s">
        <v>53</v>
      </c>
      <c r="AQ523" s="2">
        <v>0</v>
      </c>
    </row>
    <row r="524" s="2" customFormat="1" ht="12" spans="1:43">
      <c r="A524" s="11">
        <v>170249</v>
      </c>
      <c r="B524" s="93" t="s">
        <v>825</v>
      </c>
      <c r="C524" s="11"/>
      <c r="D524" s="11"/>
      <c r="E524" s="11"/>
      <c r="F524" s="11">
        <v>0</v>
      </c>
      <c r="G524" s="11">
        <v>0</v>
      </c>
      <c r="H524" s="11" t="s">
        <v>45</v>
      </c>
      <c r="I524" s="11">
        <v>7</v>
      </c>
      <c r="J524" s="11">
        <v>0</v>
      </c>
      <c r="K524" s="11" t="s">
        <v>46</v>
      </c>
      <c r="L524" s="47" t="s">
        <v>47</v>
      </c>
      <c r="M524" s="11">
        <v>1010175</v>
      </c>
      <c r="N524" s="11">
        <v>0</v>
      </c>
      <c r="O524" s="47" t="s">
        <v>48</v>
      </c>
      <c r="P524" s="11">
        <v>0</v>
      </c>
      <c r="Q524" s="11"/>
      <c r="R524" s="11"/>
      <c r="S524" s="11">
        <v>0</v>
      </c>
      <c r="T524" s="11">
        <v>0</v>
      </c>
      <c r="U524" s="11"/>
      <c r="V524" s="11"/>
      <c r="W524" s="47" t="s">
        <v>47</v>
      </c>
      <c r="X524" s="47"/>
      <c r="Y524" s="47"/>
      <c r="Z524" s="11" t="s">
        <v>771</v>
      </c>
      <c r="AA524" s="11"/>
      <c r="AB524" s="11" t="s">
        <v>771</v>
      </c>
      <c r="AC524" s="11">
        <v>2194</v>
      </c>
      <c r="AD524" s="11" t="s">
        <v>51</v>
      </c>
      <c r="AE524" s="11" t="s">
        <v>51</v>
      </c>
      <c r="AF524" s="11" t="s">
        <v>51</v>
      </c>
      <c r="AG524" s="11"/>
      <c r="AH524" s="47" t="s">
        <v>52</v>
      </c>
      <c r="AI524" s="11">
        <v>0</v>
      </c>
      <c r="AJ524" s="11"/>
      <c r="AK524" s="11"/>
      <c r="AL524" s="11"/>
      <c r="AM524" s="11"/>
      <c r="AN524" s="47" t="s">
        <v>47</v>
      </c>
      <c r="AO524" s="11">
        <v>2420</v>
      </c>
      <c r="AP524" s="11" t="s">
        <v>53</v>
      </c>
      <c r="AQ524" s="2">
        <v>0</v>
      </c>
    </row>
    <row r="525" s="3" customFormat="1" ht="12" spans="1:43">
      <c r="A525" s="12">
        <v>170250</v>
      </c>
      <c r="B525" s="91" t="s">
        <v>826</v>
      </c>
      <c r="C525" s="12"/>
      <c r="D525" s="12"/>
      <c r="E525" s="12"/>
      <c r="F525" s="12">
        <v>0</v>
      </c>
      <c r="G525" s="12">
        <v>0</v>
      </c>
      <c r="H525" s="12" t="s">
        <v>45</v>
      </c>
      <c r="I525" s="12">
        <v>7</v>
      </c>
      <c r="J525" s="12">
        <v>0</v>
      </c>
      <c r="K525" s="12" t="s">
        <v>46</v>
      </c>
      <c r="L525" s="47" t="s">
        <v>47</v>
      </c>
      <c r="M525" s="12" t="s">
        <v>679</v>
      </c>
      <c r="N525" s="12">
        <v>0</v>
      </c>
      <c r="O525" s="47" t="s">
        <v>48</v>
      </c>
      <c r="P525" s="12">
        <v>0</v>
      </c>
      <c r="Q525" s="12"/>
      <c r="R525" s="12"/>
      <c r="S525" s="12">
        <v>0</v>
      </c>
      <c r="T525" s="12">
        <v>0</v>
      </c>
      <c r="U525" s="12"/>
      <c r="V525" s="12"/>
      <c r="W525" s="47" t="s">
        <v>47</v>
      </c>
      <c r="X525" s="47"/>
      <c r="Y525" s="47"/>
      <c r="Z525" s="12" t="s">
        <v>771</v>
      </c>
      <c r="AA525" s="12"/>
      <c r="AB525" s="12" t="s">
        <v>771</v>
      </c>
      <c r="AC525" s="12">
        <v>2194</v>
      </c>
      <c r="AD525" s="12" t="s">
        <v>51</v>
      </c>
      <c r="AE525" s="12" t="s">
        <v>51</v>
      </c>
      <c r="AF525" s="12" t="s">
        <v>51</v>
      </c>
      <c r="AG525" s="12"/>
      <c r="AH525" s="47" t="s">
        <v>52</v>
      </c>
      <c r="AI525" s="12">
        <v>0</v>
      </c>
      <c r="AJ525" s="12"/>
      <c r="AK525" s="12"/>
      <c r="AL525" s="12"/>
      <c r="AM525" s="12"/>
      <c r="AN525" s="47" t="s">
        <v>47</v>
      </c>
      <c r="AO525" s="12">
        <v>2421</v>
      </c>
      <c r="AP525" s="12" t="s">
        <v>53</v>
      </c>
      <c r="AQ525" s="2">
        <v>0</v>
      </c>
    </row>
    <row r="526" s="2" customFormat="1" ht="12" spans="1:43">
      <c r="A526" s="11">
        <v>170251</v>
      </c>
      <c r="B526" s="91" t="s">
        <v>827</v>
      </c>
      <c r="C526" s="11"/>
      <c r="D526" s="11"/>
      <c r="E526" s="11"/>
      <c r="F526" s="11">
        <v>1</v>
      </c>
      <c r="G526" s="11">
        <v>0</v>
      </c>
      <c r="H526" s="11" t="s">
        <v>45</v>
      </c>
      <c r="I526" s="11">
        <v>7</v>
      </c>
      <c r="J526" s="11">
        <v>0</v>
      </c>
      <c r="K526" s="11" t="s">
        <v>46</v>
      </c>
      <c r="L526" s="47" t="s">
        <v>47</v>
      </c>
      <c r="M526" s="12">
        <v>1010112</v>
      </c>
      <c r="N526" s="11">
        <v>0</v>
      </c>
      <c r="O526" s="47" t="s">
        <v>48</v>
      </c>
      <c r="P526" s="11">
        <v>0</v>
      </c>
      <c r="Q526" s="11"/>
      <c r="R526" s="11"/>
      <c r="S526" s="11">
        <v>0</v>
      </c>
      <c r="T526" s="11">
        <v>0</v>
      </c>
      <c r="U526" s="11"/>
      <c r="V526" s="11"/>
      <c r="W526" s="47" t="s">
        <v>47</v>
      </c>
      <c r="X526" s="47"/>
      <c r="Y526" s="47"/>
      <c r="Z526" s="11" t="s">
        <v>771</v>
      </c>
      <c r="AA526" s="11"/>
      <c r="AB526" s="11" t="s">
        <v>771</v>
      </c>
      <c r="AC526" s="11">
        <v>2194</v>
      </c>
      <c r="AD526" s="11" t="s">
        <v>51</v>
      </c>
      <c r="AE526" s="11" t="s">
        <v>51</v>
      </c>
      <c r="AF526" s="11" t="s">
        <v>51</v>
      </c>
      <c r="AG526" s="11"/>
      <c r="AH526" s="47" t="s">
        <v>52</v>
      </c>
      <c r="AI526" s="11">
        <v>0</v>
      </c>
      <c r="AJ526" s="11"/>
      <c r="AK526" s="11"/>
      <c r="AL526" s="11"/>
      <c r="AM526" s="11"/>
      <c r="AN526" s="47" t="s">
        <v>47</v>
      </c>
      <c r="AO526" s="11">
        <v>2422</v>
      </c>
      <c r="AP526" s="11" t="s">
        <v>53</v>
      </c>
      <c r="AQ526" s="2">
        <v>0</v>
      </c>
    </row>
    <row r="527" s="3" customFormat="1" ht="12" spans="1:43">
      <c r="A527" s="12">
        <v>170252</v>
      </c>
      <c r="B527" s="91" t="s">
        <v>828</v>
      </c>
      <c r="C527" s="12"/>
      <c r="D527" s="12"/>
      <c r="E527" s="12"/>
      <c r="F527" s="11">
        <v>1</v>
      </c>
      <c r="G527" s="12">
        <v>0</v>
      </c>
      <c r="H527" s="12" t="s">
        <v>45</v>
      </c>
      <c r="I527" s="12">
        <v>7</v>
      </c>
      <c r="J527" s="12">
        <v>0</v>
      </c>
      <c r="K527" s="12" t="s">
        <v>46</v>
      </c>
      <c r="L527" s="47" t="s">
        <v>47</v>
      </c>
      <c r="M527" s="11" t="s">
        <v>773</v>
      </c>
      <c r="N527" s="12">
        <v>0</v>
      </c>
      <c r="O527" s="47" t="s">
        <v>48</v>
      </c>
      <c r="P527" s="12">
        <v>0</v>
      </c>
      <c r="Q527" s="12"/>
      <c r="R527" s="12"/>
      <c r="S527" s="12">
        <v>0</v>
      </c>
      <c r="T527" s="12">
        <v>0</v>
      </c>
      <c r="U527" s="12"/>
      <c r="V527" s="12"/>
      <c r="W527" s="47" t="s">
        <v>47</v>
      </c>
      <c r="X527" s="47"/>
      <c r="Y527" s="47"/>
      <c r="Z527" s="12" t="s">
        <v>771</v>
      </c>
      <c r="AA527" s="12"/>
      <c r="AB527" s="12" t="s">
        <v>771</v>
      </c>
      <c r="AC527" s="12">
        <v>2194</v>
      </c>
      <c r="AD527" s="12" t="s">
        <v>51</v>
      </c>
      <c r="AE527" s="12" t="s">
        <v>51</v>
      </c>
      <c r="AF527" s="12" t="s">
        <v>51</v>
      </c>
      <c r="AG527" s="12"/>
      <c r="AH527" s="47" t="s">
        <v>52</v>
      </c>
      <c r="AI527" s="12">
        <v>0</v>
      </c>
      <c r="AJ527" s="12"/>
      <c r="AK527" s="12"/>
      <c r="AL527" s="12"/>
      <c r="AM527" s="12"/>
      <c r="AN527" s="47" t="s">
        <v>47</v>
      </c>
      <c r="AO527" s="12">
        <v>2423</v>
      </c>
      <c r="AP527" s="12" t="s">
        <v>53</v>
      </c>
      <c r="AQ527" s="2">
        <v>0</v>
      </c>
    </row>
    <row r="528" s="2" customFormat="1" ht="12" spans="1:43">
      <c r="A528" s="11">
        <v>170253</v>
      </c>
      <c r="B528" s="91" t="s">
        <v>827</v>
      </c>
      <c r="C528" s="11"/>
      <c r="D528" s="11"/>
      <c r="E528" s="11"/>
      <c r="F528" s="11">
        <v>1</v>
      </c>
      <c r="G528" s="11">
        <v>0</v>
      </c>
      <c r="H528" s="11" t="s">
        <v>45</v>
      </c>
      <c r="I528" s="11">
        <v>7</v>
      </c>
      <c r="J528" s="11">
        <v>0</v>
      </c>
      <c r="K528" s="11" t="s">
        <v>46</v>
      </c>
      <c r="L528" s="47" t="s">
        <v>47</v>
      </c>
      <c r="M528" s="63">
        <v>1010159</v>
      </c>
      <c r="N528" s="11">
        <v>0</v>
      </c>
      <c r="O528" s="47" t="s">
        <v>48</v>
      </c>
      <c r="P528" s="11">
        <v>0</v>
      </c>
      <c r="Q528" s="11"/>
      <c r="R528" s="11"/>
      <c r="S528" s="11">
        <v>0</v>
      </c>
      <c r="T528" s="11">
        <v>0</v>
      </c>
      <c r="U528" s="11"/>
      <c r="V528" s="11"/>
      <c r="W528" s="47" t="s">
        <v>47</v>
      </c>
      <c r="X528" s="47"/>
      <c r="Y528" s="47"/>
      <c r="Z528" s="11" t="s">
        <v>771</v>
      </c>
      <c r="AA528" s="11"/>
      <c r="AB528" s="11" t="s">
        <v>771</v>
      </c>
      <c r="AC528" s="11">
        <v>2194</v>
      </c>
      <c r="AD528" s="11" t="s">
        <v>51</v>
      </c>
      <c r="AE528" s="11" t="s">
        <v>51</v>
      </c>
      <c r="AF528" s="11" t="s">
        <v>51</v>
      </c>
      <c r="AG528" s="11"/>
      <c r="AH528" s="47" t="s">
        <v>52</v>
      </c>
      <c r="AI528" s="11">
        <v>0</v>
      </c>
      <c r="AJ528" s="11"/>
      <c r="AK528" s="11"/>
      <c r="AL528" s="11"/>
      <c r="AM528" s="11"/>
      <c r="AN528" s="47" t="s">
        <v>47</v>
      </c>
      <c r="AO528" s="11">
        <v>2424</v>
      </c>
      <c r="AP528" s="11" t="s">
        <v>53</v>
      </c>
      <c r="AQ528" s="2">
        <v>0</v>
      </c>
    </row>
    <row r="529" s="3" customFormat="1" ht="12" spans="1:43">
      <c r="A529" s="12">
        <v>170254</v>
      </c>
      <c r="B529" s="91" t="s">
        <v>829</v>
      </c>
      <c r="C529" s="12"/>
      <c r="D529" s="12"/>
      <c r="E529" s="12"/>
      <c r="F529" s="11">
        <v>1</v>
      </c>
      <c r="G529" s="12">
        <v>0</v>
      </c>
      <c r="H529" s="12" t="s">
        <v>45</v>
      </c>
      <c r="I529" s="12">
        <v>7</v>
      </c>
      <c r="J529" s="12">
        <v>0</v>
      </c>
      <c r="K529" s="12" t="s">
        <v>46</v>
      </c>
      <c r="L529" s="47" t="s">
        <v>47</v>
      </c>
      <c r="M529" s="11" t="s">
        <v>775</v>
      </c>
      <c r="N529" s="12">
        <v>0</v>
      </c>
      <c r="O529" s="47" t="s">
        <v>48</v>
      </c>
      <c r="P529" s="12">
        <v>0</v>
      </c>
      <c r="Q529" s="12"/>
      <c r="R529" s="12"/>
      <c r="S529" s="12">
        <v>0</v>
      </c>
      <c r="T529" s="12">
        <v>0</v>
      </c>
      <c r="U529" s="12"/>
      <c r="V529" s="12"/>
      <c r="W529" s="47" t="s">
        <v>47</v>
      </c>
      <c r="X529" s="47"/>
      <c r="Y529" s="47"/>
      <c r="Z529" s="12" t="s">
        <v>771</v>
      </c>
      <c r="AA529" s="12"/>
      <c r="AB529" s="12" t="s">
        <v>771</v>
      </c>
      <c r="AC529" s="12">
        <v>2194</v>
      </c>
      <c r="AD529" s="12" t="s">
        <v>51</v>
      </c>
      <c r="AE529" s="12" t="s">
        <v>51</v>
      </c>
      <c r="AF529" s="12" t="s">
        <v>51</v>
      </c>
      <c r="AG529" s="12"/>
      <c r="AH529" s="47" t="s">
        <v>52</v>
      </c>
      <c r="AI529" s="12">
        <v>0</v>
      </c>
      <c r="AJ529" s="12"/>
      <c r="AK529" s="12"/>
      <c r="AL529" s="12"/>
      <c r="AM529" s="12"/>
      <c r="AN529" s="47" t="s">
        <v>47</v>
      </c>
      <c r="AO529" s="12">
        <v>2425</v>
      </c>
      <c r="AP529" s="12" t="s">
        <v>53</v>
      </c>
      <c r="AQ529" s="2">
        <v>0</v>
      </c>
    </row>
    <row r="530" s="2" customFormat="1" ht="12" spans="1:43">
      <c r="A530" s="11">
        <v>170255</v>
      </c>
      <c r="B530" s="91" t="s">
        <v>830</v>
      </c>
      <c r="C530" s="11"/>
      <c r="D530" s="11"/>
      <c r="E530" s="11"/>
      <c r="F530" s="11">
        <v>1</v>
      </c>
      <c r="G530" s="11">
        <v>1</v>
      </c>
      <c r="H530" s="11" t="s">
        <v>45</v>
      </c>
      <c r="I530" s="11">
        <v>7</v>
      </c>
      <c r="J530" s="11">
        <v>0</v>
      </c>
      <c r="K530" s="11" t="s">
        <v>46</v>
      </c>
      <c r="L530" s="47" t="s">
        <v>47</v>
      </c>
      <c r="M530" s="12" t="s">
        <v>777</v>
      </c>
      <c r="N530" s="11">
        <v>0</v>
      </c>
      <c r="O530" s="47" t="s">
        <v>48</v>
      </c>
      <c r="P530" s="11">
        <v>0</v>
      </c>
      <c r="Q530" s="11"/>
      <c r="R530" s="11"/>
      <c r="S530" s="11">
        <v>0</v>
      </c>
      <c r="T530" s="11">
        <v>0</v>
      </c>
      <c r="U530" s="11"/>
      <c r="V530" s="11"/>
      <c r="W530" s="47" t="s">
        <v>47</v>
      </c>
      <c r="X530" s="47"/>
      <c r="Y530" s="47"/>
      <c r="Z530" s="11" t="s">
        <v>771</v>
      </c>
      <c r="AA530" s="11"/>
      <c r="AB530" s="11" t="s">
        <v>771</v>
      </c>
      <c r="AC530" s="11">
        <v>2194</v>
      </c>
      <c r="AD530" s="11" t="s">
        <v>51</v>
      </c>
      <c r="AE530" s="11" t="s">
        <v>51</v>
      </c>
      <c r="AF530" s="11" t="s">
        <v>51</v>
      </c>
      <c r="AG530" s="11"/>
      <c r="AH530" s="47" t="s">
        <v>52</v>
      </c>
      <c r="AI530" s="11">
        <v>0</v>
      </c>
      <c r="AJ530" s="11"/>
      <c r="AK530" s="11"/>
      <c r="AL530" s="11"/>
      <c r="AM530" s="11"/>
      <c r="AN530" s="47" t="s">
        <v>47</v>
      </c>
      <c r="AO530" s="11">
        <v>2426</v>
      </c>
      <c r="AP530" s="11" t="s">
        <v>53</v>
      </c>
      <c r="AQ530" s="2">
        <v>0</v>
      </c>
    </row>
    <row r="531" s="3" customFormat="1" ht="12" spans="1:43">
      <c r="A531" s="12">
        <v>170256</v>
      </c>
      <c r="B531" s="91" t="s">
        <v>831</v>
      </c>
      <c r="C531" s="12"/>
      <c r="D531" s="12"/>
      <c r="E531" s="12"/>
      <c r="F531" s="11">
        <v>1</v>
      </c>
      <c r="G531" s="12">
        <v>0</v>
      </c>
      <c r="H531" s="12" t="s">
        <v>45</v>
      </c>
      <c r="I531" s="12">
        <v>7</v>
      </c>
      <c r="J531" s="12">
        <v>0</v>
      </c>
      <c r="K531" s="12" t="s">
        <v>46</v>
      </c>
      <c r="L531" s="47" t="s">
        <v>47</v>
      </c>
      <c r="M531" s="11" t="s">
        <v>779</v>
      </c>
      <c r="N531" s="12">
        <v>0</v>
      </c>
      <c r="O531" s="47" t="s">
        <v>48</v>
      </c>
      <c r="P531" s="12">
        <v>0</v>
      </c>
      <c r="Q531" s="12"/>
      <c r="R531" s="12"/>
      <c r="S531" s="12">
        <v>0</v>
      </c>
      <c r="T531" s="12">
        <v>0</v>
      </c>
      <c r="U531" s="12"/>
      <c r="V531" s="12"/>
      <c r="W531" s="47" t="s">
        <v>47</v>
      </c>
      <c r="X531" s="47"/>
      <c r="Y531" s="47"/>
      <c r="Z531" s="12" t="s">
        <v>771</v>
      </c>
      <c r="AA531" s="12"/>
      <c r="AB531" s="12" t="s">
        <v>771</v>
      </c>
      <c r="AC531" s="12">
        <v>2194</v>
      </c>
      <c r="AD531" s="12" t="s">
        <v>51</v>
      </c>
      <c r="AE531" s="12" t="s">
        <v>51</v>
      </c>
      <c r="AF531" s="12" t="s">
        <v>51</v>
      </c>
      <c r="AG531" s="12"/>
      <c r="AH531" s="47" t="s">
        <v>52</v>
      </c>
      <c r="AI531" s="12">
        <v>0</v>
      </c>
      <c r="AJ531" s="12"/>
      <c r="AK531" s="12"/>
      <c r="AL531" s="12"/>
      <c r="AM531" s="12"/>
      <c r="AN531" s="47" t="s">
        <v>47</v>
      </c>
      <c r="AO531" s="12">
        <v>2427</v>
      </c>
      <c r="AP531" s="12" t="s">
        <v>53</v>
      </c>
      <c r="AQ531" s="2">
        <v>0</v>
      </c>
    </row>
    <row r="532" s="2" customFormat="1" ht="12" spans="1:43">
      <c r="A532" s="11">
        <v>170257</v>
      </c>
      <c r="B532" s="91" t="s">
        <v>832</v>
      </c>
      <c r="C532" s="11"/>
      <c r="D532" s="11"/>
      <c r="E532" s="11"/>
      <c r="F532" s="11">
        <v>1</v>
      </c>
      <c r="G532" s="11">
        <v>1</v>
      </c>
      <c r="H532" s="11" t="s">
        <v>45</v>
      </c>
      <c r="I532" s="11">
        <v>7</v>
      </c>
      <c r="J532" s="11">
        <v>0</v>
      </c>
      <c r="K532" s="11" t="s">
        <v>46</v>
      </c>
      <c r="L532" s="47" t="s">
        <v>47</v>
      </c>
      <c r="M532" s="12" t="s">
        <v>781</v>
      </c>
      <c r="N532" s="11">
        <v>0</v>
      </c>
      <c r="O532" s="47" t="s">
        <v>48</v>
      </c>
      <c r="P532" s="11">
        <v>0</v>
      </c>
      <c r="Q532" s="11"/>
      <c r="R532" s="11"/>
      <c r="S532" s="11">
        <v>0</v>
      </c>
      <c r="T532" s="11">
        <v>0</v>
      </c>
      <c r="U532" s="11"/>
      <c r="V532" s="11"/>
      <c r="W532" s="47" t="s">
        <v>47</v>
      </c>
      <c r="X532" s="47"/>
      <c r="Y532" s="47"/>
      <c r="Z532" s="11" t="s">
        <v>771</v>
      </c>
      <c r="AA532" s="11"/>
      <c r="AB532" s="11" t="s">
        <v>771</v>
      </c>
      <c r="AC532" s="11">
        <v>2194</v>
      </c>
      <c r="AD532" s="11" t="s">
        <v>51</v>
      </c>
      <c r="AE532" s="11" t="s">
        <v>51</v>
      </c>
      <c r="AF532" s="11" t="s">
        <v>51</v>
      </c>
      <c r="AG532" s="11"/>
      <c r="AH532" s="47" t="s">
        <v>52</v>
      </c>
      <c r="AI532" s="11">
        <v>0</v>
      </c>
      <c r="AJ532" s="11"/>
      <c r="AK532" s="11"/>
      <c r="AL532" s="11"/>
      <c r="AM532" s="11"/>
      <c r="AN532" s="47" t="s">
        <v>47</v>
      </c>
      <c r="AO532" s="11">
        <v>2428</v>
      </c>
      <c r="AP532" s="11" t="s">
        <v>53</v>
      </c>
      <c r="AQ532" s="2">
        <v>0</v>
      </c>
    </row>
    <row r="533" s="3" customFormat="1" ht="12" spans="1:43">
      <c r="A533" s="12">
        <v>170258</v>
      </c>
      <c r="B533" s="91" t="s">
        <v>833</v>
      </c>
      <c r="C533" s="12"/>
      <c r="D533" s="12"/>
      <c r="E533" s="12"/>
      <c r="F533" s="11">
        <v>1</v>
      </c>
      <c r="G533" s="12">
        <v>0</v>
      </c>
      <c r="H533" s="12" t="s">
        <v>45</v>
      </c>
      <c r="I533" s="12">
        <v>7</v>
      </c>
      <c r="J533" s="12">
        <v>0</v>
      </c>
      <c r="K533" s="12" t="s">
        <v>46</v>
      </c>
      <c r="L533" s="47" t="s">
        <v>47</v>
      </c>
      <c r="M533" s="11" t="s">
        <v>365</v>
      </c>
      <c r="N533" s="12">
        <v>0</v>
      </c>
      <c r="O533" s="47" t="s">
        <v>48</v>
      </c>
      <c r="P533" s="12">
        <v>0</v>
      </c>
      <c r="Q533" s="12"/>
      <c r="R533" s="12"/>
      <c r="S533" s="12">
        <v>0</v>
      </c>
      <c r="T533" s="12">
        <v>0</v>
      </c>
      <c r="U533" s="12"/>
      <c r="V533" s="12"/>
      <c r="W533" s="47" t="s">
        <v>47</v>
      </c>
      <c r="X533" s="47"/>
      <c r="Y533" s="47"/>
      <c r="Z533" s="12" t="s">
        <v>771</v>
      </c>
      <c r="AA533" s="12"/>
      <c r="AB533" s="12" t="s">
        <v>771</v>
      </c>
      <c r="AC533" s="12">
        <v>2194</v>
      </c>
      <c r="AD533" s="12" t="s">
        <v>51</v>
      </c>
      <c r="AE533" s="12" t="s">
        <v>51</v>
      </c>
      <c r="AF533" s="12" t="s">
        <v>51</v>
      </c>
      <c r="AG533" s="12"/>
      <c r="AH533" s="47" t="s">
        <v>52</v>
      </c>
      <c r="AI533" s="12">
        <v>0</v>
      </c>
      <c r="AJ533" s="12"/>
      <c r="AK533" s="12"/>
      <c r="AL533" s="12"/>
      <c r="AM533" s="12"/>
      <c r="AN533" s="47" t="s">
        <v>47</v>
      </c>
      <c r="AO533" s="12">
        <v>2429</v>
      </c>
      <c r="AP533" s="12" t="s">
        <v>53</v>
      </c>
      <c r="AQ533" s="2">
        <v>0</v>
      </c>
    </row>
    <row r="534" s="2" customFormat="1" ht="12" spans="1:43">
      <c r="A534" s="11">
        <v>170259</v>
      </c>
      <c r="B534" s="91" t="s">
        <v>834</v>
      </c>
      <c r="C534" s="11"/>
      <c r="D534" s="11"/>
      <c r="E534" s="11"/>
      <c r="F534" s="11">
        <v>1</v>
      </c>
      <c r="G534" s="11">
        <v>0</v>
      </c>
      <c r="H534" s="11" t="s">
        <v>45</v>
      </c>
      <c r="I534" s="11">
        <v>7</v>
      </c>
      <c r="J534" s="11">
        <v>0</v>
      </c>
      <c r="K534" s="11" t="s">
        <v>46</v>
      </c>
      <c r="L534" s="47" t="s">
        <v>47</v>
      </c>
      <c r="M534" s="12" t="s">
        <v>280</v>
      </c>
      <c r="N534" s="11">
        <v>0</v>
      </c>
      <c r="O534" s="47" t="s">
        <v>48</v>
      </c>
      <c r="P534" s="11">
        <v>0</v>
      </c>
      <c r="Q534" s="11"/>
      <c r="R534" s="11"/>
      <c r="S534" s="11">
        <v>0</v>
      </c>
      <c r="T534" s="11">
        <v>0</v>
      </c>
      <c r="U534" s="11"/>
      <c r="V534" s="11"/>
      <c r="W534" s="47" t="s">
        <v>47</v>
      </c>
      <c r="X534" s="47"/>
      <c r="Y534" s="47"/>
      <c r="Z534" s="11" t="s">
        <v>771</v>
      </c>
      <c r="AA534" s="11"/>
      <c r="AB534" s="11" t="s">
        <v>771</v>
      </c>
      <c r="AC534" s="11">
        <v>2194</v>
      </c>
      <c r="AD534" s="11" t="s">
        <v>51</v>
      </c>
      <c r="AE534" s="11" t="s">
        <v>51</v>
      </c>
      <c r="AF534" s="11" t="s">
        <v>51</v>
      </c>
      <c r="AG534" s="11"/>
      <c r="AH534" s="47" t="s">
        <v>52</v>
      </c>
      <c r="AI534" s="11">
        <v>0</v>
      </c>
      <c r="AJ534" s="11"/>
      <c r="AK534" s="11"/>
      <c r="AL534" s="11"/>
      <c r="AM534" s="11"/>
      <c r="AN534" s="47" t="s">
        <v>47</v>
      </c>
      <c r="AO534" s="11">
        <v>2430</v>
      </c>
      <c r="AP534" s="11" t="s">
        <v>53</v>
      </c>
      <c r="AQ534" s="2">
        <v>0</v>
      </c>
    </row>
    <row r="535" s="3" customFormat="1" ht="12" spans="1:43">
      <c r="A535" s="12">
        <v>170260</v>
      </c>
      <c r="B535" s="91" t="s">
        <v>835</v>
      </c>
      <c r="C535" s="12"/>
      <c r="D535" s="12"/>
      <c r="E535" s="12"/>
      <c r="F535" s="11">
        <v>1</v>
      </c>
      <c r="G535" s="12">
        <v>0</v>
      </c>
      <c r="H535" s="12" t="s">
        <v>45</v>
      </c>
      <c r="I535" s="12">
        <v>7</v>
      </c>
      <c r="J535" s="12">
        <v>0</v>
      </c>
      <c r="K535" s="12" t="s">
        <v>46</v>
      </c>
      <c r="L535" s="47" t="s">
        <v>47</v>
      </c>
      <c r="M535" s="11" t="s">
        <v>785</v>
      </c>
      <c r="N535" s="12">
        <v>0</v>
      </c>
      <c r="O535" s="47" t="s">
        <v>48</v>
      </c>
      <c r="P535" s="12">
        <v>0</v>
      </c>
      <c r="Q535" s="12"/>
      <c r="R535" s="12"/>
      <c r="S535" s="12">
        <v>0</v>
      </c>
      <c r="T535" s="12">
        <v>0</v>
      </c>
      <c r="U535" s="12"/>
      <c r="V535" s="12"/>
      <c r="W535" s="47" t="s">
        <v>47</v>
      </c>
      <c r="X535" s="47"/>
      <c r="Y535" s="47"/>
      <c r="Z535" s="12" t="s">
        <v>771</v>
      </c>
      <c r="AA535" s="12"/>
      <c r="AB535" s="12" t="s">
        <v>771</v>
      </c>
      <c r="AC535" s="12">
        <v>2194</v>
      </c>
      <c r="AD535" s="12" t="s">
        <v>51</v>
      </c>
      <c r="AE535" s="12" t="s">
        <v>51</v>
      </c>
      <c r="AF535" s="12" t="s">
        <v>51</v>
      </c>
      <c r="AG535" s="12"/>
      <c r="AH535" s="47" t="s">
        <v>52</v>
      </c>
      <c r="AI535" s="12">
        <v>0</v>
      </c>
      <c r="AJ535" s="12"/>
      <c r="AK535" s="12"/>
      <c r="AL535" s="12"/>
      <c r="AM535" s="12"/>
      <c r="AN535" s="47" t="s">
        <v>47</v>
      </c>
      <c r="AO535" s="12">
        <v>2431</v>
      </c>
      <c r="AP535" s="12" t="s">
        <v>53</v>
      </c>
      <c r="AQ535" s="2">
        <v>0</v>
      </c>
    </row>
    <row r="536" s="2" customFormat="1" ht="12" spans="1:43">
      <c r="A536" s="11">
        <v>170261</v>
      </c>
      <c r="B536" s="91" t="s">
        <v>836</v>
      </c>
      <c r="C536" s="11"/>
      <c r="D536" s="11"/>
      <c r="E536" s="11"/>
      <c r="F536" s="11">
        <v>1</v>
      </c>
      <c r="G536" s="11">
        <v>0</v>
      </c>
      <c r="H536" s="11" t="s">
        <v>45</v>
      </c>
      <c r="I536" s="11">
        <v>7</v>
      </c>
      <c r="J536" s="11">
        <v>0</v>
      </c>
      <c r="K536" s="11" t="s">
        <v>46</v>
      </c>
      <c r="L536" s="47" t="s">
        <v>47</v>
      </c>
      <c r="M536" s="12" t="s">
        <v>787</v>
      </c>
      <c r="N536" s="11">
        <v>0</v>
      </c>
      <c r="O536" s="47" t="s">
        <v>48</v>
      </c>
      <c r="P536" s="11">
        <v>0</v>
      </c>
      <c r="Q536" s="11"/>
      <c r="R536" s="11"/>
      <c r="S536" s="11">
        <v>0</v>
      </c>
      <c r="T536" s="11">
        <v>0</v>
      </c>
      <c r="U536" s="11"/>
      <c r="V536" s="11"/>
      <c r="W536" s="47" t="s">
        <v>47</v>
      </c>
      <c r="X536" s="47"/>
      <c r="Y536" s="47"/>
      <c r="Z536" s="11" t="s">
        <v>771</v>
      </c>
      <c r="AA536" s="11"/>
      <c r="AB536" s="11" t="s">
        <v>771</v>
      </c>
      <c r="AC536" s="11">
        <v>2194</v>
      </c>
      <c r="AD536" s="11" t="s">
        <v>51</v>
      </c>
      <c r="AE536" s="11" t="s">
        <v>51</v>
      </c>
      <c r="AF536" s="11" t="s">
        <v>51</v>
      </c>
      <c r="AG536" s="11"/>
      <c r="AH536" s="47" t="s">
        <v>52</v>
      </c>
      <c r="AI536" s="11">
        <v>0</v>
      </c>
      <c r="AJ536" s="11"/>
      <c r="AK536" s="11"/>
      <c r="AL536" s="11"/>
      <c r="AM536" s="11"/>
      <c r="AN536" s="47" t="s">
        <v>47</v>
      </c>
      <c r="AO536" s="11">
        <v>2432</v>
      </c>
      <c r="AP536" s="11" t="s">
        <v>53</v>
      </c>
      <c r="AQ536" s="2">
        <v>0</v>
      </c>
    </row>
    <row r="537" s="3" customFormat="1" ht="12" spans="1:43">
      <c r="A537" s="12">
        <v>170262</v>
      </c>
      <c r="B537" s="91" t="s">
        <v>837</v>
      </c>
      <c r="C537" s="12"/>
      <c r="D537" s="12"/>
      <c r="E537" s="12"/>
      <c r="F537" s="11">
        <v>1</v>
      </c>
      <c r="G537" s="12">
        <v>0</v>
      </c>
      <c r="H537" s="12" t="s">
        <v>45</v>
      </c>
      <c r="I537" s="12">
        <v>7</v>
      </c>
      <c r="J537" s="12">
        <v>0</v>
      </c>
      <c r="K537" s="12" t="s">
        <v>46</v>
      </c>
      <c r="L537" s="47" t="s">
        <v>47</v>
      </c>
      <c r="M537" s="11" t="s">
        <v>789</v>
      </c>
      <c r="N537" s="12">
        <v>0</v>
      </c>
      <c r="O537" s="47" t="s">
        <v>48</v>
      </c>
      <c r="P537" s="12">
        <v>0</v>
      </c>
      <c r="Q537" s="12"/>
      <c r="R537" s="12"/>
      <c r="S537" s="12">
        <v>0</v>
      </c>
      <c r="T537" s="12">
        <v>0</v>
      </c>
      <c r="U537" s="12"/>
      <c r="V537" s="12"/>
      <c r="W537" s="47" t="s">
        <v>47</v>
      </c>
      <c r="X537" s="47"/>
      <c r="Y537" s="47"/>
      <c r="Z537" s="12" t="s">
        <v>771</v>
      </c>
      <c r="AA537" s="12"/>
      <c r="AB537" s="12" t="s">
        <v>771</v>
      </c>
      <c r="AC537" s="12">
        <v>2194</v>
      </c>
      <c r="AD537" s="12" t="s">
        <v>51</v>
      </c>
      <c r="AE537" s="12" t="s">
        <v>51</v>
      </c>
      <c r="AF537" s="12" t="s">
        <v>51</v>
      </c>
      <c r="AG537" s="12"/>
      <c r="AH537" s="47" t="s">
        <v>52</v>
      </c>
      <c r="AI537" s="12">
        <v>0</v>
      </c>
      <c r="AJ537" s="12"/>
      <c r="AK537" s="12"/>
      <c r="AL537" s="12"/>
      <c r="AM537" s="12"/>
      <c r="AN537" s="47" t="s">
        <v>47</v>
      </c>
      <c r="AO537" s="12">
        <v>2433</v>
      </c>
      <c r="AP537" s="12" t="s">
        <v>53</v>
      </c>
      <c r="AQ537" s="2">
        <v>0</v>
      </c>
    </row>
    <row r="538" s="2" customFormat="1" ht="12" spans="1:43">
      <c r="A538" s="11">
        <v>170263</v>
      </c>
      <c r="B538" s="91" t="s">
        <v>838</v>
      </c>
      <c r="C538" s="11"/>
      <c r="D538" s="11"/>
      <c r="E538" s="11"/>
      <c r="F538" s="11">
        <v>1</v>
      </c>
      <c r="G538" s="11">
        <v>0</v>
      </c>
      <c r="H538" s="11" t="s">
        <v>45</v>
      </c>
      <c r="I538" s="11">
        <v>7</v>
      </c>
      <c r="J538" s="11">
        <v>0</v>
      </c>
      <c r="K538" s="11" t="s">
        <v>46</v>
      </c>
      <c r="L538" s="47" t="s">
        <v>47</v>
      </c>
      <c r="M538" s="12" t="s">
        <v>378</v>
      </c>
      <c r="N538" s="11">
        <v>0</v>
      </c>
      <c r="O538" s="47" t="s">
        <v>48</v>
      </c>
      <c r="P538" s="11">
        <v>0</v>
      </c>
      <c r="Q538" s="11"/>
      <c r="R538" s="11"/>
      <c r="S538" s="11">
        <v>0</v>
      </c>
      <c r="T538" s="11">
        <v>0</v>
      </c>
      <c r="U538" s="11"/>
      <c r="V538" s="11"/>
      <c r="W538" s="47" t="s">
        <v>47</v>
      </c>
      <c r="X538" s="47"/>
      <c r="Y538" s="47"/>
      <c r="Z538" s="11" t="s">
        <v>771</v>
      </c>
      <c r="AA538" s="11"/>
      <c r="AB538" s="11" t="s">
        <v>771</v>
      </c>
      <c r="AC538" s="11">
        <v>2194</v>
      </c>
      <c r="AD538" s="11" t="s">
        <v>51</v>
      </c>
      <c r="AE538" s="11" t="s">
        <v>51</v>
      </c>
      <c r="AF538" s="11" t="s">
        <v>51</v>
      </c>
      <c r="AG538" s="11"/>
      <c r="AH538" s="47" t="s">
        <v>52</v>
      </c>
      <c r="AI538" s="11">
        <v>0</v>
      </c>
      <c r="AJ538" s="11"/>
      <c r="AK538" s="11"/>
      <c r="AL538" s="11"/>
      <c r="AM538" s="11"/>
      <c r="AN538" s="47" t="s">
        <v>47</v>
      </c>
      <c r="AO538" s="11">
        <v>2434</v>
      </c>
      <c r="AP538" s="11" t="s">
        <v>53</v>
      </c>
      <c r="AQ538" s="2">
        <v>0</v>
      </c>
    </row>
    <row r="539" s="3" customFormat="1" ht="12" spans="1:43">
      <c r="A539" s="12">
        <v>170264</v>
      </c>
      <c r="B539" s="92" t="s">
        <v>839</v>
      </c>
      <c r="C539" s="12"/>
      <c r="D539" s="12"/>
      <c r="E539" s="12"/>
      <c r="F539" s="11">
        <v>1</v>
      </c>
      <c r="G539" s="12">
        <v>0</v>
      </c>
      <c r="H539" s="12" t="s">
        <v>45</v>
      </c>
      <c r="I539" s="12">
        <v>7</v>
      </c>
      <c r="J539" s="12">
        <v>0</v>
      </c>
      <c r="K539" s="12" t="s">
        <v>46</v>
      </c>
      <c r="L539" s="47" t="s">
        <v>47</v>
      </c>
      <c r="M539" s="11" t="s">
        <v>792</v>
      </c>
      <c r="N539" s="12">
        <v>0</v>
      </c>
      <c r="O539" s="47" t="s">
        <v>48</v>
      </c>
      <c r="P539" s="12">
        <v>0</v>
      </c>
      <c r="Q539" s="12"/>
      <c r="R539" s="12"/>
      <c r="S539" s="12">
        <v>0</v>
      </c>
      <c r="T539" s="12">
        <v>0</v>
      </c>
      <c r="U539" s="12"/>
      <c r="V539" s="12"/>
      <c r="W539" s="47" t="s">
        <v>47</v>
      </c>
      <c r="X539" s="47"/>
      <c r="Y539" s="47"/>
      <c r="Z539" s="12" t="s">
        <v>771</v>
      </c>
      <c r="AA539" s="12"/>
      <c r="AB539" s="12" t="s">
        <v>771</v>
      </c>
      <c r="AC539" s="12">
        <v>2194</v>
      </c>
      <c r="AD539" s="12" t="s">
        <v>51</v>
      </c>
      <c r="AE539" s="12" t="s">
        <v>51</v>
      </c>
      <c r="AF539" s="12" t="s">
        <v>51</v>
      </c>
      <c r="AG539" s="12"/>
      <c r="AH539" s="47" t="s">
        <v>52</v>
      </c>
      <c r="AI539" s="12">
        <v>0</v>
      </c>
      <c r="AJ539" s="12"/>
      <c r="AK539" s="12"/>
      <c r="AL539" s="12"/>
      <c r="AM539" s="12"/>
      <c r="AN539" s="47" t="s">
        <v>47</v>
      </c>
      <c r="AO539" s="12">
        <v>2435</v>
      </c>
      <c r="AP539" s="12" t="s">
        <v>53</v>
      </c>
      <c r="AQ539" s="2">
        <v>0</v>
      </c>
    </row>
    <row r="540" s="2" customFormat="1" ht="12" spans="1:43">
      <c r="A540" s="11">
        <v>170265</v>
      </c>
      <c r="B540" s="91" t="s">
        <v>840</v>
      </c>
      <c r="C540" s="11"/>
      <c r="D540" s="11"/>
      <c r="E540" s="11"/>
      <c r="F540" s="11">
        <v>1</v>
      </c>
      <c r="G540" s="11">
        <v>1</v>
      </c>
      <c r="H540" s="11" t="s">
        <v>45</v>
      </c>
      <c r="I540" s="11">
        <v>7</v>
      </c>
      <c r="J540" s="11">
        <v>0</v>
      </c>
      <c r="K540" s="11" t="s">
        <v>46</v>
      </c>
      <c r="L540" s="47" t="s">
        <v>47</v>
      </c>
      <c r="M540" s="12" t="s">
        <v>794</v>
      </c>
      <c r="N540" s="11">
        <v>0</v>
      </c>
      <c r="O540" s="47" t="s">
        <v>48</v>
      </c>
      <c r="P540" s="11">
        <v>0</v>
      </c>
      <c r="Q540" s="11"/>
      <c r="R540" s="11"/>
      <c r="S540" s="11">
        <v>0</v>
      </c>
      <c r="T540" s="11">
        <v>0</v>
      </c>
      <c r="U540" s="11"/>
      <c r="V540" s="11"/>
      <c r="W540" s="47" t="s">
        <v>47</v>
      </c>
      <c r="X540" s="47"/>
      <c r="Y540" s="47"/>
      <c r="Z540" s="11" t="s">
        <v>771</v>
      </c>
      <c r="AA540" s="11"/>
      <c r="AB540" s="11" t="s">
        <v>771</v>
      </c>
      <c r="AC540" s="11">
        <v>2194</v>
      </c>
      <c r="AD540" s="11" t="s">
        <v>51</v>
      </c>
      <c r="AE540" s="11" t="s">
        <v>51</v>
      </c>
      <c r="AF540" s="11" t="s">
        <v>51</v>
      </c>
      <c r="AG540" s="11"/>
      <c r="AH540" s="47" t="s">
        <v>52</v>
      </c>
      <c r="AI540" s="11">
        <v>0</v>
      </c>
      <c r="AJ540" s="11"/>
      <c r="AK540" s="11"/>
      <c r="AL540" s="11"/>
      <c r="AM540" s="11"/>
      <c r="AN540" s="47" t="s">
        <v>47</v>
      </c>
      <c r="AO540" s="11">
        <v>2436</v>
      </c>
      <c r="AP540" s="11" t="s">
        <v>53</v>
      </c>
      <c r="AQ540" s="2">
        <v>0</v>
      </c>
    </row>
    <row r="541" s="3" customFormat="1" ht="12" spans="1:43">
      <c r="A541" s="12">
        <v>170266</v>
      </c>
      <c r="B541" s="91" t="s">
        <v>841</v>
      </c>
      <c r="C541" s="12"/>
      <c r="D541" s="12"/>
      <c r="E541" s="12"/>
      <c r="F541" s="11">
        <v>1</v>
      </c>
      <c r="G541" s="12">
        <v>0</v>
      </c>
      <c r="H541" s="12" t="s">
        <v>45</v>
      </c>
      <c r="I541" s="12">
        <v>7</v>
      </c>
      <c r="J541" s="12">
        <v>0</v>
      </c>
      <c r="K541" s="12" t="s">
        <v>46</v>
      </c>
      <c r="L541" s="47" t="s">
        <v>47</v>
      </c>
      <c r="M541" s="11" t="s">
        <v>686</v>
      </c>
      <c r="N541" s="12">
        <v>0</v>
      </c>
      <c r="O541" s="47" t="s">
        <v>48</v>
      </c>
      <c r="P541" s="12">
        <v>0</v>
      </c>
      <c r="Q541" s="12"/>
      <c r="R541" s="12"/>
      <c r="S541" s="12">
        <v>0</v>
      </c>
      <c r="T541" s="12">
        <v>0</v>
      </c>
      <c r="U541" s="12"/>
      <c r="V541" s="12"/>
      <c r="W541" s="47" t="s">
        <v>47</v>
      </c>
      <c r="X541" s="47"/>
      <c r="Y541" s="47"/>
      <c r="Z541" s="12" t="s">
        <v>771</v>
      </c>
      <c r="AA541" s="12"/>
      <c r="AB541" s="12" t="s">
        <v>771</v>
      </c>
      <c r="AC541" s="12">
        <v>2194</v>
      </c>
      <c r="AD541" s="12" t="s">
        <v>51</v>
      </c>
      <c r="AE541" s="12" t="s">
        <v>51</v>
      </c>
      <c r="AF541" s="12" t="s">
        <v>51</v>
      </c>
      <c r="AG541" s="12"/>
      <c r="AH541" s="47" t="s">
        <v>52</v>
      </c>
      <c r="AI541" s="12">
        <v>0</v>
      </c>
      <c r="AJ541" s="12"/>
      <c r="AK541" s="12"/>
      <c r="AL541" s="12"/>
      <c r="AM541" s="12"/>
      <c r="AN541" s="47" t="s">
        <v>47</v>
      </c>
      <c r="AO541" s="12">
        <v>2437</v>
      </c>
      <c r="AP541" s="12" t="s">
        <v>53</v>
      </c>
      <c r="AQ541" s="2">
        <v>0</v>
      </c>
    </row>
    <row r="542" s="2" customFormat="1" ht="12" spans="1:43">
      <c r="A542" s="11">
        <v>170267</v>
      </c>
      <c r="B542" s="91" t="s">
        <v>842</v>
      </c>
      <c r="C542" s="11"/>
      <c r="D542" s="11"/>
      <c r="E542" s="11"/>
      <c r="F542" s="11">
        <v>1</v>
      </c>
      <c r="G542" s="11">
        <v>1</v>
      </c>
      <c r="H542" s="11" t="s">
        <v>45</v>
      </c>
      <c r="I542" s="11">
        <v>7</v>
      </c>
      <c r="J542" s="11">
        <v>0</v>
      </c>
      <c r="K542" s="11" t="s">
        <v>46</v>
      </c>
      <c r="L542" s="47" t="s">
        <v>47</v>
      </c>
      <c r="M542" s="12" t="s">
        <v>797</v>
      </c>
      <c r="N542" s="11">
        <v>0</v>
      </c>
      <c r="O542" s="47" t="s">
        <v>48</v>
      </c>
      <c r="P542" s="11">
        <v>0</v>
      </c>
      <c r="Q542" s="11"/>
      <c r="R542" s="11"/>
      <c r="S542" s="11">
        <v>0</v>
      </c>
      <c r="T542" s="11">
        <v>0</v>
      </c>
      <c r="U542" s="11"/>
      <c r="V542" s="11"/>
      <c r="W542" s="47" t="s">
        <v>47</v>
      </c>
      <c r="X542" s="47"/>
      <c r="Y542" s="47"/>
      <c r="Z542" s="11" t="s">
        <v>771</v>
      </c>
      <c r="AA542" s="11"/>
      <c r="AB542" s="11" t="s">
        <v>771</v>
      </c>
      <c r="AC542" s="11">
        <v>2194</v>
      </c>
      <c r="AD542" s="11" t="s">
        <v>51</v>
      </c>
      <c r="AE542" s="11" t="s">
        <v>51</v>
      </c>
      <c r="AF542" s="11" t="s">
        <v>51</v>
      </c>
      <c r="AG542" s="11"/>
      <c r="AH542" s="47" t="s">
        <v>52</v>
      </c>
      <c r="AI542" s="11">
        <v>0</v>
      </c>
      <c r="AJ542" s="11"/>
      <c r="AK542" s="11"/>
      <c r="AL542" s="11"/>
      <c r="AM542" s="11"/>
      <c r="AN542" s="47" t="s">
        <v>47</v>
      </c>
      <c r="AO542" s="11">
        <v>2438</v>
      </c>
      <c r="AP542" s="11" t="s">
        <v>53</v>
      </c>
      <c r="AQ542" s="2">
        <v>0</v>
      </c>
    </row>
    <row r="543" s="3" customFormat="1" ht="12" spans="1:43">
      <c r="A543" s="12">
        <v>170268</v>
      </c>
      <c r="B543" s="91" t="s">
        <v>843</v>
      </c>
      <c r="C543" s="12"/>
      <c r="D543" s="12"/>
      <c r="E543" s="12"/>
      <c r="F543" s="11">
        <v>1</v>
      </c>
      <c r="G543" s="12">
        <v>0</v>
      </c>
      <c r="H543" s="12" t="s">
        <v>45</v>
      </c>
      <c r="I543" s="12">
        <v>7</v>
      </c>
      <c r="J543" s="12">
        <v>0</v>
      </c>
      <c r="K543" s="12" t="s">
        <v>46</v>
      </c>
      <c r="L543" s="47" t="s">
        <v>47</v>
      </c>
      <c r="M543" s="11" t="s">
        <v>799</v>
      </c>
      <c r="N543" s="12">
        <v>0</v>
      </c>
      <c r="O543" s="47" t="s">
        <v>48</v>
      </c>
      <c r="P543" s="12">
        <v>0</v>
      </c>
      <c r="Q543" s="12"/>
      <c r="R543" s="12"/>
      <c r="S543" s="12">
        <v>0</v>
      </c>
      <c r="T543" s="12">
        <v>0</v>
      </c>
      <c r="U543" s="12"/>
      <c r="V543" s="12"/>
      <c r="W543" s="47" t="s">
        <v>47</v>
      </c>
      <c r="X543" s="47"/>
      <c r="Y543" s="47"/>
      <c r="Z543" s="12" t="s">
        <v>771</v>
      </c>
      <c r="AA543" s="12"/>
      <c r="AB543" s="12" t="s">
        <v>771</v>
      </c>
      <c r="AC543" s="12">
        <v>2194</v>
      </c>
      <c r="AD543" s="12" t="s">
        <v>51</v>
      </c>
      <c r="AE543" s="12" t="s">
        <v>51</v>
      </c>
      <c r="AF543" s="12" t="s">
        <v>51</v>
      </c>
      <c r="AG543" s="12"/>
      <c r="AH543" s="47" t="s">
        <v>52</v>
      </c>
      <c r="AI543" s="12">
        <v>0</v>
      </c>
      <c r="AJ543" s="12"/>
      <c r="AK543" s="12"/>
      <c r="AL543" s="12"/>
      <c r="AM543" s="12"/>
      <c r="AN543" s="47" t="s">
        <v>47</v>
      </c>
      <c r="AO543" s="12">
        <v>2439</v>
      </c>
      <c r="AP543" s="12" t="s">
        <v>53</v>
      </c>
      <c r="AQ543" s="2">
        <v>0</v>
      </c>
    </row>
    <row r="544" s="2" customFormat="1" ht="12" spans="1:43">
      <c r="A544" s="11">
        <v>170269</v>
      </c>
      <c r="B544" s="92" t="s">
        <v>844</v>
      </c>
      <c r="C544" s="11"/>
      <c r="D544" s="11"/>
      <c r="E544" s="11"/>
      <c r="F544" s="11">
        <v>1</v>
      </c>
      <c r="G544" s="11">
        <v>0</v>
      </c>
      <c r="H544" s="11" t="s">
        <v>45</v>
      </c>
      <c r="I544" s="11">
        <v>7</v>
      </c>
      <c r="J544" s="11">
        <v>0</v>
      </c>
      <c r="K544" s="11" t="s">
        <v>46</v>
      </c>
      <c r="L544" s="47" t="s">
        <v>47</v>
      </c>
      <c r="M544" s="12" t="s">
        <v>148</v>
      </c>
      <c r="N544" s="11">
        <v>0</v>
      </c>
      <c r="O544" s="47" t="s">
        <v>48</v>
      </c>
      <c r="P544" s="11">
        <v>0</v>
      </c>
      <c r="Q544" s="11"/>
      <c r="R544" s="11"/>
      <c r="S544" s="11">
        <v>0</v>
      </c>
      <c r="T544" s="11">
        <v>0</v>
      </c>
      <c r="U544" s="11"/>
      <c r="V544" s="11"/>
      <c r="W544" s="47" t="s">
        <v>47</v>
      </c>
      <c r="X544" s="47"/>
      <c r="Y544" s="47"/>
      <c r="Z544" s="11" t="s">
        <v>771</v>
      </c>
      <c r="AA544" s="11"/>
      <c r="AB544" s="11" t="s">
        <v>771</v>
      </c>
      <c r="AC544" s="11">
        <v>2194</v>
      </c>
      <c r="AD544" s="11" t="s">
        <v>51</v>
      </c>
      <c r="AE544" s="11" t="s">
        <v>51</v>
      </c>
      <c r="AF544" s="11" t="s">
        <v>51</v>
      </c>
      <c r="AG544" s="11"/>
      <c r="AH544" s="47" t="s">
        <v>52</v>
      </c>
      <c r="AI544" s="11">
        <v>0</v>
      </c>
      <c r="AJ544" s="11"/>
      <c r="AK544" s="11"/>
      <c r="AL544" s="11"/>
      <c r="AM544" s="11"/>
      <c r="AN544" s="47" t="s">
        <v>47</v>
      </c>
      <c r="AO544" s="11">
        <v>2440</v>
      </c>
      <c r="AP544" s="11" t="s">
        <v>53</v>
      </c>
      <c r="AQ544" s="2">
        <v>0</v>
      </c>
    </row>
    <row r="545" s="3" customFormat="1" ht="12" spans="1:43">
      <c r="A545" s="12">
        <v>170270</v>
      </c>
      <c r="B545" s="91" t="s">
        <v>845</v>
      </c>
      <c r="C545" s="12"/>
      <c r="D545" s="12"/>
      <c r="E545" s="12"/>
      <c r="F545" s="11">
        <v>1</v>
      </c>
      <c r="G545" s="12">
        <v>0</v>
      </c>
      <c r="H545" s="12" t="s">
        <v>45</v>
      </c>
      <c r="I545" s="12">
        <v>7</v>
      </c>
      <c r="J545" s="12">
        <v>0</v>
      </c>
      <c r="K545" s="12" t="s">
        <v>46</v>
      </c>
      <c r="L545" s="47" t="s">
        <v>47</v>
      </c>
      <c r="M545" s="11" t="s">
        <v>802</v>
      </c>
      <c r="N545" s="12">
        <v>0</v>
      </c>
      <c r="O545" s="47" t="s">
        <v>48</v>
      </c>
      <c r="P545" s="12">
        <v>0</v>
      </c>
      <c r="Q545" s="12"/>
      <c r="R545" s="12"/>
      <c r="S545" s="12">
        <v>0</v>
      </c>
      <c r="T545" s="12">
        <v>0</v>
      </c>
      <c r="U545" s="12"/>
      <c r="V545" s="12"/>
      <c r="W545" s="47" t="s">
        <v>47</v>
      </c>
      <c r="X545" s="47"/>
      <c r="Y545" s="47"/>
      <c r="Z545" s="12" t="s">
        <v>771</v>
      </c>
      <c r="AA545" s="12"/>
      <c r="AB545" s="12" t="s">
        <v>771</v>
      </c>
      <c r="AC545" s="12">
        <v>2194</v>
      </c>
      <c r="AD545" s="12" t="s">
        <v>51</v>
      </c>
      <c r="AE545" s="12" t="s">
        <v>51</v>
      </c>
      <c r="AF545" s="12" t="s">
        <v>51</v>
      </c>
      <c r="AG545" s="12"/>
      <c r="AH545" s="47" t="s">
        <v>52</v>
      </c>
      <c r="AI545" s="12">
        <v>0</v>
      </c>
      <c r="AJ545" s="12"/>
      <c r="AK545" s="12"/>
      <c r="AL545" s="12"/>
      <c r="AM545" s="12"/>
      <c r="AN545" s="47" t="s">
        <v>47</v>
      </c>
      <c r="AO545" s="12">
        <v>2441</v>
      </c>
      <c r="AP545" s="12" t="s">
        <v>53</v>
      </c>
      <c r="AQ545" s="2">
        <v>0</v>
      </c>
    </row>
    <row r="546" s="2" customFormat="1" ht="12" spans="1:43">
      <c r="A546" s="11">
        <v>170271</v>
      </c>
      <c r="B546" s="91" t="s">
        <v>846</v>
      </c>
      <c r="C546" s="11"/>
      <c r="D546" s="11"/>
      <c r="E546" s="11"/>
      <c r="F546" s="11">
        <v>1</v>
      </c>
      <c r="G546" s="11">
        <v>0</v>
      </c>
      <c r="H546" s="11" t="s">
        <v>45</v>
      </c>
      <c r="I546" s="11">
        <v>7</v>
      </c>
      <c r="J546" s="11">
        <v>0</v>
      </c>
      <c r="K546" s="11" t="s">
        <v>46</v>
      </c>
      <c r="L546" s="47" t="s">
        <v>47</v>
      </c>
      <c r="M546" s="12" t="s">
        <v>412</v>
      </c>
      <c r="N546" s="11">
        <v>0</v>
      </c>
      <c r="O546" s="47" t="s">
        <v>48</v>
      </c>
      <c r="P546" s="11">
        <v>0</v>
      </c>
      <c r="Q546" s="11"/>
      <c r="R546" s="11"/>
      <c r="S546" s="11">
        <v>0</v>
      </c>
      <c r="T546" s="11">
        <v>0</v>
      </c>
      <c r="U546" s="11"/>
      <c r="V546" s="11"/>
      <c r="W546" s="47" t="s">
        <v>47</v>
      </c>
      <c r="X546" s="47"/>
      <c r="Y546" s="47"/>
      <c r="Z546" s="11" t="s">
        <v>771</v>
      </c>
      <c r="AA546" s="11"/>
      <c r="AB546" s="11" t="s">
        <v>771</v>
      </c>
      <c r="AC546" s="11">
        <v>2194</v>
      </c>
      <c r="AD546" s="11" t="s">
        <v>51</v>
      </c>
      <c r="AE546" s="11" t="s">
        <v>51</v>
      </c>
      <c r="AF546" s="11" t="s">
        <v>51</v>
      </c>
      <c r="AG546" s="11"/>
      <c r="AH546" s="47" t="s">
        <v>52</v>
      </c>
      <c r="AI546" s="11">
        <v>0</v>
      </c>
      <c r="AJ546" s="11"/>
      <c r="AK546" s="11"/>
      <c r="AL546" s="11"/>
      <c r="AM546" s="11"/>
      <c r="AN546" s="47" t="s">
        <v>47</v>
      </c>
      <c r="AO546" s="11">
        <v>2442</v>
      </c>
      <c r="AP546" s="11" t="s">
        <v>53</v>
      </c>
      <c r="AQ546" s="2">
        <v>0</v>
      </c>
    </row>
    <row r="547" s="3" customFormat="1" ht="12" spans="1:43">
      <c r="A547" s="12">
        <v>170272</v>
      </c>
      <c r="B547" s="91" t="s">
        <v>847</v>
      </c>
      <c r="C547" s="12"/>
      <c r="D547" s="12"/>
      <c r="E547" s="12"/>
      <c r="F547" s="11">
        <v>1</v>
      </c>
      <c r="G547" s="12">
        <v>0</v>
      </c>
      <c r="H547" s="12" t="s">
        <v>45</v>
      </c>
      <c r="I547" s="12">
        <v>7</v>
      </c>
      <c r="J547" s="12">
        <v>0</v>
      </c>
      <c r="K547" s="12" t="s">
        <v>46</v>
      </c>
      <c r="L547" s="47" t="s">
        <v>47</v>
      </c>
      <c r="M547" s="11" t="s">
        <v>805</v>
      </c>
      <c r="N547" s="12">
        <v>0</v>
      </c>
      <c r="O547" s="47" t="s">
        <v>48</v>
      </c>
      <c r="P547" s="12">
        <v>0</v>
      </c>
      <c r="Q547" s="12"/>
      <c r="R547" s="12"/>
      <c r="S547" s="12">
        <v>0</v>
      </c>
      <c r="T547" s="12">
        <v>0</v>
      </c>
      <c r="U547" s="12"/>
      <c r="V547" s="12"/>
      <c r="W547" s="47" t="s">
        <v>47</v>
      </c>
      <c r="X547" s="47"/>
      <c r="Y547" s="47"/>
      <c r="Z547" s="12" t="s">
        <v>771</v>
      </c>
      <c r="AA547" s="12"/>
      <c r="AB547" s="12" t="s">
        <v>771</v>
      </c>
      <c r="AC547" s="12">
        <v>2194</v>
      </c>
      <c r="AD547" s="12" t="s">
        <v>51</v>
      </c>
      <c r="AE547" s="12" t="s">
        <v>51</v>
      </c>
      <c r="AF547" s="12" t="s">
        <v>51</v>
      </c>
      <c r="AG547" s="12"/>
      <c r="AH547" s="47" t="s">
        <v>52</v>
      </c>
      <c r="AI547" s="12">
        <v>0</v>
      </c>
      <c r="AJ547" s="12"/>
      <c r="AK547" s="12"/>
      <c r="AL547" s="12"/>
      <c r="AM547" s="12"/>
      <c r="AN547" s="47" t="s">
        <v>47</v>
      </c>
      <c r="AO547" s="12">
        <v>2443</v>
      </c>
      <c r="AP547" s="12" t="s">
        <v>53</v>
      </c>
      <c r="AQ547" s="2">
        <v>0</v>
      </c>
    </row>
    <row r="548" s="2" customFormat="1" ht="12" spans="1:43">
      <c r="A548" s="11">
        <v>170273</v>
      </c>
      <c r="B548" s="91" t="s">
        <v>848</v>
      </c>
      <c r="C548" s="11"/>
      <c r="D548" s="11"/>
      <c r="E548" s="11"/>
      <c r="F548" s="11">
        <v>1</v>
      </c>
      <c r="G548" s="11">
        <v>0</v>
      </c>
      <c r="H548" s="11" t="s">
        <v>45</v>
      </c>
      <c r="I548" s="11">
        <v>7</v>
      </c>
      <c r="J548" s="11">
        <v>0</v>
      </c>
      <c r="K548" s="11" t="s">
        <v>46</v>
      </c>
      <c r="L548" s="47" t="s">
        <v>47</v>
      </c>
      <c r="M548" s="12" t="s">
        <v>316</v>
      </c>
      <c r="N548" s="11">
        <v>0</v>
      </c>
      <c r="O548" s="47" t="s">
        <v>48</v>
      </c>
      <c r="P548" s="11">
        <v>0</v>
      </c>
      <c r="Q548" s="11"/>
      <c r="R548" s="11"/>
      <c r="S548" s="11">
        <v>0</v>
      </c>
      <c r="T548" s="11">
        <v>0</v>
      </c>
      <c r="U548" s="11"/>
      <c r="V548" s="11"/>
      <c r="W548" s="47" t="s">
        <v>47</v>
      </c>
      <c r="X548" s="47"/>
      <c r="Y548" s="47"/>
      <c r="Z548" s="11" t="s">
        <v>771</v>
      </c>
      <c r="AA548" s="11"/>
      <c r="AB548" s="11" t="s">
        <v>771</v>
      </c>
      <c r="AC548" s="11">
        <v>2194</v>
      </c>
      <c r="AD548" s="11" t="s">
        <v>51</v>
      </c>
      <c r="AE548" s="11" t="s">
        <v>51</v>
      </c>
      <c r="AF548" s="11" t="s">
        <v>51</v>
      </c>
      <c r="AG548" s="11"/>
      <c r="AH548" s="47" t="s">
        <v>52</v>
      </c>
      <c r="AI548" s="11">
        <v>0</v>
      </c>
      <c r="AJ548" s="11"/>
      <c r="AK548" s="11"/>
      <c r="AL548" s="11"/>
      <c r="AM548" s="11"/>
      <c r="AN548" s="47" t="s">
        <v>47</v>
      </c>
      <c r="AO548" s="11">
        <v>2444</v>
      </c>
      <c r="AP548" s="11" t="s">
        <v>53</v>
      </c>
      <c r="AQ548" s="2">
        <v>0</v>
      </c>
    </row>
    <row r="549" s="3" customFormat="1" ht="12" spans="1:43">
      <c r="A549" s="12">
        <v>170274</v>
      </c>
      <c r="B549" s="99" t="s">
        <v>849</v>
      </c>
      <c r="C549" s="12"/>
      <c r="D549" s="12"/>
      <c r="E549" s="12"/>
      <c r="F549" s="11">
        <v>1</v>
      </c>
      <c r="G549" s="12">
        <v>1</v>
      </c>
      <c r="H549" s="12" t="s">
        <v>45</v>
      </c>
      <c r="I549" s="12">
        <v>7</v>
      </c>
      <c r="J549" s="12">
        <v>0</v>
      </c>
      <c r="K549" s="12" t="s">
        <v>46</v>
      </c>
      <c r="L549" s="47" t="s">
        <v>47</v>
      </c>
      <c r="M549" s="11" t="s">
        <v>594</v>
      </c>
      <c r="N549" s="12">
        <v>0</v>
      </c>
      <c r="O549" s="47" t="s">
        <v>48</v>
      </c>
      <c r="P549" s="12">
        <v>0</v>
      </c>
      <c r="Q549" s="12"/>
      <c r="R549" s="12"/>
      <c r="S549" s="12">
        <v>0</v>
      </c>
      <c r="T549" s="12">
        <v>0</v>
      </c>
      <c r="U549" s="12"/>
      <c r="V549" s="12"/>
      <c r="W549" s="47" t="s">
        <v>47</v>
      </c>
      <c r="X549" s="47"/>
      <c r="Y549" s="47"/>
      <c r="Z549" s="12" t="s">
        <v>771</v>
      </c>
      <c r="AA549" s="12"/>
      <c r="AB549" s="12" t="s">
        <v>771</v>
      </c>
      <c r="AC549" s="12">
        <v>2194</v>
      </c>
      <c r="AD549" s="12" t="s">
        <v>51</v>
      </c>
      <c r="AE549" s="12" t="s">
        <v>51</v>
      </c>
      <c r="AF549" s="12" t="s">
        <v>51</v>
      </c>
      <c r="AG549" s="12"/>
      <c r="AH549" s="47" t="s">
        <v>52</v>
      </c>
      <c r="AI549" s="12">
        <v>0</v>
      </c>
      <c r="AJ549" s="12"/>
      <c r="AK549" s="12"/>
      <c r="AL549" s="12"/>
      <c r="AM549" s="12"/>
      <c r="AN549" s="47" t="s">
        <v>47</v>
      </c>
      <c r="AO549" s="12">
        <v>2445</v>
      </c>
      <c r="AP549" s="12" t="s">
        <v>53</v>
      </c>
      <c r="AQ549" s="2">
        <v>0</v>
      </c>
    </row>
    <row r="550" s="2" customFormat="1" ht="12" spans="1:43">
      <c r="A550" s="11">
        <v>170275</v>
      </c>
      <c r="B550" s="100" t="s">
        <v>850</v>
      </c>
      <c r="C550" s="11"/>
      <c r="D550" s="11"/>
      <c r="E550" s="11"/>
      <c r="F550" s="11">
        <v>1</v>
      </c>
      <c r="G550" s="11">
        <v>0</v>
      </c>
      <c r="H550" s="11" t="s">
        <v>45</v>
      </c>
      <c r="I550" s="11">
        <v>7</v>
      </c>
      <c r="J550" s="11">
        <v>0</v>
      </c>
      <c r="K550" s="11" t="s">
        <v>46</v>
      </c>
      <c r="L550" s="47" t="s">
        <v>47</v>
      </c>
      <c r="M550" s="12">
        <v>1010172</v>
      </c>
      <c r="N550" s="11">
        <v>0</v>
      </c>
      <c r="O550" s="47" t="s">
        <v>48</v>
      </c>
      <c r="P550" s="11">
        <v>0</v>
      </c>
      <c r="Q550" s="11"/>
      <c r="R550" s="11"/>
      <c r="S550" s="11">
        <v>0</v>
      </c>
      <c r="T550" s="11">
        <v>0</v>
      </c>
      <c r="U550" s="11"/>
      <c r="V550" s="11"/>
      <c r="W550" s="47" t="s">
        <v>47</v>
      </c>
      <c r="X550" s="47"/>
      <c r="Y550" s="47"/>
      <c r="Z550" s="11" t="s">
        <v>771</v>
      </c>
      <c r="AA550" s="11"/>
      <c r="AB550" s="11" t="s">
        <v>771</v>
      </c>
      <c r="AC550" s="11">
        <v>2194</v>
      </c>
      <c r="AD550" s="11" t="s">
        <v>51</v>
      </c>
      <c r="AE550" s="11" t="s">
        <v>51</v>
      </c>
      <c r="AF550" s="11" t="s">
        <v>51</v>
      </c>
      <c r="AG550" s="11"/>
      <c r="AH550" s="47" t="s">
        <v>52</v>
      </c>
      <c r="AI550" s="11">
        <v>0</v>
      </c>
      <c r="AJ550" s="11"/>
      <c r="AK550" s="11"/>
      <c r="AL550" s="11"/>
      <c r="AM550" s="11"/>
      <c r="AN550" s="47" t="s">
        <v>47</v>
      </c>
      <c r="AO550" s="11">
        <v>2446</v>
      </c>
      <c r="AP550" s="11" t="s">
        <v>53</v>
      </c>
      <c r="AQ550" s="2">
        <v>0</v>
      </c>
    </row>
    <row r="551" s="3" customFormat="1" ht="12" spans="1:43">
      <c r="A551" s="12">
        <v>170276</v>
      </c>
      <c r="B551" s="100" t="s">
        <v>851</v>
      </c>
      <c r="C551" s="12"/>
      <c r="D551" s="12"/>
      <c r="E551" s="12"/>
      <c r="F551" s="11">
        <v>1</v>
      </c>
      <c r="G551" s="12">
        <v>0</v>
      </c>
      <c r="H551" s="12" t="s">
        <v>45</v>
      </c>
      <c r="I551" s="12">
        <v>7</v>
      </c>
      <c r="J551" s="12">
        <v>0</v>
      </c>
      <c r="K551" s="12" t="s">
        <v>46</v>
      </c>
      <c r="L551" s="47" t="s">
        <v>47</v>
      </c>
      <c r="M551" s="11">
        <v>1010138</v>
      </c>
      <c r="N551" s="12">
        <v>0</v>
      </c>
      <c r="O551" s="47" t="s">
        <v>48</v>
      </c>
      <c r="P551" s="12">
        <v>0</v>
      </c>
      <c r="Q551" s="12"/>
      <c r="R551" s="12"/>
      <c r="S551" s="12">
        <v>0</v>
      </c>
      <c r="T551" s="12">
        <v>0</v>
      </c>
      <c r="U551" s="12"/>
      <c r="V551" s="12"/>
      <c r="W551" s="47" t="s">
        <v>47</v>
      </c>
      <c r="X551" s="47"/>
      <c r="Y551" s="47"/>
      <c r="Z551" s="12" t="s">
        <v>771</v>
      </c>
      <c r="AA551" s="12"/>
      <c r="AB551" s="12" t="s">
        <v>771</v>
      </c>
      <c r="AC551" s="12">
        <v>2194</v>
      </c>
      <c r="AD551" s="12" t="s">
        <v>51</v>
      </c>
      <c r="AE551" s="12" t="s">
        <v>51</v>
      </c>
      <c r="AF551" s="12" t="s">
        <v>51</v>
      </c>
      <c r="AG551" s="12"/>
      <c r="AH551" s="47" t="s">
        <v>52</v>
      </c>
      <c r="AI551" s="12">
        <v>0</v>
      </c>
      <c r="AJ551" s="12"/>
      <c r="AK551" s="12"/>
      <c r="AL551" s="12"/>
      <c r="AM551" s="12"/>
      <c r="AN551" s="47" t="s">
        <v>47</v>
      </c>
      <c r="AO551" s="12">
        <v>2447</v>
      </c>
      <c r="AP551" s="12" t="s">
        <v>53</v>
      </c>
      <c r="AQ551" s="2">
        <v>0</v>
      </c>
    </row>
    <row r="552" s="2" customFormat="1" ht="12" spans="1:43">
      <c r="A552" s="11">
        <v>170277</v>
      </c>
      <c r="B552" s="100" t="s">
        <v>852</v>
      </c>
      <c r="C552" s="11"/>
      <c r="D552" s="11"/>
      <c r="E552" s="11"/>
      <c r="F552" s="11">
        <v>1</v>
      </c>
      <c r="G552" s="11">
        <v>0</v>
      </c>
      <c r="H552" s="11" t="s">
        <v>45</v>
      </c>
      <c r="I552" s="11">
        <v>7</v>
      </c>
      <c r="J552" s="11">
        <v>0</v>
      </c>
      <c r="K552" s="11" t="s">
        <v>46</v>
      </c>
      <c r="L552" s="47" t="s">
        <v>47</v>
      </c>
      <c r="M552" s="12">
        <v>1010176</v>
      </c>
      <c r="N552" s="11">
        <v>0</v>
      </c>
      <c r="O552" s="47" t="s">
        <v>48</v>
      </c>
      <c r="P552" s="11">
        <v>0</v>
      </c>
      <c r="Q552" s="11"/>
      <c r="R552" s="11"/>
      <c r="S552" s="11">
        <v>0</v>
      </c>
      <c r="T552" s="11">
        <v>0</v>
      </c>
      <c r="U552" s="11"/>
      <c r="V552" s="11"/>
      <c r="W552" s="47" t="s">
        <v>47</v>
      </c>
      <c r="X552" s="47"/>
      <c r="Y552" s="47"/>
      <c r="Z552" s="11" t="s">
        <v>771</v>
      </c>
      <c r="AA552" s="11"/>
      <c r="AB552" s="11" t="s">
        <v>771</v>
      </c>
      <c r="AC552" s="11">
        <v>2194</v>
      </c>
      <c r="AD552" s="11" t="s">
        <v>51</v>
      </c>
      <c r="AE552" s="11" t="s">
        <v>51</v>
      </c>
      <c r="AF552" s="11" t="s">
        <v>51</v>
      </c>
      <c r="AG552" s="11"/>
      <c r="AH552" s="47" t="s">
        <v>52</v>
      </c>
      <c r="AI552" s="11">
        <v>0</v>
      </c>
      <c r="AJ552" s="11"/>
      <c r="AK552" s="11"/>
      <c r="AL552" s="11"/>
      <c r="AM552" s="11"/>
      <c r="AN552" s="47" t="s">
        <v>47</v>
      </c>
      <c r="AO552" s="11">
        <v>2448</v>
      </c>
      <c r="AP552" s="11" t="s">
        <v>53</v>
      </c>
      <c r="AQ552" s="2">
        <v>0</v>
      </c>
    </row>
    <row r="553" s="3" customFormat="1" ht="12" spans="1:43">
      <c r="A553" s="12">
        <v>170278</v>
      </c>
      <c r="B553" s="100" t="s">
        <v>853</v>
      </c>
      <c r="C553" s="12"/>
      <c r="D553" s="12"/>
      <c r="E553" s="12"/>
      <c r="F553" s="11">
        <v>1</v>
      </c>
      <c r="G553" s="12">
        <v>0</v>
      </c>
      <c r="H553" s="12" t="s">
        <v>45</v>
      </c>
      <c r="I553" s="12">
        <v>7</v>
      </c>
      <c r="J553" s="12">
        <v>0</v>
      </c>
      <c r="K553" s="12" t="s">
        <v>46</v>
      </c>
      <c r="L553" s="47" t="s">
        <v>47</v>
      </c>
      <c r="M553" s="11">
        <v>1010171</v>
      </c>
      <c r="N553" s="12">
        <v>0</v>
      </c>
      <c r="O553" s="47" t="s">
        <v>48</v>
      </c>
      <c r="P553" s="12">
        <v>0</v>
      </c>
      <c r="Q553" s="12"/>
      <c r="R553" s="12"/>
      <c r="S553" s="12">
        <v>0</v>
      </c>
      <c r="T553" s="12">
        <v>0</v>
      </c>
      <c r="U553" s="12"/>
      <c r="V553" s="12"/>
      <c r="W553" s="47" t="s">
        <v>47</v>
      </c>
      <c r="X553" s="47"/>
      <c r="Y553" s="47"/>
      <c r="Z553" s="12" t="s">
        <v>771</v>
      </c>
      <c r="AA553" s="12"/>
      <c r="AB553" s="12" t="s">
        <v>771</v>
      </c>
      <c r="AC553" s="12">
        <v>2194</v>
      </c>
      <c r="AD553" s="12" t="s">
        <v>51</v>
      </c>
      <c r="AE553" s="12" t="s">
        <v>51</v>
      </c>
      <c r="AF553" s="12" t="s">
        <v>51</v>
      </c>
      <c r="AG553" s="12"/>
      <c r="AH553" s="47" t="s">
        <v>52</v>
      </c>
      <c r="AI553" s="12">
        <v>0</v>
      </c>
      <c r="AJ553" s="12"/>
      <c r="AK553" s="12"/>
      <c r="AL553" s="12"/>
      <c r="AM553" s="12"/>
      <c r="AN553" s="47" t="s">
        <v>47</v>
      </c>
      <c r="AO553" s="12">
        <v>2449</v>
      </c>
      <c r="AP553" s="12" t="s">
        <v>53</v>
      </c>
      <c r="AQ553" s="2">
        <v>0</v>
      </c>
    </row>
    <row r="554" s="2" customFormat="1" ht="12" spans="1:43">
      <c r="A554" s="11">
        <v>170279</v>
      </c>
      <c r="B554" s="100" t="s">
        <v>854</v>
      </c>
      <c r="C554" s="11"/>
      <c r="D554" s="11"/>
      <c r="E554" s="11"/>
      <c r="F554" s="11">
        <v>1</v>
      </c>
      <c r="G554" s="11">
        <v>0</v>
      </c>
      <c r="H554" s="11" t="s">
        <v>45</v>
      </c>
      <c r="I554" s="11">
        <v>7</v>
      </c>
      <c r="J554" s="11">
        <v>0</v>
      </c>
      <c r="K554" s="11" t="s">
        <v>46</v>
      </c>
      <c r="L554" s="47" t="s">
        <v>47</v>
      </c>
      <c r="M554" s="12">
        <v>1010173</v>
      </c>
      <c r="N554" s="11">
        <v>0</v>
      </c>
      <c r="O554" s="47" t="s">
        <v>48</v>
      </c>
      <c r="P554" s="11">
        <v>0</v>
      </c>
      <c r="Q554" s="11"/>
      <c r="R554" s="11"/>
      <c r="S554" s="11">
        <v>0</v>
      </c>
      <c r="T554" s="11">
        <v>0</v>
      </c>
      <c r="U554" s="11"/>
      <c r="V554" s="11"/>
      <c r="W554" s="47" t="s">
        <v>47</v>
      </c>
      <c r="X554" s="47"/>
      <c r="Y554" s="47"/>
      <c r="Z554" s="11" t="s">
        <v>771</v>
      </c>
      <c r="AA554" s="11"/>
      <c r="AB554" s="11" t="s">
        <v>771</v>
      </c>
      <c r="AC554" s="11">
        <v>2194</v>
      </c>
      <c r="AD554" s="11" t="s">
        <v>51</v>
      </c>
      <c r="AE554" s="11" t="s">
        <v>51</v>
      </c>
      <c r="AF554" s="11" t="s">
        <v>51</v>
      </c>
      <c r="AG554" s="11"/>
      <c r="AH554" s="47" t="s">
        <v>52</v>
      </c>
      <c r="AI554" s="11">
        <v>0</v>
      </c>
      <c r="AJ554" s="11"/>
      <c r="AK554" s="11"/>
      <c r="AL554" s="11"/>
      <c r="AM554" s="11"/>
      <c r="AN554" s="47" t="s">
        <v>47</v>
      </c>
      <c r="AO554" s="11">
        <v>2450</v>
      </c>
      <c r="AP554" s="11" t="s">
        <v>53</v>
      </c>
      <c r="AQ554" s="2">
        <v>0</v>
      </c>
    </row>
    <row r="555" s="3" customFormat="1" ht="12" spans="1:43">
      <c r="A555" s="12">
        <v>170280</v>
      </c>
      <c r="B555" s="99" t="s">
        <v>855</v>
      </c>
      <c r="C555" s="12"/>
      <c r="D555" s="12"/>
      <c r="E555" s="12"/>
      <c r="F555" s="11">
        <v>1</v>
      </c>
      <c r="G555" s="12">
        <v>0</v>
      </c>
      <c r="H555" s="12" t="s">
        <v>45</v>
      </c>
      <c r="I555" s="12">
        <v>7</v>
      </c>
      <c r="J555" s="12">
        <v>0</v>
      </c>
      <c r="K555" s="12" t="s">
        <v>46</v>
      </c>
      <c r="L555" s="47" t="s">
        <v>47</v>
      </c>
      <c r="M555" s="11">
        <v>1010168</v>
      </c>
      <c r="N555" s="12">
        <v>0</v>
      </c>
      <c r="O555" s="47" t="s">
        <v>48</v>
      </c>
      <c r="P555" s="12">
        <v>0</v>
      </c>
      <c r="Q555" s="12"/>
      <c r="R555" s="12"/>
      <c r="S555" s="12">
        <v>0</v>
      </c>
      <c r="T555" s="12">
        <v>0</v>
      </c>
      <c r="U555" s="12"/>
      <c r="V555" s="12"/>
      <c r="W555" s="47" t="s">
        <v>47</v>
      </c>
      <c r="X555" s="47"/>
      <c r="Y555" s="47"/>
      <c r="Z555" s="12" t="s">
        <v>771</v>
      </c>
      <c r="AA555" s="12"/>
      <c r="AB555" s="12" t="s">
        <v>771</v>
      </c>
      <c r="AC555" s="12">
        <v>2194</v>
      </c>
      <c r="AD555" s="12" t="s">
        <v>51</v>
      </c>
      <c r="AE555" s="12" t="s">
        <v>51</v>
      </c>
      <c r="AF555" s="12" t="s">
        <v>51</v>
      </c>
      <c r="AG555" s="12"/>
      <c r="AH555" s="47" t="s">
        <v>52</v>
      </c>
      <c r="AI555" s="12">
        <v>0</v>
      </c>
      <c r="AJ555" s="12"/>
      <c r="AK555" s="12"/>
      <c r="AL555" s="12"/>
      <c r="AM555" s="12"/>
      <c r="AN555" s="47" t="s">
        <v>47</v>
      </c>
      <c r="AO555" s="12">
        <v>2451</v>
      </c>
      <c r="AP555" s="12" t="s">
        <v>53</v>
      </c>
      <c r="AQ555" s="2">
        <v>0</v>
      </c>
    </row>
    <row r="556" s="2" customFormat="1" ht="12" spans="1:43">
      <c r="A556" s="11">
        <v>170281</v>
      </c>
      <c r="B556" s="101" t="s">
        <v>856</v>
      </c>
      <c r="C556" s="11"/>
      <c r="D556" s="11"/>
      <c r="E556" s="11"/>
      <c r="F556" s="11">
        <v>1</v>
      </c>
      <c r="G556" s="11">
        <v>1</v>
      </c>
      <c r="H556" s="11" t="s">
        <v>45</v>
      </c>
      <c r="I556" s="11">
        <v>7</v>
      </c>
      <c r="J556" s="11">
        <v>0</v>
      </c>
      <c r="K556" s="11" t="s">
        <v>46</v>
      </c>
      <c r="L556" s="47" t="s">
        <v>47</v>
      </c>
      <c r="M556" s="12" t="s">
        <v>815</v>
      </c>
      <c r="N556" s="11">
        <v>0</v>
      </c>
      <c r="O556" s="47" t="s">
        <v>48</v>
      </c>
      <c r="P556" s="11">
        <v>0</v>
      </c>
      <c r="Q556" s="11"/>
      <c r="R556" s="11"/>
      <c r="S556" s="11">
        <v>0</v>
      </c>
      <c r="T556" s="11">
        <v>0</v>
      </c>
      <c r="U556" s="11"/>
      <c r="V556" s="11"/>
      <c r="W556" s="47" t="s">
        <v>47</v>
      </c>
      <c r="X556" s="47"/>
      <c r="Y556" s="47"/>
      <c r="Z556" s="11" t="s">
        <v>771</v>
      </c>
      <c r="AA556" s="11"/>
      <c r="AB556" s="11" t="s">
        <v>771</v>
      </c>
      <c r="AC556" s="11">
        <v>2194</v>
      </c>
      <c r="AD556" s="11" t="s">
        <v>51</v>
      </c>
      <c r="AE556" s="11" t="s">
        <v>51</v>
      </c>
      <c r="AF556" s="11" t="s">
        <v>51</v>
      </c>
      <c r="AG556" s="11"/>
      <c r="AH556" s="47" t="s">
        <v>52</v>
      </c>
      <c r="AI556" s="11">
        <v>0</v>
      </c>
      <c r="AJ556" s="11"/>
      <c r="AK556" s="11"/>
      <c r="AL556" s="11"/>
      <c r="AM556" s="11"/>
      <c r="AN556" s="47" t="s">
        <v>47</v>
      </c>
      <c r="AO556" s="11">
        <v>2452</v>
      </c>
      <c r="AP556" s="11" t="s">
        <v>53</v>
      </c>
      <c r="AQ556" s="2">
        <v>0</v>
      </c>
    </row>
    <row r="557" s="3" customFormat="1" ht="12" spans="1:43">
      <c r="A557" s="12">
        <v>170282</v>
      </c>
      <c r="B557" s="100" t="s">
        <v>857</v>
      </c>
      <c r="C557" s="12"/>
      <c r="D557" s="12"/>
      <c r="E557" s="12"/>
      <c r="F557" s="11">
        <v>1</v>
      </c>
      <c r="G557" s="12">
        <v>1</v>
      </c>
      <c r="H557" s="12" t="s">
        <v>45</v>
      </c>
      <c r="I557" s="12">
        <v>7</v>
      </c>
      <c r="J557" s="12">
        <v>0</v>
      </c>
      <c r="K557" s="12" t="s">
        <v>46</v>
      </c>
      <c r="L557" s="47" t="s">
        <v>47</v>
      </c>
      <c r="M557" s="11">
        <v>1010149</v>
      </c>
      <c r="N557" s="12">
        <v>0</v>
      </c>
      <c r="O557" s="47" t="s">
        <v>48</v>
      </c>
      <c r="P557" s="12">
        <v>0</v>
      </c>
      <c r="Q557" s="12"/>
      <c r="R557" s="12"/>
      <c r="S557" s="12">
        <v>0</v>
      </c>
      <c r="T557" s="12">
        <v>0</v>
      </c>
      <c r="U557" s="12"/>
      <c r="V557" s="12"/>
      <c r="W557" s="47" t="s">
        <v>47</v>
      </c>
      <c r="X557" s="47"/>
      <c r="Y557" s="47"/>
      <c r="Z557" s="12" t="s">
        <v>771</v>
      </c>
      <c r="AA557" s="12"/>
      <c r="AB557" s="12" t="s">
        <v>771</v>
      </c>
      <c r="AC557" s="12">
        <v>2194</v>
      </c>
      <c r="AD557" s="12" t="s">
        <v>51</v>
      </c>
      <c r="AE557" s="12" t="s">
        <v>51</v>
      </c>
      <c r="AF557" s="12" t="s">
        <v>51</v>
      </c>
      <c r="AG557" s="12"/>
      <c r="AH557" s="47" t="s">
        <v>52</v>
      </c>
      <c r="AI557" s="12">
        <v>0</v>
      </c>
      <c r="AJ557" s="12"/>
      <c r="AK557" s="12"/>
      <c r="AL557" s="12"/>
      <c r="AM557" s="12"/>
      <c r="AN557" s="47" t="s">
        <v>47</v>
      </c>
      <c r="AO557" s="12">
        <v>2453</v>
      </c>
      <c r="AP557" s="12" t="s">
        <v>53</v>
      </c>
      <c r="AQ557" s="2">
        <v>0</v>
      </c>
    </row>
    <row r="558" s="2" customFormat="1" ht="12" spans="1:43">
      <c r="A558" s="11">
        <v>170283</v>
      </c>
      <c r="B558" s="100" t="s">
        <v>858</v>
      </c>
      <c r="C558" s="11"/>
      <c r="D558" s="11"/>
      <c r="E558" s="11"/>
      <c r="F558" s="11">
        <v>1</v>
      </c>
      <c r="G558" s="11">
        <v>0</v>
      </c>
      <c r="H558" s="11" t="s">
        <v>45</v>
      </c>
      <c r="I558" s="11">
        <v>7</v>
      </c>
      <c r="J558" s="11">
        <v>0</v>
      </c>
      <c r="K558" s="11" t="s">
        <v>46</v>
      </c>
      <c r="L558" s="47" t="s">
        <v>47</v>
      </c>
      <c r="M558" s="12">
        <v>1010166</v>
      </c>
      <c r="N558" s="11">
        <v>0</v>
      </c>
      <c r="O558" s="47" t="s">
        <v>48</v>
      </c>
      <c r="P558" s="11">
        <v>0</v>
      </c>
      <c r="Q558" s="11"/>
      <c r="R558" s="11"/>
      <c r="S558" s="11">
        <v>0</v>
      </c>
      <c r="T558" s="11">
        <v>0</v>
      </c>
      <c r="U558" s="11"/>
      <c r="V558" s="11"/>
      <c r="W558" s="47" t="s">
        <v>47</v>
      </c>
      <c r="X558" s="47"/>
      <c r="Y558" s="47"/>
      <c r="Z558" s="11" t="s">
        <v>771</v>
      </c>
      <c r="AA558" s="11"/>
      <c r="AB558" s="11" t="s">
        <v>771</v>
      </c>
      <c r="AC558" s="11">
        <v>2194</v>
      </c>
      <c r="AD558" s="11" t="s">
        <v>51</v>
      </c>
      <c r="AE558" s="11" t="s">
        <v>51</v>
      </c>
      <c r="AF558" s="11" t="s">
        <v>51</v>
      </c>
      <c r="AG558" s="11"/>
      <c r="AH558" s="47" t="s">
        <v>52</v>
      </c>
      <c r="AI558" s="11">
        <v>0</v>
      </c>
      <c r="AJ558" s="11"/>
      <c r="AK558" s="11"/>
      <c r="AL558" s="11"/>
      <c r="AM558" s="11"/>
      <c r="AN558" s="47" t="s">
        <v>47</v>
      </c>
      <c r="AO558" s="11">
        <v>2454</v>
      </c>
      <c r="AP558" s="11" t="s">
        <v>53</v>
      </c>
      <c r="AQ558" s="2">
        <v>0</v>
      </c>
    </row>
    <row r="559" s="3" customFormat="1" ht="12" spans="1:43">
      <c r="A559" s="12">
        <v>170284</v>
      </c>
      <c r="B559" s="99" t="s">
        <v>859</v>
      </c>
      <c r="C559" s="12"/>
      <c r="D559" s="12"/>
      <c r="E559" s="12"/>
      <c r="F559" s="11">
        <v>1</v>
      </c>
      <c r="G559" s="12">
        <v>0</v>
      </c>
      <c r="H559" s="12" t="s">
        <v>45</v>
      </c>
      <c r="I559" s="12">
        <v>7</v>
      </c>
      <c r="J559" s="12">
        <v>0</v>
      </c>
      <c r="K559" s="12" t="s">
        <v>46</v>
      </c>
      <c r="L559" s="47" t="s">
        <v>47</v>
      </c>
      <c r="M559" s="11" t="s">
        <v>819</v>
      </c>
      <c r="N559" s="12">
        <v>0</v>
      </c>
      <c r="O559" s="47" t="s">
        <v>48</v>
      </c>
      <c r="P559" s="12">
        <v>0</v>
      </c>
      <c r="Q559" s="12"/>
      <c r="R559" s="12"/>
      <c r="S559" s="12">
        <v>0</v>
      </c>
      <c r="T559" s="12">
        <v>0</v>
      </c>
      <c r="U559" s="12"/>
      <c r="V559" s="12"/>
      <c r="W559" s="47" t="s">
        <v>47</v>
      </c>
      <c r="X559" s="47"/>
      <c r="Y559" s="47"/>
      <c r="Z559" s="12" t="s">
        <v>771</v>
      </c>
      <c r="AA559" s="12"/>
      <c r="AB559" s="12" t="s">
        <v>771</v>
      </c>
      <c r="AC559" s="12">
        <v>2194</v>
      </c>
      <c r="AD559" s="12" t="s">
        <v>51</v>
      </c>
      <c r="AE559" s="12" t="s">
        <v>51</v>
      </c>
      <c r="AF559" s="12" t="s">
        <v>51</v>
      </c>
      <c r="AG559" s="12"/>
      <c r="AH559" s="47" t="s">
        <v>52</v>
      </c>
      <c r="AI559" s="12">
        <v>0</v>
      </c>
      <c r="AJ559" s="12"/>
      <c r="AK559" s="12"/>
      <c r="AL559" s="12"/>
      <c r="AM559" s="12"/>
      <c r="AN559" s="47" t="s">
        <v>47</v>
      </c>
      <c r="AO559" s="12">
        <v>2455</v>
      </c>
      <c r="AP559" s="12" t="s">
        <v>53</v>
      </c>
      <c r="AQ559" s="2">
        <v>0</v>
      </c>
    </row>
    <row r="560" s="2" customFormat="1" ht="12" spans="1:43">
      <c r="A560" s="11">
        <v>170285</v>
      </c>
      <c r="B560" s="101" t="s">
        <v>860</v>
      </c>
      <c r="C560" s="11"/>
      <c r="D560" s="11"/>
      <c r="E560" s="11"/>
      <c r="F560" s="11">
        <v>1</v>
      </c>
      <c r="G560" s="11">
        <v>0</v>
      </c>
      <c r="H560" s="11" t="s">
        <v>45</v>
      </c>
      <c r="I560" s="11">
        <v>7</v>
      </c>
      <c r="J560" s="11">
        <v>0</v>
      </c>
      <c r="K560" s="11" t="s">
        <v>46</v>
      </c>
      <c r="L560" s="47" t="s">
        <v>47</v>
      </c>
      <c r="M560" s="12" t="s">
        <v>411</v>
      </c>
      <c r="N560" s="11">
        <v>0</v>
      </c>
      <c r="O560" s="47" t="s">
        <v>48</v>
      </c>
      <c r="P560" s="11">
        <v>0</v>
      </c>
      <c r="Q560" s="11"/>
      <c r="R560" s="11"/>
      <c r="S560" s="11">
        <v>0</v>
      </c>
      <c r="T560" s="11">
        <v>0</v>
      </c>
      <c r="U560" s="11"/>
      <c r="V560" s="11"/>
      <c r="W560" s="47" t="s">
        <v>47</v>
      </c>
      <c r="X560" s="47"/>
      <c r="Y560" s="47"/>
      <c r="Z560" s="11" t="s">
        <v>771</v>
      </c>
      <c r="AA560" s="11"/>
      <c r="AB560" s="11" t="s">
        <v>771</v>
      </c>
      <c r="AC560" s="11">
        <v>2194</v>
      </c>
      <c r="AD560" s="11" t="s">
        <v>51</v>
      </c>
      <c r="AE560" s="11" t="s">
        <v>51</v>
      </c>
      <c r="AF560" s="11" t="s">
        <v>51</v>
      </c>
      <c r="AG560" s="11"/>
      <c r="AH560" s="47" t="s">
        <v>52</v>
      </c>
      <c r="AI560" s="11">
        <v>0</v>
      </c>
      <c r="AJ560" s="11"/>
      <c r="AK560" s="11"/>
      <c r="AL560" s="11"/>
      <c r="AM560" s="11"/>
      <c r="AN560" s="47" t="s">
        <v>47</v>
      </c>
      <c r="AO560" s="11">
        <v>2456</v>
      </c>
      <c r="AP560" s="11" t="s">
        <v>53</v>
      </c>
      <c r="AQ560" s="2">
        <v>0</v>
      </c>
    </row>
    <row r="561" s="3" customFormat="1" ht="12" spans="1:43">
      <c r="A561" s="12">
        <v>170286</v>
      </c>
      <c r="B561" s="101" t="s">
        <v>861</v>
      </c>
      <c r="C561" s="12"/>
      <c r="D561" s="12"/>
      <c r="E561" s="12"/>
      <c r="F561" s="11">
        <v>1</v>
      </c>
      <c r="G561" s="12">
        <v>0</v>
      </c>
      <c r="H561" s="12" t="s">
        <v>45</v>
      </c>
      <c r="I561" s="12">
        <v>7</v>
      </c>
      <c r="J561" s="12">
        <v>0</v>
      </c>
      <c r="K561" s="12" t="s">
        <v>46</v>
      </c>
      <c r="L561" s="47" t="s">
        <v>47</v>
      </c>
      <c r="M561" s="11" t="s">
        <v>410</v>
      </c>
      <c r="N561" s="12">
        <v>0</v>
      </c>
      <c r="O561" s="47" t="s">
        <v>48</v>
      </c>
      <c r="P561" s="12">
        <v>0</v>
      </c>
      <c r="Q561" s="12"/>
      <c r="R561" s="12"/>
      <c r="S561" s="12">
        <v>0</v>
      </c>
      <c r="T561" s="12">
        <v>0</v>
      </c>
      <c r="U561" s="12"/>
      <c r="V561" s="12"/>
      <c r="W561" s="47" t="s">
        <v>47</v>
      </c>
      <c r="X561" s="47"/>
      <c r="Y561" s="47"/>
      <c r="Z561" s="12" t="s">
        <v>771</v>
      </c>
      <c r="AA561" s="12"/>
      <c r="AB561" s="12" t="s">
        <v>771</v>
      </c>
      <c r="AC561" s="12">
        <v>2194</v>
      </c>
      <c r="AD561" s="12" t="s">
        <v>51</v>
      </c>
      <c r="AE561" s="12" t="s">
        <v>51</v>
      </c>
      <c r="AF561" s="12" t="s">
        <v>51</v>
      </c>
      <c r="AG561" s="12"/>
      <c r="AH561" s="47" t="s">
        <v>52</v>
      </c>
      <c r="AI561" s="12">
        <v>0</v>
      </c>
      <c r="AJ561" s="12"/>
      <c r="AK561" s="12"/>
      <c r="AL561" s="12"/>
      <c r="AM561" s="12"/>
      <c r="AN561" s="47" t="s">
        <v>47</v>
      </c>
      <c r="AO561" s="12">
        <v>2457</v>
      </c>
      <c r="AP561" s="12" t="s">
        <v>53</v>
      </c>
      <c r="AQ561" s="2">
        <v>0</v>
      </c>
    </row>
    <row r="562" s="2" customFormat="1" ht="12" spans="1:43">
      <c r="A562" s="11">
        <v>170287</v>
      </c>
      <c r="B562" s="101" t="s">
        <v>862</v>
      </c>
      <c r="C562" s="11"/>
      <c r="D562" s="11"/>
      <c r="E562" s="11"/>
      <c r="F562" s="11">
        <v>1</v>
      </c>
      <c r="G562" s="11">
        <v>0</v>
      </c>
      <c r="H562" s="11" t="s">
        <v>45</v>
      </c>
      <c r="I562" s="11">
        <v>7</v>
      </c>
      <c r="J562" s="11">
        <v>0</v>
      </c>
      <c r="K562" s="11" t="s">
        <v>46</v>
      </c>
      <c r="L562" s="47" t="s">
        <v>47</v>
      </c>
      <c r="M562" s="12" t="s">
        <v>296</v>
      </c>
      <c r="N562" s="11">
        <v>0</v>
      </c>
      <c r="O562" s="47" t="s">
        <v>48</v>
      </c>
      <c r="P562" s="11">
        <v>0</v>
      </c>
      <c r="Q562" s="11"/>
      <c r="R562" s="11"/>
      <c r="S562" s="11">
        <v>0</v>
      </c>
      <c r="T562" s="11">
        <v>0</v>
      </c>
      <c r="U562" s="11"/>
      <c r="V562" s="11"/>
      <c r="W562" s="47" t="s">
        <v>47</v>
      </c>
      <c r="X562" s="47"/>
      <c r="Y562" s="47"/>
      <c r="Z562" s="11" t="s">
        <v>771</v>
      </c>
      <c r="AA562" s="11"/>
      <c r="AB562" s="11" t="s">
        <v>771</v>
      </c>
      <c r="AC562" s="11">
        <v>2194</v>
      </c>
      <c r="AD562" s="11" t="s">
        <v>51</v>
      </c>
      <c r="AE562" s="11" t="s">
        <v>51</v>
      </c>
      <c r="AF562" s="11" t="s">
        <v>51</v>
      </c>
      <c r="AG562" s="11"/>
      <c r="AH562" s="47" t="s">
        <v>52</v>
      </c>
      <c r="AI562" s="11">
        <v>0</v>
      </c>
      <c r="AJ562" s="11"/>
      <c r="AK562" s="11"/>
      <c r="AL562" s="11"/>
      <c r="AM562" s="11"/>
      <c r="AN562" s="47" t="s">
        <v>47</v>
      </c>
      <c r="AO562" s="11">
        <v>2458</v>
      </c>
      <c r="AP562" s="11" t="s">
        <v>53</v>
      </c>
      <c r="AQ562" s="2">
        <v>0</v>
      </c>
    </row>
    <row r="563" s="3" customFormat="1" ht="12" spans="1:43">
      <c r="A563" s="12">
        <v>170288</v>
      </c>
      <c r="B563" s="100" t="s">
        <v>863</v>
      </c>
      <c r="C563" s="12"/>
      <c r="D563" s="12"/>
      <c r="E563" s="12"/>
      <c r="F563" s="11">
        <v>1</v>
      </c>
      <c r="G563" s="12">
        <v>1</v>
      </c>
      <c r="H563" s="12" t="s">
        <v>45</v>
      </c>
      <c r="I563" s="12">
        <v>7</v>
      </c>
      <c r="J563" s="12">
        <v>0</v>
      </c>
      <c r="K563" s="12" t="s">
        <v>46</v>
      </c>
      <c r="L563" s="47" t="s">
        <v>47</v>
      </c>
      <c r="M563" s="11">
        <v>1010174</v>
      </c>
      <c r="N563" s="12">
        <v>0</v>
      </c>
      <c r="O563" s="47" t="s">
        <v>48</v>
      </c>
      <c r="P563" s="12">
        <v>0</v>
      </c>
      <c r="Q563" s="12"/>
      <c r="R563" s="12"/>
      <c r="S563" s="12">
        <v>0</v>
      </c>
      <c r="T563" s="12">
        <v>0</v>
      </c>
      <c r="U563" s="12"/>
      <c r="V563" s="12"/>
      <c r="W563" s="47" t="s">
        <v>47</v>
      </c>
      <c r="X563" s="47"/>
      <c r="Y563" s="47"/>
      <c r="Z563" s="12" t="s">
        <v>771</v>
      </c>
      <c r="AA563" s="12"/>
      <c r="AB563" s="12" t="s">
        <v>771</v>
      </c>
      <c r="AC563" s="12">
        <v>2194</v>
      </c>
      <c r="AD563" s="12" t="s">
        <v>51</v>
      </c>
      <c r="AE563" s="12" t="s">
        <v>51</v>
      </c>
      <c r="AF563" s="12" t="s">
        <v>51</v>
      </c>
      <c r="AG563" s="12"/>
      <c r="AH563" s="47" t="s">
        <v>52</v>
      </c>
      <c r="AI563" s="12">
        <v>0</v>
      </c>
      <c r="AJ563" s="12"/>
      <c r="AK563" s="12"/>
      <c r="AL563" s="12"/>
      <c r="AM563" s="12"/>
      <c r="AN563" s="47" t="s">
        <v>47</v>
      </c>
      <c r="AO563" s="12">
        <v>2459</v>
      </c>
      <c r="AP563" s="12" t="s">
        <v>53</v>
      </c>
      <c r="AQ563" s="2">
        <v>0</v>
      </c>
    </row>
    <row r="564" s="2" customFormat="1" ht="12" spans="1:43">
      <c r="A564" s="11">
        <v>170289</v>
      </c>
      <c r="B564" s="101" t="s">
        <v>864</v>
      </c>
      <c r="C564" s="11"/>
      <c r="D564" s="11"/>
      <c r="E564" s="11"/>
      <c r="F564" s="11">
        <v>1</v>
      </c>
      <c r="G564" s="11">
        <v>0</v>
      </c>
      <c r="H564" s="11" t="s">
        <v>45</v>
      </c>
      <c r="I564" s="11">
        <v>7</v>
      </c>
      <c r="J564" s="11">
        <v>0</v>
      </c>
      <c r="K564" s="11" t="s">
        <v>46</v>
      </c>
      <c r="L564" s="47" t="s">
        <v>47</v>
      </c>
      <c r="M564" s="12" t="s">
        <v>409</v>
      </c>
      <c r="N564" s="11">
        <v>0</v>
      </c>
      <c r="O564" s="47" t="s">
        <v>48</v>
      </c>
      <c r="P564" s="11">
        <v>0</v>
      </c>
      <c r="Q564" s="11"/>
      <c r="R564" s="11"/>
      <c r="S564" s="11">
        <v>0</v>
      </c>
      <c r="T564" s="11">
        <v>0</v>
      </c>
      <c r="U564" s="11"/>
      <c r="V564" s="11"/>
      <c r="W564" s="47" t="s">
        <v>47</v>
      </c>
      <c r="X564" s="47"/>
      <c r="Y564" s="47"/>
      <c r="Z564" s="11" t="s">
        <v>771</v>
      </c>
      <c r="AA564" s="11"/>
      <c r="AB564" s="11" t="s">
        <v>771</v>
      </c>
      <c r="AC564" s="11">
        <v>2194</v>
      </c>
      <c r="AD564" s="11" t="s">
        <v>51</v>
      </c>
      <c r="AE564" s="11" t="s">
        <v>51</v>
      </c>
      <c r="AF564" s="11" t="s">
        <v>51</v>
      </c>
      <c r="AG564" s="11"/>
      <c r="AH564" s="47" t="s">
        <v>52</v>
      </c>
      <c r="AI564" s="11">
        <v>0</v>
      </c>
      <c r="AJ564" s="11"/>
      <c r="AK564" s="11"/>
      <c r="AL564" s="11"/>
      <c r="AM564" s="11"/>
      <c r="AN564" s="47" t="s">
        <v>47</v>
      </c>
      <c r="AO564" s="11">
        <v>2460</v>
      </c>
      <c r="AP564" s="11" t="s">
        <v>53</v>
      </c>
      <c r="AQ564" s="2">
        <v>0</v>
      </c>
    </row>
    <row r="565" s="3" customFormat="1" ht="12" spans="1:43">
      <c r="A565" s="12">
        <v>170290</v>
      </c>
      <c r="B565" s="100" t="s">
        <v>865</v>
      </c>
      <c r="C565" s="12"/>
      <c r="D565" s="12"/>
      <c r="E565" s="12"/>
      <c r="F565" s="11">
        <v>1</v>
      </c>
      <c r="G565" s="12">
        <v>1</v>
      </c>
      <c r="H565" s="12" t="s">
        <v>45</v>
      </c>
      <c r="I565" s="12">
        <v>7</v>
      </c>
      <c r="J565" s="12">
        <v>0</v>
      </c>
      <c r="K565" s="12" t="s">
        <v>46</v>
      </c>
      <c r="L565" s="47" t="s">
        <v>47</v>
      </c>
      <c r="M565" s="11">
        <v>1010175</v>
      </c>
      <c r="N565" s="12">
        <v>0</v>
      </c>
      <c r="O565" s="47" t="s">
        <v>48</v>
      </c>
      <c r="P565" s="12">
        <v>0</v>
      </c>
      <c r="Q565" s="12"/>
      <c r="R565" s="12"/>
      <c r="S565" s="12">
        <v>0</v>
      </c>
      <c r="T565" s="12">
        <v>0</v>
      </c>
      <c r="U565" s="12"/>
      <c r="V565" s="12"/>
      <c r="W565" s="47" t="s">
        <v>47</v>
      </c>
      <c r="X565" s="47"/>
      <c r="Y565" s="47"/>
      <c r="Z565" s="12" t="s">
        <v>771</v>
      </c>
      <c r="AA565" s="12"/>
      <c r="AB565" s="12" t="s">
        <v>771</v>
      </c>
      <c r="AC565" s="12">
        <v>2194</v>
      </c>
      <c r="AD565" s="12" t="s">
        <v>51</v>
      </c>
      <c r="AE565" s="12" t="s">
        <v>51</v>
      </c>
      <c r="AF565" s="12" t="s">
        <v>51</v>
      </c>
      <c r="AG565" s="12"/>
      <c r="AH565" s="47" t="s">
        <v>52</v>
      </c>
      <c r="AI565" s="12">
        <v>0</v>
      </c>
      <c r="AJ565" s="12"/>
      <c r="AK565" s="12"/>
      <c r="AL565" s="12"/>
      <c r="AM565" s="12"/>
      <c r="AN565" s="47" t="s">
        <v>47</v>
      </c>
      <c r="AO565" s="12">
        <v>2461</v>
      </c>
      <c r="AP565" s="12" t="s">
        <v>53</v>
      </c>
      <c r="AQ565" s="2">
        <v>0</v>
      </c>
    </row>
    <row r="566" s="8" customFormat="1" ht="12.75" spans="1:43">
      <c r="A566" s="53">
        <v>170291</v>
      </c>
      <c r="B566" s="102" t="s">
        <v>866</v>
      </c>
      <c r="C566" s="60"/>
      <c r="D566" s="60"/>
      <c r="E566" s="60"/>
      <c r="F566" s="60">
        <v>0</v>
      </c>
      <c r="G566" s="60">
        <v>0</v>
      </c>
      <c r="H566" s="60">
        <v>1.1</v>
      </c>
      <c r="I566" s="60">
        <v>7</v>
      </c>
      <c r="J566" s="60">
        <v>0</v>
      </c>
      <c r="K566" s="60" t="s">
        <v>46</v>
      </c>
      <c r="L566" s="47" t="s">
        <v>47</v>
      </c>
      <c r="M566" s="66">
        <v>530085</v>
      </c>
      <c r="N566" s="60">
        <v>0</v>
      </c>
      <c r="O566" s="47" t="s">
        <v>48</v>
      </c>
      <c r="P566" s="60">
        <v>0</v>
      </c>
      <c r="Q566" s="60"/>
      <c r="R566" s="60"/>
      <c r="S566" s="60">
        <v>0</v>
      </c>
      <c r="T566" s="60">
        <v>0</v>
      </c>
      <c r="U566" s="60"/>
      <c r="V566" s="60"/>
      <c r="W566" s="47" t="s">
        <v>47</v>
      </c>
      <c r="X566" s="47"/>
      <c r="Y566" s="47"/>
      <c r="Z566" s="12" t="s">
        <v>867</v>
      </c>
      <c r="AA566" s="60"/>
      <c r="AB566" s="60" t="s">
        <v>867</v>
      </c>
      <c r="AC566" s="60">
        <v>2141</v>
      </c>
      <c r="AD566" s="60" t="s">
        <v>51</v>
      </c>
      <c r="AE566" s="60" t="s">
        <v>51</v>
      </c>
      <c r="AF566" s="60" t="s">
        <v>51</v>
      </c>
      <c r="AG566" s="60"/>
      <c r="AH566" s="47" t="s">
        <v>52</v>
      </c>
      <c r="AI566" s="60">
        <v>0</v>
      </c>
      <c r="AJ566" s="60"/>
      <c r="AK566" s="60"/>
      <c r="AL566" s="60"/>
      <c r="AM566" s="62"/>
      <c r="AN566" s="47" t="s">
        <v>47</v>
      </c>
      <c r="AO566" s="62">
        <v>2462</v>
      </c>
      <c r="AP566" s="60" t="s">
        <v>53</v>
      </c>
      <c r="AQ566" s="2">
        <v>0</v>
      </c>
    </row>
    <row r="567" s="8" customFormat="1" ht="12.75" spans="1:43">
      <c r="A567" s="53">
        <v>170292</v>
      </c>
      <c r="B567" s="102" t="s">
        <v>868</v>
      </c>
      <c r="C567" s="60"/>
      <c r="D567" s="60"/>
      <c r="E567" s="60"/>
      <c r="F567" s="60">
        <v>0</v>
      </c>
      <c r="G567" s="60">
        <v>0</v>
      </c>
      <c r="H567" s="60">
        <v>1.1</v>
      </c>
      <c r="I567" s="60">
        <v>7</v>
      </c>
      <c r="J567" s="60">
        <v>0</v>
      </c>
      <c r="K567" s="60" t="s">
        <v>46</v>
      </c>
      <c r="L567" s="47" t="s">
        <v>47</v>
      </c>
      <c r="M567" s="105">
        <v>2010175</v>
      </c>
      <c r="N567" s="60">
        <v>0</v>
      </c>
      <c r="O567" s="47" t="s">
        <v>48</v>
      </c>
      <c r="P567" s="60">
        <v>0</v>
      </c>
      <c r="Q567" s="60"/>
      <c r="R567" s="60"/>
      <c r="S567" s="60">
        <v>0</v>
      </c>
      <c r="T567" s="60">
        <v>0</v>
      </c>
      <c r="U567" s="60"/>
      <c r="V567" s="60"/>
      <c r="W567" s="47" t="s">
        <v>47</v>
      </c>
      <c r="X567" s="47"/>
      <c r="Y567" s="47"/>
      <c r="Z567" s="12" t="s">
        <v>867</v>
      </c>
      <c r="AA567" s="60"/>
      <c r="AB567" s="60" t="s">
        <v>867</v>
      </c>
      <c r="AC567" s="60">
        <v>2141</v>
      </c>
      <c r="AD567" s="60" t="s">
        <v>51</v>
      </c>
      <c r="AE567" s="60" t="s">
        <v>51</v>
      </c>
      <c r="AF567" s="60" t="s">
        <v>51</v>
      </c>
      <c r="AG567" s="60"/>
      <c r="AH567" s="47" t="s">
        <v>52</v>
      </c>
      <c r="AI567" s="60">
        <v>0</v>
      </c>
      <c r="AJ567" s="60"/>
      <c r="AK567" s="60"/>
      <c r="AL567" s="60"/>
      <c r="AM567" s="60"/>
      <c r="AN567" s="47" t="s">
        <v>47</v>
      </c>
      <c r="AO567" s="62">
        <v>2463</v>
      </c>
      <c r="AP567" s="60" t="s">
        <v>53</v>
      </c>
      <c r="AQ567" s="2">
        <v>0</v>
      </c>
    </row>
    <row r="568" s="8" customFormat="1" ht="12.75" spans="1:43">
      <c r="A568" s="53">
        <v>170293</v>
      </c>
      <c r="B568" s="102" t="s">
        <v>869</v>
      </c>
      <c r="C568" s="60"/>
      <c r="D568" s="60"/>
      <c r="E568" s="60"/>
      <c r="F568" s="60">
        <v>0</v>
      </c>
      <c r="G568" s="60">
        <v>0</v>
      </c>
      <c r="H568" s="60">
        <v>1.1</v>
      </c>
      <c r="I568" s="60">
        <v>7</v>
      </c>
      <c r="J568" s="60">
        <v>0</v>
      </c>
      <c r="K568" s="60" t="s">
        <v>46</v>
      </c>
      <c r="L568" s="47" t="s">
        <v>47</v>
      </c>
      <c r="M568" s="66">
        <v>530037</v>
      </c>
      <c r="N568" s="60">
        <v>0</v>
      </c>
      <c r="O568" s="47" t="s">
        <v>48</v>
      </c>
      <c r="P568" s="60">
        <v>0</v>
      </c>
      <c r="Q568" s="60"/>
      <c r="R568" s="60"/>
      <c r="S568" s="60">
        <v>0</v>
      </c>
      <c r="T568" s="60">
        <v>0</v>
      </c>
      <c r="U568" s="60"/>
      <c r="V568" s="60"/>
      <c r="W568" s="47" t="s">
        <v>47</v>
      </c>
      <c r="X568" s="47"/>
      <c r="Y568" s="47"/>
      <c r="Z568" s="12" t="s">
        <v>867</v>
      </c>
      <c r="AA568" s="60"/>
      <c r="AB568" s="60" t="s">
        <v>867</v>
      </c>
      <c r="AC568" s="60">
        <v>2141</v>
      </c>
      <c r="AD568" s="60" t="s">
        <v>51</v>
      </c>
      <c r="AE568" s="60" t="s">
        <v>51</v>
      </c>
      <c r="AF568" s="60" t="s">
        <v>51</v>
      </c>
      <c r="AG568" s="60"/>
      <c r="AH568" s="47" t="s">
        <v>52</v>
      </c>
      <c r="AI568" s="60">
        <v>0</v>
      </c>
      <c r="AJ568" s="60"/>
      <c r="AK568" s="60"/>
      <c r="AL568" s="60"/>
      <c r="AM568" s="60"/>
      <c r="AN568" s="47" t="s">
        <v>47</v>
      </c>
      <c r="AO568" s="62">
        <v>2464</v>
      </c>
      <c r="AP568" s="60" t="s">
        <v>53</v>
      </c>
      <c r="AQ568" s="2">
        <v>0</v>
      </c>
    </row>
    <row r="569" s="3" customFormat="1" ht="12.75" spans="1:124">
      <c r="A569" s="53">
        <v>170294</v>
      </c>
      <c r="B569" s="53" t="s">
        <v>870</v>
      </c>
      <c r="C569" s="60"/>
      <c r="D569" s="60"/>
      <c r="E569" s="60"/>
      <c r="F569" s="60">
        <v>0</v>
      </c>
      <c r="G569" s="60">
        <v>0</v>
      </c>
      <c r="H569" s="60">
        <v>1.1</v>
      </c>
      <c r="I569" s="60">
        <v>7</v>
      </c>
      <c r="J569" s="60">
        <v>0</v>
      </c>
      <c r="K569" s="60" t="s">
        <v>46</v>
      </c>
      <c r="L569" s="47" t="s">
        <v>47</v>
      </c>
      <c r="M569" s="71">
        <v>1010111</v>
      </c>
      <c r="N569" s="60">
        <v>0</v>
      </c>
      <c r="O569" s="47" t="s">
        <v>48</v>
      </c>
      <c r="P569" s="60">
        <v>0</v>
      </c>
      <c r="Q569" s="60"/>
      <c r="R569" s="60"/>
      <c r="S569" s="60">
        <v>0</v>
      </c>
      <c r="T569" s="60">
        <v>0</v>
      </c>
      <c r="U569" s="60"/>
      <c r="V569" s="60"/>
      <c r="W569" s="47" t="s">
        <v>47</v>
      </c>
      <c r="X569" s="47"/>
      <c r="Y569" s="47"/>
      <c r="Z569" s="12" t="s">
        <v>867</v>
      </c>
      <c r="AA569" s="60"/>
      <c r="AB569" s="60" t="s">
        <v>867</v>
      </c>
      <c r="AC569" s="60">
        <v>2141</v>
      </c>
      <c r="AD569" s="60" t="s">
        <v>51</v>
      </c>
      <c r="AE569" s="60" t="s">
        <v>51</v>
      </c>
      <c r="AF569" s="60" t="s">
        <v>51</v>
      </c>
      <c r="AG569" s="60"/>
      <c r="AH569" s="47" t="s">
        <v>52</v>
      </c>
      <c r="AI569" s="60">
        <v>0</v>
      </c>
      <c r="AJ569" s="60"/>
      <c r="AK569" s="60"/>
      <c r="AL569" s="60"/>
      <c r="AM569" s="60"/>
      <c r="AN569" s="47" t="s">
        <v>47</v>
      </c>
      <c r="AO569" s="62">
        <v>2465</v>
      </c>
      <c r="AP569" s="60" t="s">
        <v>53</v>
      </c>
      <c r="AQ569" s="2">
        <v>0</v>
      </c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</row>
    <row r="570" s="2" customFormat="1" ht="12.75" spans="1:124">
      <c r="A570" s="53">
        <v>170295</v>
      </c>
      <c r="B570" s="103" t="s">
        <v>871</v>
      </c>
      <c r="C570" s="60"/>
      <c r="D570" s="60"/>
      <c r="E570" s="60"/>
      <c r="F570" s="60">
        <v>0</v>
      </c>
      <c r="G570" s="60">
        <v>0</v>
      </c>
      <c r="H570" s="60">
        <v>1.1</v>
      </c>
      <c r="I570" s="60">
        <v>7</v>
      </c>
      <c r="J570" s="60">
        <v>0</v>
      </c>
      <c r="K570" s="60" t="s">
        <v>46</v>
      </c>
      <c r="L570" s="47" t="s">
        <v>47</v>
      </c>
      <c r="M570" s="71">
        <v>540005</v>
      </c>
      <c r="N570" s="60">
        <v>0</v>
      </c>
      <c r="O570" s="47" t="s">
        <v>48</v>
      </c>
      <c r="P570" s="60">
        <v>0</v>
      </c>
      <c r="Q570" s="60"/>
      <c r="R570" s="60"/>
      <c r="S570" s="60">
        <v>0</v>
      </c>
      <c r="T570" s="60">
        <v>0</v>
      </c>
      <c r="U570" s="60"/>
      <c r="V570" s="60"/>
      <c r="W570" s="47" t="s">
        <v>47</v>
      </c>
      <c r="X570" s="47"/>
      <c r="Y570" s="47"/>
      <c r="Z570" s="12" t="s">
        <v>867</v>
      </c>
      <c r="AA570" s="60"/>
      <c r="AB570" s="60" t="s">
        <v>867</v>
      </c>
      <c r="AC570" s="60">
        <v>2141</v>
      </c>
      <c r="AD570" s="60" t="s">
        <v>51</v>
      </c>
      <c r="AE570" s="60" t="s">
        <v>51</v>
      </c>
      <c r="AF570" s="60" t="s">
        <v>51</v>
      </c>
      <c r="AG570" s="60"/>
      <c r="AH570" s="47" t="s">
        <v>52</v>
      </c>
      <c r="AI570" s="60">
        <v>0</v>
      </c>
      <c r="AJ570" s="60"/>
      <c r="AK570" s="60"/>
      <c r="AL570" s="60"/>
      <c r="AM570" s="60"/>
      <c r="AN570" s="47" t="s">
        <v>47</v>
      </c>
      <c r="AO570" s="62">
        <v>2466</v>
      </c>
      <c r="AP570" s="60" t="s">
        <v>53</v>
      </c>
      <c r="AQ570" s="2">
        <v>0</v>
      </c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</row>
    <row r="571" s="3" customFormat="1" ht="12.75" spans="1:124">
      <c r="A571" s="53">
        <v>170296</v>
      </c>
      <c r="B571" s="53" t="s">
        <v>872</v>
      </c>
      <c r="C571" s="60"/>
      <c r="D571" s="60"/>
      <c r="E571" s="60"/>
      <c r="F571" s="60">
        <v>0</v>
      </c>
      <c r="G571" s="60">
        <v>0</v>
      </c>
      <c r="H571" s="60">
        <v>1.1</v>
      </c>
      <c r="I571" s="60">
        <v>7</v>
      </c>
      <c r="J571" s="60">
        <v>0</v>
      </c>
      <c r="K571" s="60" t="s">
        <v>46</v>
      </c>
      <c r="L571" s="47" t="s">
        <v>47</v>
      </c>
      <c r="M571" s="71">
        <v>540001</v>
      </c>
      <c r="N571" s="60">
        <v>0</v>
      </c>
      <c r="O571" s="47">
        <v>-1</v>
      </c>
      <c r="P571" s="60">
        <v>0</v>
      </c>
      <c r="Q571" s="60"/>
      <c r="R571" s="60"/>
      <c r="S571" s="60">
        <v>0</v>
      </c>
      <c r="T571" s="60">
        <v>0</v>
      </c>
      <c r="U571" s="60"/>
      <c r="V571" s="60"/>
      <c r="W571" s="47" t="s">
        <v>47</v>
      </c>
      <c r="X571" s="47"/>
      <c r="Y571" s="47"/>
      <c r="Z571" s="12" t="s">
        <v>867</v>
      </c>
      <c r="AA571" s="60"/>
      <c r="AB571" s="60" t="s">
        <v>867</v>
      </c>
      <c r="AC571" s="60">
        <v>2141</v>
      </c>
      <c r="AD571" s="60" t="s">
        <v>51</v>
      </c>
      <c r="AE571" s="60" t="s">
        <v>51</v>
      </c>
      <c r="AF571" s="60" t="s">
        <v>51</v>
      </c>
      <c r="AG571" s="60"/>
      <c r="AH571" s="47" t="s">
        <v>52</v>
      </c>
      <c r="AI571" s="60">
        <v>0</v>
      </c>
      <c r="AJ571" s="60"/>
      <c r="AK571" s="60"/>
      <c r="AL571" s="60"/>
      <c r="AM571" s="60"/>
      <c r="AN571" s="47" t="s">
        <v>47</v>
      </c>
      <c r="AO571" s="62">
        <v>2467</v>
      </c>
      <c r="AP571" s="60" t="s">
        <v>53</v>
      </c>
      <c r="AQ571" s="2">
        <v>0</v>
      </c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</row>
    <row r="572" s="2" customFormat="1" ht="12.75" spans="1:128">
      <c r="A572" s="53">
        <v>170297</v>
      </c>
      <c r="B572" s="53" t="s">
        <v>873</v>
      </c>
      <c r="C572" s="60"/>
      <c r="D572" s="60"/>
      <c r="E572" s="60"/>
      <c r="F572" s="60">
        <v>0</v>
      </c>
      <c r="G572" s="60">
        <v>0</v>
      </c>
      <c r="H572" s="60">
        <v>1.1</v>
      </c>
      <c r="I572" s="60">
        <v>7</v>
      </c>
      <c r="J572" s="60">
        <v>0</v>
      </c>
      <c r="K572" s="60" t="s">
        <v>46</v>
      </c>
      <c r="L572" s="47" t="s">
        <v>47</v>
      </c>
      <c r="M572" s="71">
        <v>540003</v>
      </c>
      <c r="N572" s="60">
        <v>0</v>
      </c>
      <c r="O572" s="47" t="s">
        <v>48</v>
      </c>
      <c r="P572" s="60">
        <v>0</v>
      </c>
      <c r="Q572" s="60"/>
      <c r="R572" s="60"/>
      <c r="S572" s="60">
        <v>0</v>
      </c>
      <c r="T572" s="60">
        <v>0</v>
      </c>
      <c r="U572" s="60"/>
      <c r="V572" s="60"/>
      <c r="W572" s="47" t="s">
        <v>47</v>
      </c>
      <c r="X572" s="47"/>
      <c r="Y572" s="47"/>
      <c r="Z572" s="12" t="s">
        <v>867</v>
      </c>
      <c r="AA572" s="60"/>
      <c r="AB572" s="60" t="s">
        <v>867</v>
      </c>
      <c r="AC572" s="60">
        <v>2141</v>
      </c>
      <c r="AD572" s="60" t="s">
        <v>51</v>
      </c>
      <c r="AE572" s="60" t="s">
        <v>51</v>
      </c>
      <c r="AF572" s="60" t="s">
        <v>51</v>
      </c>
      <c r="AG572" s="60"/>
      <c r="AH572" s="47" t="s">
        <v>52</v>
      </c>
      <c r="AI572" s="60">
        <v>0</v>
      </c>
      <c r="AJ572" s="60"/>
      <c r="AK572" s="60"/>
      <c r="AL572" s="60"/>
      <c r="AM572" s="60"/>
      <c r="AN572" s="47" t="s">
        <v>47</v>
      </c>
      <c r="AO572" s="62">
        <v>2468</v>
      </c>
      <c r="AP572" s="60" t="s">
        <v>53</v>
      </c>
      <c r="AQ572" s="2">
        <v>0</v>
      </c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3"/>
      <c r="DV572" s="3"/>
      <c r="DW572" s="3"/>
      <c r="DX572" s="3"/>
    </row>
    <row r="573" s="2" customFormat="1" ht="12.75" spans="1:43">
      <c r="A573" s="53">
        <v>170298</v>
      </c>
      <c r="B573" s="104" t="s">
        <v>874</v>
      </c>
      <c r="C573" s="60"/>
      <c r="D573" s="60"/>
      <c r="E573" s="60"/>
      <c r="F573" s="60">
        <v>0</v>
      </c>
      <c r="G573" s="60">
        <v>0</v>
      </c>
      <c r="H573" s="60">
        <v>1.1</v>
      </c>
      <c r="I573" s="60">
        <v>7</v>
      </c>
      <c r="J573" s="60">
        <v>0</v>
      </c>
      <c r="K573" s="60" t="s">
        <v>46</v>
      </c>
      <c r="L573" s="47" t="s">
        <v>47</v>
      </c>
      <c r="M573" s="66">
        <v>530040</v>
      </c>
      <c r="N573" s="60">
        <v>0</v>
      </c>
      <c r="O573" s="47" t="s">
        <v>48</v>
      </c>
      <c r="P573" s="60">
        <v>0</v>
      </c>
      <c r="Q573" s="60"/>
      <c r="R573" s="60"/>
      <c r="S573" s="60">
        <v>0</v>
      </c>
      <c r="T573" s="60">
        <v>0</v>
      </c>
      <c r="U573" s="60"/>
      <c r="V573" s="60"/>
      <c r="W573" s="47" t="s">
        <v>47</v>
      </c>
      <c r="X573" s="47"/>
      <c r="Y573" s="47"/>
      <c r="Z573" s="12" t="s">
        <v>867</v>
      </c>
      <c r="AA573" s="60"/>
      <c r="AB573" s="60" t="s">
        <v>867</v>
      </c>
      <c r="AC573" s="60">
        <v>2141</v>
      </c>
      <c r="AD573" s="60" t="s">
        <v>51</v>
      </c>
      <c r="AE573" s="60" t="s">
        <v>51</v>
      </c>
      <c r="AF573" s="60" t="s">
        <v>51</v>
      </c>
      <c r="AG573" s="60"/>
      <c r="AH573" s="47" t="s">
        <v>52</v>
      </c>
      <c r="AI573" s="60">
        <v>0</v>
      </c>
      <c r="AJ573" s="60"/>
      <c r="AK573" s="60"/>
      <c r="AL573" s="60"/>
      <c r="AM573" s="60"/>
      <c r="AN573" s="47" t="s">
        <v>47</v>
      </c>
      <c r="AO573" s="62">
        <v>2469</v>
      </c>
      <c r="AP573" s="60" t="s">
        <v>53</v>
      </c>
      <c r="AQ573" s="2">
        <v>0</v>
      </c>
    </row>
    <row r="574" s="2" customFormat="1" ht="12.75" spans="1:124">
      <c r="A574" s="53">
        <v>170299</v>
      </c>
      <c r="B574" s="103" t="s">
        <v>875</v>
      </c>
      <c r="C574" s="60"/>
      <c r="D574" s="60"/>
      <c r="E574" s="60"/>
      <c r="F574" s="60">
        <v>0</v>
      </c>
      <c r="G574" s="60">
        <v>0</v>
      </c>
      <c r="H574" s="60">
        <v>1.1</v>
      </c>
      <c r="I574" s="60">
        <v>7</v>
      </c>
      <c r="J574" s="60">
        <v>0</v>
      </c>
      <c r="K574" s="60" t="s">
        <v>46</v>
      </c>
      <c r="L574" s="47" t="s">
        <v>47</v>
      </c>
      <c r="M574" s="71">
        <v>540004</v>
      </c>
      <c r="N574" s="60">
        <v>0</v>
      </c>
      <c r="O574" s="47" t="s">
        <v>48</v>
      </c>
      <c r="P574" s="60">
        <v>0</v>
      </c>
      <c r="Q574" s="60"/>
      <c r="R574" s="60"/>
      <c r="S574" s="60">
        <v>0</v>
      </c>
      <c r="T574" s="60">
        <v>0</v>
      </c>
      <c r="U574" s="60"/>
      <c r="V574" s="60"/>
      <c r="W574" s="47" t="s">
        <v>47</v>
      </c>
      <c r="X574" s="47"/>
      <c r="Y574" s="47"/>
      <c r="Z574" s="12" t="s">
        <v>867</v>
      </c>
      <c r="AA574" s="60"/>
      <c r="AB574" s="60" t="s">
        <v>867</v>
      </c>
      <c r="AC574" s="60">
        <v>2141</v>
      </c>
      <c r="AD574" s="60" t="s">
        <v>51</v>
      </c>
      <c r="AE574" s="60" t="s">
        <v>51</v>
      </c>
      <c r="AF574" s="60" t="s">
        <v>51</v>
      </c>
      <c r="AG574" s="60"/>
      <c r="AH574" s="47" t="s">
        <v>52</v>
      </c>
      <c r="AI574" s="60">
        <v>0</v>
      </c>
      <c r="AJ574" s="60"/>
      <c r="AK574" s="60"/>
      <c r="AL574" s="60"/>
      <c r="AM574" s="60"/>
      <c r="AN574" s="47" t="s">
        <v>47</v>
      </c>
      <c r="AO574" s="62">
        <v>2470</v>
      </c>
      <c r="AP574" s="60" t="s">
        <v>53</v>
      </c>
      <c r="AQ574" s="2">
        <v>0</v>
      </c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</row>
    <row r="575" s="3" customFormat="1" ht="12.75" spans="1:124">
      <c r="A575" s="53">
        <v>170300</v>
      </c>
      <c r="B575" s="53" t="s">
        <v>876</v>
      </c>
      <c r="C575" s="60"/>
      <c r="D575" s="60"/>
      <c r="E575" s="60"/>
      <c r="F575" s="60">
        <v>0</v>
      </c>
      <c r="G575" s="60">
        <v>0</v>
      </c>
      <c r="H575" s="60">
        <v>1.1</v>
      </c>
      <c r="I575" s="60">
        <v>7</v>
      </c>
      <c r="J575" s="60">
        <v>0</v>
      </c>
      <c r="K575" s="60" t="s">
        <v>46</v>
      </c>
      <c r="L575" s="47" t="s">
        <v>47</v>
      </c>
      <c r="M575" s="71">
        <v>540000</v>
      </c>
      <c r="N575" s="60">
        <v>0</v>
      </c>
      <c r="O575" s="47" t="s">
        <v>48</v>
      </c>
      <c r="P575" s="60">
        <v>0</v>
      </c>
      <c r="Q575" s="60"/>
      <c r="R575" s="60"/>
      <c r="S575" s="60">
        <v>0</v>
      </c>
      <c r="T575" s="60">
        <v>0</v>
      </c>
      <c r="U575" s="60"/>
      <c r="V575" s="60"/>
      <c r="W575" s="47" t="s">
        <v>47</v>
      </c>
      <c r="X575" s="47"/>
      <c r="Y575" s="47"/>
      <c r="Z575" s="12" t="s">
        <v>867</v>
      </c>
      <c r="AA575" s="60"/>
      <c r="AB575" s="60" t="s">
        <v>867</v>
      </c>
      <c r="AC575" s="60">
        <v>2141</v>
      </c>
      <c r="AD575" s="60" t="s">
        <v>51</v>
      </c>
      <c r="AE575" s="60" t="s">
        <v>51</v>
      </c>
      <c r="AF575" s="60" t="s">
        <v>51</v>
      </c>
      <c r="AG575" s="60"/>
      <c r="AH575" s="47" t="s">
        <v>52</v>
      </c>
      <c r="AI575" s="60">
        <v>0</v>
      </c>
      <c r="AJ575" s="60"/>
      <c r="AK575" s="60"/>
      <c r="AL575" s="60"/>
      <c r="AM575" s="60"/>
      <c r="AN575" s="47" t="s">
        <v>47</v>
      </c>
      <c r="AO575" s="62">
        <v>2471</v>
      </c>
      <c r="AP575" s="60" t="s">
        <v>53</v>
      </c>
      <c r="AQ575" s="2">
        <v>0</v>
      </c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</row>
    <row r="576" s="2" customFormat="1" ht="12.75" spans="1:128">
      <c r="A576" s="53">
        <v>170301</v>
      </c>
      <c r="B576" s="53" t="s">
        <v>877</v>
      </c>
      <c r="C576" s="60"/>
      <c r="D576" s="60"/>
      <c r="E576" s="60"/>
      <c r="F576" s="60">
        <v>0</v>
      </c>
      <c r="G576" s="60">
        <v>0</v>
      </c>
      <c r="H576" s="60">
        <v>1.1</v>
      </c>
      <c r="I576" s="60">
        <v>7</v>
      </c>
      <c r="J576" s="60">
        <v>0</v>
      </c>
      <c r="K576" s="60" t="s">
        <v>46</v>
      </c>
      <c r="L576" s="47" t="s">
        <v>47</v>
      </c>
      <c r="M576" s="71">
        <v>540002</v>
      </c>
      <c r="N576" s="60">
        <v>0</v>
      </c>
      <c r="O576" s="47" t="s">
        <v>48</v>
      </c>
      <c r="P576" s="60">
        <v>0</v>
      </c>
      <c r="Q576" s="60"/>
      <c r="R576" s="60"/>
      <c r="S576" s="60">
        <v>0</v>
      </c>
      <c r="T576" s="60">
        <v>0</v>
      </c>
      <c r="U576" s="60"/>
      <c r="V576" s="60"/>
      <c r="W576" s="47" t="s">
        <v>47</v>
      </c>
      <c r="X576" s="47"/>
      <c r="Y576" s="47"/>
      <c r="Z576" s="12" t="s">
        <v>867</v>
      </c>
      <c r="AA576" s="60"/>
      <c r="AB576" s="60" t="s">
        <v>867</v>
      </c>
      <c r="AC576" s="60">
        <v>2141</v>
      </c>
      <c r="AD576" s="60" t="s">
        <v>51</v>
      </c>
      <c r="AE576" s="60" t="s">
        <v>51</v>
      </c>
      <c r="AF576" s="60" t="s">
        <v>51</v>
      </c>
      <c r="AG576" s="60"/>
      <c r="AH576" s="47" t="s">
        <v>52</v>
      </c>
      <c r="AI576" s="60">
        <v>0</v>
      </c>
      <c r="AJ576" s="60"/>
      <c r="AK576" s="60"/>
      <c r="AL576" s="60"/>
      <c r="AM576" s="60"/>
      <c r="AN576" s="47" t="s">
        <v>47</v>
      </c>
      <c r="AO576" s="62">
        <v>2472</v>
      </c>
      <c r="AP576" s="60" t="s">
        <v>53</v>
      </c>
      <c r="AQ576" s="2">
        <v>0</v>
      </c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3"/>
      <c r="DV576" s="3"/>
      <c r="DW576" s="3"/>
      <c r="DX576" s="3"/>
    </row>
    <row r="577" s="2" customFormat="1" ht="12.75" spans="1:43">
      <c r="A577" s="53">
        <v>170302</v>
      </c>
      <c r="B577" s="104" t="s">
        <v>878</v>
      </c>
      <c r="C577" s="60"/>
      <c r="D577" s="60"/>
      <c r="E577" s="60"/>
      <c r="F577" s="60">
        <v>0</v>
      </c>
      <c r="G577" s="60">
        <v>0</v>
      </c>
      <c r="H577" s="60">
        <v>1.1</v>
      </c>
      <c r="I577" s="60">
        <v>7</v>
      </c>
      <c r="J577" s="60">
        <v>0</v>
      </c>
      <c r="K577" s="60" t="s">
        <v>46</v>
      </c>
      <c r="L577" s="47" t="s">
        <v>47</v>
      </c>
      <c r="M577" s="66">
        <v>530080</v>
      </c>
      <c r="N577" s="11">
        <v>0</v>
      </c>
      <c r="O577" s="47" t="s">
        <v>48</v>
      </c>
      <c r="P577" s="11">
        <v>0</v>
      </c>
      <c r="Q577" s="11"/>
      <c r="R577" s="11"/>
      <c r="S577" s="11">
        <v>0</v>
      </c>
      <c r="T577" s="11">
        <v>0</v>
      </c>
      <c r="U577" s="11"/>
      <c r="V577" s="11"/>
      <c r="W577" s="47" t="s">
        <v>47</v>
      </c>
      <c r="X577" s="47"/>
      <c r="Y577" s="47"/>
      <c r="Z577" s="12" t="s">
        <v>867</v>
      </c>
      <c r="AA577" s="60"/>
      <c r="AB577" s="60" t="s">
        <v>867</v>
      </c>
      <c r="AC577" s="60">
        <v>2141</v>
      </c>
      <c r="AD577" s="60" t="s">
        <v>51</v>
      </c>
      <c r="AE577" s="60" t="s">
        <v>51</v>
      </c>
      <c r="AF577" s="60" t="s">
        <v>51</v>
      </c>
      <c r="AG577" s="60"/>
      <c r="AH577" s="47" t="s">
        <v>52</v>
      </c>
      <c r="AI577" s="60">
        <v>0</v>
      </c>
      <c r="AJ577" s="60"/>
      <c r="AK577" s="60"/>
      <c r="AL577" s="60"/>
      <c r="AM577" s="60"/>
      <c r="AN577" s="47" t="s">
        <v>47</v>
      </c>
      <c r="AO577" s="62">
        <v>2473</v>
      </c>
      <c r="AP577" s="60" t="s">
        <v>53</v>
      </c>
      <c r="AQ577" s="2">
        <v>0</v>
      </c>
    </row>
    <row r="578" s="2" customFormat="1" ht="12.75" spans="1:43">
      <c r="A578" s="61">
        <v>170303</v>
      </c>
      <c r="B578" s="106" t="s">
        <v>879</v>
      </c>
      <c r="C578" s="60"/>
      <c r="D578" s="60"/>
      <c r="E578" s="60"/>
      <c r="F578" s="60">
        <v>0</v>
      </c>
      <c r="G578" s="60">
        <v>0</v>
      </c>
      <c r="H578" s="60">
        <v>1.15</v>
      </c>
      <c r="I578" s="60">
        <v>7</v>
      </c>
      <c r="J578" s="60">
        <v>0</v>
      </c>
      <c r="K578" s="60" t="s">
        <v>46</v>
      </c>
      <c r="L578" s="47" t="s">
        <v>47</v>
      </c>
      <c r="M578" s="50">
        <v>530088</v>
      </c>
      <c r="N578" s="60">
        <v>0</v>
      </c>
      <c r="O578" s="47" t="s">
        <v>48</v>
      </c>
      <c r="P578" s="60">
        <v>0</v>
      </c>
      <c r="Q578" s="60"/>
      <c r="R578" s="60"/>
      <c r="S578" s="60">
        <v>0</v>
      </c>
      <c r="T578" s="60">
        <v>0</v>
      </c>
      <c r="U578" s="60"/>
      <c r="V578" s="60"/>
      <c r="W578" s="47" t="s">
        <v>47</v>
      </c>
      <c r="X578" s="47"/>
      <c r="Y578" s="47"/>
      <c r="Z578" s="12" t="s">
        <v>880</v>
      </c>
      <c r="AA578" s="60"/>
      <c r="AB578" s="60" t="s">
        <v>867</v>
      </c>
      <c r="AC578" s="60">
        <v>2141</v>
      </c>
      <c r="AD578" s="60" t="s">
        <v>51</v>
      </c>
      <c r="AE578" s="60" t="s">
        <v>51</v>
      </c>
      <c r="AF578" s="60" t="s">
        <v>51</v>
      </c>
      <c r="AG578" s="60"/>
      <c r="AH578" s="47" t="s">
        <v>52</v>
      </c>
      <c r="AI578" s="60">
        <v>0</v>
      </c>
      <c r="AJ578" s="60"/>
      <c r="AK578" s="60"/>
      <c r="AL578" s="60"/>
      <c r="AM578" s="60"/>
      <c r="AN578" s="47" t="s">
        <v>47</v>
      </c>
      <c r="AO578" s="120">
        <v>2801</v>
      </c>
      <c r="AP578" s="60" t="s">
        <v>53</v>
      </c>
      <c r="AQ578" s="2">
        <v>0</v>
      </c>
    </row>
    <row r="579" s="2" customFormat="1" ht="12.75" spans="1:124">
      <c r="A579" s="61">
        <v>170304</v>
      </c>
      <c r="B579" s="106" t="s">
        <v>879</v>
      </c>
      <c r="C579" s="60"/>
      <c r="D579" s="60"/>
      <c r="E579" s="60"/>
      <c r="F579" s="60">
        <v>0</v>
      </c>
      <c r="G579" s="60">
        <v>0</v>
      </c>
      <c r="H579" s="60">
        <v>1.15</v>
      </c>
      <c r="I579" s="60">
        <v>7</v>
      </c>
      <c r="J579" s="60">
        <v>0</v>
      </c>
      <c r="K579" s="60" t="s">
        <v>46</v>
      </c>
      <c r="L579" s="47" t="s">
        <v>47</v>
      </c>
      <c r="M579" s="50">
        <v>530092</v>
      </c>
      <c r="N579" s="60">
        <v>0</v>
      </c>
      <c r="O579" s="47" t="s">
        <v>48</v>
      </c>
      <c r="P579" s="60">
        <v>0</v>
      </c>
      <c r="Q579" s="60"/>
      <c r="R579" s="60"/>
      <c r="S579" s="60">
        <v>0</v>
      </c>
      <c r="T579" s="60">
        <v>0</v>
      </c>
      <c r="U579" s="60"/>
      <c r="V579" s="60"/>
      <c r="W579" s="47" t="s">
        <v>47</v>
      </c>
      <c r="X579" s="47"/>
      <c r="Y579" s="47"/>
      <c r="Z579" s="12" t="s">
        <v>880</v>
      </c>
      <c r="AA579" s="60"/>
      <c r="AB579" s="60" t="s">
        <v>867</v>
      </c>
      <c r="AC579" s="60">
        <v>2141</v>
      </c>
      <c r="AD579" s="60" t="s">
        <v>51</v>
      </c>
      <c r="AE579" s="60" t="s">
        <v>51</v>
      </c>
      <c r="AF579" s="60" t="s">
        <v>51</v>
      </c>
      <c r="AG579" s="60"/>
      <c r="AH579" s="47" t="s">
        <v>52</v>
      </c>
      <c r="AI579" s="60">
        <v>0</v>
      </c>
      <c r="AJ579" s="60"/>
      <c r="AK579" s="60"/>
      <c r="AL579" s="60"/>
      <c r="AM579" s="60"/>
      <c r="AN579" s="47" t="s">
        <v>47</v>
      </c>
      <c r="AO579" s="120">
        <v>2802</v>
      </c>
      <c r="AP579" s="60" t="s">
        <v>53</v>
      </c>
      <c r="AQ579" s="2">
        <v>0</v>
      </c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</row>
    <row r="580" s="3" customFormat="1" ht="12.75" spans="1:124">
      <c r="A580" s="61">
        <v>170305</v>
      </c>
      <c r="B580" s="106" t="s">
        <v>879</v>
      </c>
      <c r="C580" s="60"/>
      <c r="D580" s="60"/>
      <c r="E580" s="60"/>
      <c r="F580" s="60">
        <v>0</v>
      </c>
      <c r="G580" s="60">
        <v>0</v>
      </c>
      <c r="H580" s="60">
        <v>1.15</v>
      </c>
      <c r="I580" s="60">
        <v>7</v>
      </c>
      <c r="J580" s="60">
        <v>0</v>
      </c>
      <c r="K580" s="60" t="s">
        <v>46</v>
      </c>
      <c r="L580" s="47" t="s">
        <v>47</v>
      </c>
      <c r="M580" s="50">
        <v>530096</v>
      </c>
      <c r="N580" s="60">
        <v>0</v>
      </c>
      <c r="O580" s="47" t="s">
        <v>48</v>
      </c>
      <c r="P580" s="60">
        <v>0</v>
      </c>
      <c r="Q580" s="60"/>
      <c r="R580" s="60"/>
      <c r="S580" s="60">
        <v>0</v>
      </c>
      <c r="T580" s="60">
        <v>0</v>
      </c>
      <c r="U580" s="60"/>
      <c r="V580" s="60"/>
      <c r="W580" s="47" t="s">
        <v>47</v>
      </c>
      <c r="X580" s="47"/>
      <c r="Y580" s="47"/>
      <c r="Z580" s="12" t="s">
        <v>880</v>
      </c>
      <c r="AA580" s="60"/>
      <c r="AB580" s="60" t="s">
        <v>867</v>
      </c>
      <c r="AC580" s="60">
        <v>2141</v>
      </c>
      <c r="AD580" s="60" t="s">
        <v>51</v>
      </c>
      <c r="AE580" s="60" t="s">
        <v>51</v>
      </c>
      <c r="AF580" s="60" t="s">
        <v>51</v>
      </c>
      <c r="AG580" s="60"/>
      <c r="AH580" s="47" t="s">
        <v>52</v>
      </c>
      <c r="AI580" s="60">
        <v>0</v>
      </c>
      <c r="AJ580" s="60"/>
      <c r="AK580" s="60"/>
      <c r="AL580" s="60"/>
      <c r="AM580" s="60"/>
      <c r="AN580" s="47" t="s">
        <v>47</v>
      </c>
      <c r="AO580" s="120">
        <v>2803</v>
      </c>
      <c r="AP580" s="60" t="s">
        <v>53</v>
      </c>
      <c r="AQ580" s="2">
        <v>0</v>
      </c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</row>
    <row r="581" s="2" customFormat="1" ht="12.75" spans="1:128">
      <c r="A581" s="61">
        <v>170306</v>
      </c>
      <c r="B581" s="106" t="s">
        <v>879</v>
      </c>
      <c r="C581" s="60"/>
      <c r="D581" s="60"/>
      <c r="E581" s="60"/>
      <c r="F581" s="60">
        <v>0</v>
      </c>
      <c r="G581" s="60">
        <v>0</v>
      </c>
      <c r="H581" s="60">
        <v>1.15</v>
      </c>
      <c r="I581" s="60">
        <v>7</v>
      </c>
      <c r="J581" s="60">
        <v>0</v>
      </c>
      <c r="K581" s="60" t="s">
        <v>46</v>
      </c>
      <c r="L581" s="47" t="s">
        <v>47</v>
      </c>
      <c r="M581" s="50">
        <v>530112</v>
      </c>
      <c r="N581" s="60">
        <v>0</v>
      </c>
      <c r="O581" s="47" t="s">
        <v>48</v>
      </c>
      <c r="P581" s="60">
        <v>0</v>
      </c>
      <c r="Q581" s="60"/>
      <c r="R581" s="60"/>
      <c r="S581" s="60">
        <v>0</v>
      </c>
      <c r="T581" s="60">
        <v>0</v>
      </c>
      <c r="U581" s="60"/>
      <c r="V581" s="60"/>
      <c r="W581" s="47" t="s">
        <v>47</v>
      </c>
      <c r="X581" s="47"/>
      <c r="Y581" s="47"/>
      <c r="Z581" s="12" t="s">
        <v>880</v>
      </c>
      <c r="AA581" s="60"/>
      <c r="AB581" s="60" t="s">
        <v>867</v>
      </c>
      <c r="AC581" s="60">
        <v>2141</v>
      </c>
      <c r="AD581" s="60" t="s">
        <v>51</v>
      </c>
      <c r="AE581" s="60" t="s">
        <v>51</v>
      </c>
      <c r="AF581" s="60" t="s">
        <v>51</v>
      </c>
      <c r="AG581" s="60"/>
      <c r="AH581" s="47" t="s">
        <v>52</v>
      </c>
      <c r="AI581" s="60">
        <v>0</v>
      </c>
      <c r="AJ581" s="60"/>
      <c r="AK581" s="60"/>
      <c r="AL581" s="60"/>
      <c r="AM581" s="60"/>
      <c r="AN581" s="47" t="s">
        <v>47</v>
      </c>
      <c r="AO581" s="120">
        <v>2804</v>
      </c>
      <c r="AP581" s="60" t="s">
        <v>53</v>
      </c>
      <c r="AQ581" s="2">
        <v>0</v>
      </c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3"/>
      <c r="DV581" s="3"/>
      <c r="DW581" s="3"/>
      <c r="DX581" s="3"/>
    </row>
    <row r="582" s="2" customFormat="1" ht="12.75" spans="1:43">
      <c r="A582" s="61">
        <v>170307</v>
      </c>
      <c r="B582" s="106" t="s">
        <v>881</v>
      </c>
      <c r="C582" s="60"/>
      <c r="D582" s="60"/>
      <c r="E582" s="60"/>
      <c r="F582" s="60">
        <v>2</v>
      </c>
      <c r="G582" s="60">
        <v>0</v>
      </c>
      <c r="H582" s="60">
        <v>1.15</v>
      </c>
      <c r="I582" s="60">
        <v>7</v>
      </c>
      <c r="J582" s="60">
        <v>0</v>
      </c>
      <c r="K582" s="60" t="s">
        <v>46</v>
      </c>
      <c r="L582" s="47" t="s">
        <v>47</v>
      </c>
      <c r="M582" s="50">
        <v>530144</v>
      </c>
      <c r="N582" s="11">
        <v>0</v>
      </c>
      <c r="O582" s="47" t="s">
        <v>48</v>
      </c>
      <c r="P582" s="11">
        <v>0</v>
      </c>
      <c r="Q582" s="11"/>
      <c r="R582" s="11"/>
      <c r="S582" s="11">
        <v>0</v>
      </c>
      <c r="T582" s="11">
        <v>0</v>
      </c>
      <c r="U582" s="11"/>
      <c r="V582" s="11"/>
      <c r="W582" s="47" t="s">
        <v>47</v>
      </c>
      <c r="X582" s="47"/>
      <c r="Y582" s="47"/>
      <c r="Z582" s="12" t="s">
        <v>882</v>
      </c>
      <c r="AA582" s="60"/>
      <c r="AB582" s="60" t="s">
        <v>867</v>
      </c>
      <c r="AC582" s="60">
        <v>2141</v>
      </c>
      <c r="AD582" s="60" t="s">
        <v>51</v>
      </c>
      <c r="AE582" s="60" t="s">
        <v>51</v>
      </c>
      <c r="AF582" s="60" t="s">
        <v>51</v>
      </c>
      <c r="AG582" s="60"/>
      <c r="AH582" s="47" t="s">
        <v>52</v>
      </c>
      <c r="AI582" s="60">
        <v>0</v>
      </c>
      <c r="AJ582" s="60"/>
      <c r="AK582" s="60"/>
      <c r="AL582" s="60"/>
      <c r="AM582" s="60"/>
      <c r="AN582" s="47" t="s">
        <v>47</v>
      </c>
      <c r="AO582" s="120">
        <v>2805</v>
      </c>
      <c r="AP582" s="60" t="s">
        <v>53</v>
      </c>
      <c r="AQ582" s="2">
        <v>0</v>
      </c>
    </row>
    <row r="583" s="2" customFormat="1" ht="12.75" spans="1:43">
      <c r="A583" s="61">
        <v>170308</v>
      </c>
      <c r="B583" s="106" t="s">
        <v>883</v>
      </c>
      <c r="C583" s="60"/>
      <c r="D583" s="60"/>
      <c r="E583" s="60"/>
      <c r="F583" s="60">
        <v>2</v>
      </c>
      <c r="G583" s="60">
        <v>0</v>
      </c>
      <c r="H583" s="60">
        <v>1.15</v>
      </c>
      <c r="I583" s="60">
        <v>7</v>
      </c>
      <c r="J583" s="60">
        <v>0</v>
      </c>
      <c r="K583" s="60" t="s">
        <v>46</v>
      </c>
      <c r="L583" s="47" t="s">
        <v>47</v>
      </c>
      <c r="M583" s="50">
        <v>530140</v>
      </c>
      <c r="N583" s="11">
        <v>0</v>
      </c>
      <c r="O583" s="47" t="s">
        <v>48</v>
      </c>
      <c r="P583" s="11">
        <v>0</v>
      </c>
      <c r="Q583" s="11"/>
      <c r="R583" s="11"/>
      <c r="S583" s="11">
        <v>0</v>
      </c>
      <c r="T583" s="11">
        <v>0</v>
      </c>
      <c r="U583" s="11"/>
      <c r="V583" s="11"/>
      <c r="W583" s="47" t="s">
        <v>47</v>
      </c>
      <c r="X583" s="47"/>
      <c r="Y583" s="47"/>
      <c r="Z583" s="12" t="s">
        <v>882</v>
      </c>
      <c r="AA583" s="60"/>
      <c r="AB583" s="60" t="s">
        <v>867</v>
      </c>
      <c r="AC583" s="60">
        <v>2141</v>
      </c>
      <c r="AD583" s="60" t="s">
        <v>51</v>
      </c>
      <c r="AE583" s="60" t="s">
        <v>51</v>
      </c>
      <c r="AF583" s="60" t="s">
        <v>51</v>
      </c>
      <c r="AG583" s="60"/>
      <c r="AH583" s="47" t="s">
        <v>52</v>
      </c>
      <c r="AI583" s="60">
        <v>0</v>
      </c>
      <c r="AJ583" s="60"/>
      <c r="AK583" s="60"/>
      <c r="AL583" s="60"/>
      <c r="AM583" s="60"/>
      <c r="AN583" s="47" t="s">
        <v>47</v>
      </c>
      <c r="AO583" s="120">
        <v>2806</v>
      </c>
      <c r="AP583" s="60" t="s">
        <v>53</v>
      </c>
      <c r="AQ583" s="2">
        <v>0</v>
      </c>
    </row>
    <row r="584" s="2" customFormat="1" ht="12.75" spans="1:43">
      <c r="A584" s="61">
        <v>170309</v>
      </c>
      <c r="B584" s="106" t="s">
        <v>884</v>
      </c>
      <c r="C584" s="60"/>
      <c r="D584" s="60"/>
      <c r="E584" s="60"/>
      <c r="F584" s="60">
        <v>2</v>
      </c>
      <c r="G584" s="60">
        <v>0</v>
      </c>
      <c r="H584" s="60">
        <v>1.15</v>
      </c>
      <c r="I584" s="60">
        <v>7</v>
      </c>
      <c r="J584" s="60">
        <v>0</v>
      </c>
      <c r="K584" s="60" t="s">
        <v>46</v>
      </c>
      <c r="L584" s="47" t="s">
        <v>47</v>
      </c>
      <c r="M584" s="50">
        <v>530000</v>
      </c>
      <c r="N584" s="11">
        <v>0</v>
      </c>
      <c r="O584" s="47" t="s">
        <v>48</v>
      </c>
      <c r="P584" s="11">
        <v>0</v>
      </c>
      <c r="Q584" s="11"/>
      <c r="R584" s="11"/>
      <c r="S584" s="11">
        <v>0</v>
      </c>
      <c r="T584" s="11">
        <v>0</v>
      </c>
      <c r="U584" s="11"/>
      <c r="V584" s="11"/>
      <c r="W584" s="47" t="s">
        <v>47</v>
      </c>
      <c r="X584" s="47"/>
      <c r="Y584" s="47"/>
      <c r="Z584" s="12" t="s">
        <v>882</v>
      </c>
      <c r="AA584" s="60"/>
      <c r="AB584" s="60" t="s">
        <v>867</v>
      </c>
      <c r="AC584" s="60">
        <v>2141</v>
      </c>
      <c r="AD584" s="60" t="s">
        <v>51</v>
      </c>
      <c r="AE584" s="60" t="s">
        <v>51</v>
      </c>
      <c r="AF584" s="60" t="s">
        <v>51</v>
      </c>
      <c r="AG584" s="60"/>
      <c r="AH584" s="47" t="s">
        <v>52</v>
      </c>
      <c r="AI584" s="60">
        <v>0</v>
      </c>
      <c r="AJ584" s="60"/>
      <c r="AK584" s="60"/>
      <c r="AL584" s="60"/>
      <c r="AM584" s="60"/>
      <c r="AN584" s="47" t="s">
        <v>47</v>
      </c>
      <c r="AO584" s="120">
        <v>2807</v>
      </c>
      <c r="AP584" s="60" t="s">
        <v>53</v>
      </c>
      <c r="AQ584" s="2">
        <v>0</v>
      </c>
    </row>
    <row r="585" s="3" customFormat="1" ht="15.75" customHeight="1" spans="1:43">
      <c r="A585" s="44">
        <v>171201</v>
      </c>
      <c r="B585" s="12" t="s">
        <v>885</v>
      </c>
      <c r="C585" s="44"/>
      <c r="D585" s="44"/>
      <c r="E585" s="44"/>
      <c r="F585" s="44">
        <v>0</v>
      </c>
      <c r="G585" s="44">
        <v>0</v>
      </c>
      <c r="H585" s="44">
        <v>1</v>
      </c>
      <c r="I585" s="44">
        <v>1</v>
      </c>
      <c r="J585" s="12">
        <v>0</v>
      </c>
      <c r="K585" s="44" t="s">
        <v>46</v>
      </c>
      <c r="L585" s="47">
        <v>0</v>
      </c>
      <c r="M585" s="44">
        <v>1020116</v>
      </c>
      <c r="N585" s="44">
        <v>0</v>
      </c>
      <c r="O585" s="47">
        <v>-1</v>
      </c>
      <c r="P585" s="44">
        <v>1712</v>
      </c>
      <c r="Q585" s="44">
        <v>466</v>
      </c>
      <c r="R585" s="44">
        <v>484</v>
      </c>
      <c r="S585" s="44">
        <v>29</v>
      </c>
      <c r="T585" s="44">
        <v>30</v>
      </c>
      <c r="U585" s="44"/>
      <c r="V585" s="44"/>
      <c r="W585" s="47">
        <v>0</v>
      </c>
      <c r="X585" s="47"/>
      <c r="Y585" s="12" t="s">
        <v>885</v>
      </c>
      <c r="Z585" s="44"/>
      <c r="AA585" s="44"/>
      <c r="AB585" s="44"/>
      <c r="AC585" s="44">
        <v>2302</v>
      </c>
      <c r="AD585" s="44">
        <v>2303</v>
      </c>
      <c r="AE585" s="44">
        <v>2304</v>
      </c>
      <c r="AF585" s="44">
        <v>2305</v>
      </c>
      <c r="AG585" s="44"/>
      <c r="AH585" s="47" t="s">
        <v>52</v>
      </c>
      <c r="AI585" s="11">
        <v>0</v>
      </c>
      <c r="AJ585" s="44" t="s">
        <v>223</v>
      </c>
      <c r="AK585" s="44"/>
      <c r="AL585" s="44" t="s">
        <v>237</v>
      </c>
      <c r="AM585" s="44" t="s">
        <v>238</v>
      </c>
      <c r="AN585" s="47">
        <v>0</v>
      </c>
      <c r="AO585" s="11">
        <v>3176</v>
      </c>
      <c r="AP585" s="12" t="s">
        <v>53</v>
      </c>
      <c r="AQ585" s="2">
        <v>0</v>
      </c>
    </row>
    <row r="586" s="3" customFormat="1" ht="15.75" customHeight="1" spans="1:43">
      <c r="A586" s="44">
        <v>171202</v>
      </c>
      <c r="B586" s="12" t="s">
        <v>885</v>
      </c>
      <c r="C586" s="44"/>
      <c r="D586" s="44"/>
      <c r="E586" s="44"/>
      <c r="F586" s="44">
        <v>0</v>
      </c>
      <c r="G586" s="44">
        <v>0</v>
      </c>
      <c r="H586" s="44">
        <v>1</v>
      </c>
      <c r="I586" s="44">
        <v>1</v>
      </c>
      <c r="J586" s="12">
        <v>0</v>
      </c>
      <c r="K586" s="44" t="s">
        <v>46</v>
      </c>
      <c r="L586" s="47">
        <v>0</v>
      </c>
      <c r="M586" s="44">
        <v>1020116</v>
      </c>
      <c r="N586" s="44">
        <v>0</v>
      </c>
      <c r="O586" s="47">
        <v>-1</v>
      </c>
      <c r="P586" s="44">
        <v>1712</v>
      </c>
      <c r="Q586" s="44">
        <v>466</v>
      </c>
      <c r="R586" s="44">
        <v>484</v>
      </c>
      <c r="S586" s="44">
        <v>29</v>
      </c>
      <c r="T586" s="44">
        <v>30</v>
      </c>
      <c r="U586" s="44"/>
      <c r="V586" s="44"/>
      <c r="W586" s="47">
        <v>0</v>
      </c>
      <c r="X586" s="47"/>
      <c r="Y586" s="12" t="s">
        <v>886</v>
      </c>
      <c r="Z586" s="44" t="s">
        <v>887</v>
      </c>
      <c r="AA586" s="44"/>
      <c r="AB586" s="44"/>
      <c r="AC586" s="44">
        <v>2302</v>
      </c>
      <c r="AD586" s="44">
        <v>2303</v>
      </c>
      <c r="AE586" s="44">
        <v>2304</v>
      </c>
      <c r="AF586" s="44">
        <v>2305</v>
      </c>
      <c r="AG586" s="44"/>
      <c r="AH586" s="47" t="s">
        <v>52</v>
      </c>
      <c r="AI586" s="11">
        <v>0</v>
      </c>
      <c r="AJ586" s="44" t="s">
        <v>223</v>
      </c>
      <c r="AK586" s="44"/>
      <c r="AL586" s="44" t="s">
        <v>237</v>
      </c>
      <c r="AM586" s="44" t="s">
        <v>238</v>
      </c>
      <c r="AN586" s="47">
        <v>0</v>
      </c>
      <c r="AO586" s="11">
        <v>3177</v>
      </c>
      <c r="AP586" s="12" t="s">
        <v>53</v>
      </c>
      <c r="AQ586" s="2">
        <v>0</v>
      </c>
    </row>
    <row r="587" s="3" customFormat="1" ht="15.75" customHeight="1" spans="1:43">
      <c r="A587" s="44">
        <v>171203</v>
      </c>
      <c r="B587" s="12" t="s">
        <v>885</v>
      </c>
      <c r="C587" s="44"/>
      <c r="D587" s="44"/>
      <c r="E587" s="44"/>
      <c r="F587" s="44">
        <v>0</v>
      </c>
      <c r="G587" s="44">
        <v>0</v>
      </c>
      <c r="H587" s="44">
        <v>1</v>
      </c>
      <c r="I587" s="44">
        <v>1</v>
      </c>
      <c r="J587" s="12">
        <v>0</v>
      </c>
      <c r="K587" s="44" t="s">
        <v>46</v>
      </c>
      <c r="L587" s="47">
        <v>0</v>
      </c>
      <c r="M587" s="44">
        <v>1020116</v>
      </c>
      <c r="N587" s="44">
        <v>0</v>
      </c>
      <c r="O587" s="47">
        <v>-1</v>
      </c>
      <c r="P587" s="44">
        <v>1712</v>
      </c>
      <c r="Q587" s="44">
        <v>466</v>
      </c>
      <c r="R587" s="44">
        <v>484</v>
      </c>
      <c r="S587" s="44">
        <v>29</v>
      </c>
      <c r="T587" s="44">
        <v>30</v>
      </c>
      <c r="U587" s="44"/>
      <c r="V587" s="44"/>
      <c r="W587" s="47">
        <v>0</v>
      </c>
      <c r="X587" s="47"/>
      <c r="Y587" s="12" t="s">
        <v>888</v>
      </c>
      <c r="Z587" s="44" t="s">
        <v>889</v>
      </c>
      <c r="AA587" s="44"/>
      <c r="AB587" s="44"/>
      <c r="AC587" s="44">
        <v>2302</v>
      </c>
      <c r="AD587" s="44">
        <v>2303</v>
      </c>
      <c r="AE587" s="44">
        <v>2304</v>
      </c>
      <c r="AF587" s="44">
        <v>2305</v>
      </c>
      <c r="AG587" s="44"/>
      <c r="AH587" s="47" t="s">
        <v>52</v>
      </c>
      <c r="AI587" s="11">
        <v>0</v>
      </c>
      <c r="AJ587" s="44" t="s">
        <v>223</v>
      </c>
      <c r="AK587" s="44"/>
      <c r="AL587" s="44" t="s">
        <v>237</v>
      </c>
      <c r="AM587" s="44" t="s">
        <v>238</v>
      </c>
      <c r="AN587" s="47">
        <v>0</v>
      </c>
      <c r="AO587" s="11">
        <v>3178</v>
      </c>
      <c r="AP587" s="12" t="s">
        <v>53</v>
      </c>
      <c r="AQ587" s="2">
        <v>0</v>
      </c>
    </row>
    <row r="588" s="3" customFormat="1" ht="15.75" customHeight="1" spans="1:43">
      <c r="A588" s="44">
        <v>171204</v>
      </c>
      <c r="B588" s="12" t="s">
        <v>885</v>
      </c>
      <c r="C588" s="44"/>
      <c r="D588" s="44"/>
      <c r="E588" s="44"/>
      <c r="F588" s="44">
        <v>0</v>
      </c>
      <c r="G588" s="44">
        <v>0</v>
      </c>
      <c r="H588" s="44">
        <v>1</v>
      </c>
      <c r="I588" s="44">
        <v>1</v>
      </c>
      <c r="J588" s="12">
        <v>0</v>
      </c>
      <c r="K588" s="44" t="s">
        <v>46</v>
      </c>
      <c r="L588" s="47">
        <v>0</v>
      </c>
      <c r="M588" s="44">
        <v>1020116</v>
      </c>
      <c r="N588" s="44">
        <v>0</v>
      </c>
      <c r="O588" s="47">
        <v>-1</v>
      </c>
      <c r="P588" s="44">
        <v>1712</v>
      </c>
      <c r="Q588" s="44">
        <v>466</v>
      </c>
      <c r="R588" s="44">
        <v>484</v>
      </c>
      <c r="S588" s="44">
        <v>29</v>
      </c>
      <c r="T588" s="44">
        <v>30</v>
      </c>
      <c r="U588" s="44"/>
      <c r="V588" s="44"/>
      <c r="W588" s="47">
        <v>0</v>
      </c>
      <c r="X588" s="47"/>
      <c r="Y588" s="12" t="s">
        <v>890</v>
      </c>
      <c r="Z588" s="44" t="s">
        <v>891</v>
      </c>
      <c r="AA588" s="44"/>
      <c r="AB588" s="44"/>
      <c r="AC588" s="44">
        <v>2302</v>
      </c>
      <c r="AD588" s="44">
        <v>2303</v>
      </c>
      <c r="AE588" s="44">
        <v>2304</v>
      </c>
      <c r="AF588" s="44">
        <v>2305</v>
      </c>
      <c r="AG588" s="44"/>
      <c r="AH588" s="47" t="s">
        <v>52</v>
      </c>
      <c r="AI588" s="11">
        <v>0</v>
      </c>
      <c r="AJ588" s="44" t="s">
        <v>223</v>
      </c>
      <c r="AK588" s="44"/>
      <c r="AL588" s="44" t="s">
        <v>237</v>
      </c>
      <c r="AM588" s="44" t="s">
        <v>238</v>
      </c>
      <c r="AN588" s="47">
        <v>0</v>
      </c>
      <c r="AO588" s="11">
        <v>3179</v>
      </c>
      <c r="AP588" s="12" t="s">
        <v>53</v>
      </c>
      <c r="AQ588" s="2">
        <v>0</v>
      </c>
    </row>
    <row r="589" s="3" customFormat="1" ht="15.75" customHeight="1" spans="1:43">
      <c r="A589" s="44">
        <v>171205</v>
      </c>
      <c r="B589" s="12" t="s">
        <v>892</v>
      </c>
      <c r="C589" s="44"/>
      <c r="D589" s="44"/>
      <c r="E589" s="44"/>
      <c r="F589" s="44">
        <v>0</v>
      </c>
      <c r="G589" s="44">
        <v>0</v>
      </c>
      <c r="H589" s="44">
        <v>1</v>
      </c>
      <c r="I589" s="44">
        <v>1</v>
      </c>
      <c r="J589" s="12">
        <v>0</v>
      </c>
      <c r="K589" s="44" t="s">
        <v>46</v>
      </c>
      <c r="L589" s="47">
        <v>0</v>
      </c>
      <c r="M589" s="44">
        <v>1020116</v>
      </c>
      <c r="N589" s="44">
        <v>0</v>
      </c>
      <c r="O589" s="47">
        <v>-1</v>
      </c>
      <c r="P589" s="44">
        <v>1712</v>
      </c>
      <c r="Q589" s="44">
        <v>466</v>
      </c>
      <c r="R589" s="44">
        <v>484</v>
      </c>
      <c r="S589" s="44">
        <v>29</v>
      </c>
      <c r="T589" s="44">
        <v>30</v>
      </c>
      <c r="U589" s="44"/>
      <c r="V589" s="44"/>
      <c r="W589" s="47">
        <v>0</v>
      </c>
      <c r="X589" s="47"/>
      <c r="Y589" s="12" t="s">
        <v>892</v>
      </c>
      <c r="Z589" s="44"/>
      <c r="AA589" s="44"/>
      <c r="AB589" s="44"/>
      <c r="AC589" s="44">
        <v>2302</v>
      </c>
      <c r="AD589" s="44">
        <v>2303</v>
      </c>
      <c r="AE589" s="44">
        <v>2304</v>
      </c>
      <c r="AF589" s="44">
        <v>2305</v>
      </c>
      <c r="AG589" s="44"/>
      <c r="AH589" s="47" t="s">
        <v>52</v>
      </c>
      <c r="AI589" s="11">
        <v>0</v>
      </c>
      <c r="AJ589" s="44" t="s">
        <v>223</v>
      </c>
      <c r="AK589" s="44"/>
      <c r="AL589" s="44" t="s">
        <v>237</v>
      </c>
      <c r="AM589" s="44" t="s">
        <v>238</v>
      </c>
      <c r="AN589" s="47">
        <v>0</v>
      </c>
      <c r="AO589" s="11">
        <v>3180</v>
      </c>
      <c r="AP589" s="12" t="s">
        <v>53</v>
      </c>
      <c r="AQ589" s="2">
        <v>0</v>
      </c>
    </row>
    <row r="590" s="3" customFormat="1" ht="15.75" customHeight="1" spans="1:43">
      <c r="A590" s="44">
        <v>171206</v>
      </c>
      <c r="B590" s="12" t="s">
        <v>892</v>
      </c>
      <c r="C590" s="44"/>
      <c r="D590" s="44"/>
      <c r="E590" s="44"/>
      <c r="F590" s="44">
        <v>0</v>
      </c>
      <c r="G590" s="44">
        <v>0</v>
      </c>
      <c r="H590" s="44">
        <v>1</v>
      </c>
      <c r="I590" s="44">
        <v>1</v>
      </c>
      <c r="J590" s="12">
        <v>0</v>
      </c>
      <c r="K590" s="44" t="s">
        <v>46</v>
      </c>
      <c r="L590" s="47">
        <v>0</v>
      </c>
      <c r="M590" s="44">
        <v>1020116</v>
      </c>
      <c r="N590" s="44">
        <v>0</v>
      </c>
      <c r="O590" s="47">
        <v>-1</v>
      </c>
      <c r="P590" s="44">
        <v>1712</v>
      </c>
      <c r="Q590" s="44">
        <v>466</v>
      </c>
      <c r="R590" s="44">
        <v>484</v>
      </c>
      <c r="S590" s="44">
        <v>29</v>
      </c>
      <c r="T590" s="44">
        <v>30</v>
      </c>
      <c r="U590" s="44"/>
      <c r="V590" s="44"/>
      <c r="W590" s="47">
        <v>0</v>
      </c>
      <c r="X590" s="47"/>
      <c r="Y590" s="12" t="s">
        <v>893</v>
      </c>
      <c r="Z590" s="44" t="s">
        <v>887</v>
      </c>
      <c r="AA590" s="44"/>
      <c r="AB590" s="44"/>
      <c r="AC590" s="44">
        <v>2302</v>
      </c>
      <c r="AD590" s="44">
        <v>2303</v>
      </c>
      <c r="AE590" s="44">
        <v>2304</v>
      </c>
      <c r="AF590" s="44">
        <v>2305</v>
      </c>
      <c r="AG590" s="44"/>
      <c r="AH590" s="47" t="s">
        <v>52</v>
      </c>
      <c r="AI590" s="11">
        <v>0</v>
      </c>
      <c r="AJ590" s="44" t="s">
        <v>223</v>
      </c>
      <c r="AK590" s="44"/>
      <c r="AL590" s="44" t="s">
        <v>237</v>
      </c>
      <c r="AM590" s="44" t="s">
        <v>238</v>
      </c>
      <c r="AN590" s="47">
        <v>0</v>
      </c>
      <c r="AO590" s="11">
        <v>3181</v>
      </c>
      <c r="AP590" s="12" t="s">
        <v>53</v>
      </c>
      <c r="AQ590" s="2">
        <v>0</v>
      </c>
    </row>
    <row r="591" s="3" customFormat="1" ht="15.75" customHeight="1" spans="1:43">
      <c r="A591" s="44">
        <v>171207</v>
      </c>
      <c r="B591" s="12" t="s">
        <v>892</v>
      </c>
      <c r="C591" s="44"/>
      <c r="D591" s="44"/>
      <c r="E591" s="44"/>
      <c r="F591" s="44">
        <v>0</v>
      </c>
      <c r="G591" s="44">
        <v>0</v>
      </c>
      <c r="H591" s="44">
        <v>1</v>
      </c>
      <c r="I591" s="44">
        <v>1</v>
      </c>
      <c r="J591" s="12">
        <v>0</v>
      </c>
      <c r="K591" s="44" t="s">
        <v>46</v>
      </c>
      <c r="L591" s="47">
        <v>0</v>
      </c>
      <c r="M591" s="44">
        <v>1020116</v>
      </c>
      <c r="N591" s="44">
        <v>0</v>
      </c>
      <c r="O591" s="47">
        <v>-1</v>
      </c>
      <c r="P591" s="44">
        <v>1712</v>
      </c>
      <c r="Q591" s="44">
        <v>466</v>
      </c>
      <c r="R591" s="44">
        <v>484</v>
      </c>
      <c r="S591" s="44">
        <v>29</v>
      </c>
      <c r="T591" s="44">
        <v>30</v>
      </c>
      <c r="U591" s="44"/>
      <c r="V591" s="44"/>
      <c r="W591" s="47">
        <v>0</v>
      </c>
      <c r="X591" s="47"/>
      <c r="Y591" s="12" t="s">
        <v>894</v>
      </c>
      <c r="Z591" s="44" t="s">
        <v>889</v>
      </c>
      <c r="AA591" s="44"/>
      <c r="AB591" s="44"/>
      <c r="AC591" s="44">
        <v>2302</v>
      </c>
      <c r="AD591" s="44">
        <v>2303</v>
      </c>
      <c r="AE591" s="44">
        <v>2304</v>
      </c>
      <c r="AF591" s="44">
        <v>2305</v>
      </c>
      <c r="AG591" s="44"/>
      <c r="AH591" s="47" t="s">
        <v>52</v>
      </c>
      <c r="AI591" s="11">
        <v>0</v>
      </c>
      <c r="AJ591" s="44" t="s">
        <v>223</v>
      </c>
      <c r="AK591" s="44"/>
      <c r="AL591" s="44" t="s">
        <v>237</v>
      </c>
      <c r="AM591" s="44" t="s">
        <v>238</v>
      </c>
      <c r="AN591" s="47">
        <v>0</v>
      </c>
      <c r="AO591" s="11">
        <v>3182</v>
      </c>
      <c r="AP591" s="12" t="s">
        <v>53</v>
      </c>
      <c r="AQ591" s="2">
        <v>0</v>
      </c>
    </row>
    <row r="592" s="3" customFormat="1" ht="15.75" customHeight="1" spans="1:43">
      <c r="A592" s="44">
        <v>171208</v>
      </c>
      <c r="B592" s="12" t="s">
        <v>892</v>
      </c>
      <c r="C592" s="44"/>
      <c r="D592" s="44"/>
      <c r="E592" s="44"/>
      <c r="F592" s="44">
        <v>0</v>
      </c>
      <c r="G592" s="44">
        <v>0</v>
      </c>
      <c r="H592" s="44">
        <v>1</v>
      </c>
      <c r="I592" s="44">
        <v>1</v>
      </c>
      <c r="J592" s="12">
        <v>0</v>
      </c>
      <c r="K592" s="44" t="s">
        <v>46</v>
      </c>
      <c r="L592" s="47">
        <v>0</v>
      </c>
      <c r="M592" s="44">
        <v>1020116</v>
      </c>
      <c r="N592" s="44">
        <v>0</v>
      </c>
      <c r="O592" s="47">
        <v>-1</v>
      </c>
      <c r="P592" s="44">
        <v>1712</v>
      </c>
      <c r="Q592" s="44">
        <v>466</v>
      </c>
      <c r="R592" s="44">
        <v>484</v>
      </c>
      <c r="S592" s="44">
        <v>29</v>
      </c>
      <c r="T592" s="44">
        <v>30</v>
      </c>
      <c r="U592" s="44"/>
      <c r="V592" s="44"/>
      <c r="W592" s="47">
        <v>0</v>
      </c>
      <c r="X592" s="47"/>
      <c r="Y592" s="12" t="s">
        <v>895</v>
      </c>
      <c r="Z592" s="44" t="s">
        <v>891</v>
      </c>
      <c r="AA592" s="44"/>
      <c r="AB592" s="44"/>
      <c r="AC592" s="44">
        <v>2302</v>
      </c>
      <c r="AD592" s="44">
        <v>2303</v>
      </c>
      <c r="AE592" s="44">
        <v>2304</v>
      </c>
      <c r="AF592" s="44">
        <v>2305</v>
      </c>
      <c r="AG592" s="44"/>
      <c r="AH592" s="47" t="s">
        <v>52</v>
      </c>
      <c r="AI592" s="11">
        <v>0</v>
      </c>
      <c r="AJ592" s="44" t="s">
        <v>223</v>
      </c>
      <c r="AK592" s="44"/>
      <c r="AL592" s="44" t="s">
        <v>237</v>
      </c>
      <c r="AM592" s="44" t="s">
        <v>238</v>
      </c>
      <c r="AN592" s="47">
        <v>0</v>
      </c>
      <c r="AO592" s="11">
        <v>3183</v>
      </c>
      <c r="AP592" s="12" t="s">
        <v>53</v>
      </c>
      <c r="AQ592" s="2">
        <v>0</v>
      </c>
    </row>
    <row r="593" s="3" customFormat="1" ht="15.75" customHeight="1" spans="1:43">
      <c r="A593" s="44">
        <v>171209</v>
      </c>
      <c r="B593" s="12" t="s">
        <v>896</v>
      </c>
      <c r="C593" s="44"/>
      <c r="D593" s="44"/>
      <c r="E593" s="44"/>
      <c r="F593" s="44">
        <v>0</v>
      </c>
      <c r="G593" s="44">
        <v>0</v>
      </c>
      <c r="H593" s="44">
        <v>1</v>
      </c>
      <c r="I593" s="44">
        <v>1</v>
      </c>
      <c r="J593" s="12">
        <v>0</v>
      </c>
      <c r="K593" s="44" t="s">
        <v>46</v>
      </c>
      <c r="L593" s="47">
        <v>0</v>
      </c>
      <c r="M593" s="44">
        <v>1020116</v>
      </c>
      <c r="N593" s="44">
        <v>0</v>
      </c>
      <c r="O593" s="47">
        <v>-1</v>
      </c>
      <c r="P593" s="44">
        <v>1712</v>
      </c>
      <c r="Q593" s="44">
        <v>466</v>
      </c>
      <c r="R593" s="44">
        <v>484</v>
      </c>
      <c r="S593" s="44">
        <v>29</v>
      </c>
      <c r="T593" s="44">
        <v>30</v>
      </c>
      <c r="U593" s="44"/>
      <c r="V593" s="44"/>
      <c r="W593" s="47">
        <v>0</v>
      </c>
      <c r="X593" s="47"/>
      <c r="Y593" s="12" t="s">
        <v>896</v>
      </c>
      <c r="Z593" s="44"/>
      <c r="AA593" s="44"/>
      <c r="AB593" s="44"/>
      <c r="AC593" s="44">
        <v>2302</v>
      </c>
      <c r="AD593" s="44">
        <v>2303</v>
      </c>
      <c r="AE593" s="44">
        <v>2304</v>
      </c>
      <c r="AF593" s="44">
        <v>2305</v>
      </c>
      <c r="AG593" s="44"/>
      <c r="AH593" s="47" t="s">
        <v>52</v>
      </c>
      <c r="AI593" s="11">
        <v>0</v>
      </c>
      <c r="AJ593" s="44" t="s">
        <v>223</v>
      </c>
      <c r="AK593" s="44"/>
      <c r="AL593" s="44" t="s">
        <v>237</v>
      </c>
      <c r="AM593" s="44" t="s">
        <v>238</v>
      </c>
      <c r="AN593" s="47">
        <v>0</v>
      </c>
      <c r="AO593" s="11">
        <v>3184</v>
      </c>
      <c r="AP593" s="12" t="s">
        <v>53</v>
      </c>
      <c r="AQ593" s="2">
        <v>0</v>
      </c>
    </row>
    <row r="594" s="3" customFormat="1" ht="15.75" customHeight="1" spans="1:43">
      <c r="A594" s="44">
        <v>171210</v>
      </c>
      <c r="B594" s="12" t="s">
        <v>896</v>
      </c>
      <c r="C594" s="44"/>
      <c r="D594" s="44"/>
      <c r="E594" s="44"/>
      <c r="F594" s="44">
        <v>0</v>
      </c>
      <c r="G594" s="44">
        <v>0</v>
      </c>
      <c r="H594" s="44">
        <v>1</v>
      </c>
      <c r="I594" s="44">
        <v>1</v>
      </c>
      <c r="J594" s="12">
        <v>0</v>
      </c>
      <c r="K594" s="44" t="s">
        <v>46</v>
      </c>
      <c r="L594" s="47">
        <v>0</v>
      </c>
      <c r="M594" s="44">
        <v>1020116</v>
      </c>
      <c r="N594" s="44">
        <v>0</v>
      </c>
      <c r="O594" s="47">
        <v>-1</v>
      </c>
      <c r="P594" s="44">
        <v>1712</v>
      </c>
      <c r="Q594" s="44">
        <v>466</v>
      </c>
      <c r="R594" s="44">
        <v>484</v>
      </c>
      <c r="S594" s="44">
        <v>29</v>
      </c>
      <c r="T594" s="44">
        <v>30</v>
      </c>
      <c r="U594" s="44"/>
      <c r="V594" s="44"/>
      <c r="W594" s="47">
        <v>0</v>
      </c>
      <c r="X594" s="47"/>
      <c r="Y594" s="12" t="s">
        <v>897</v>
      </c>
      <c r="Z594" s="44" t="s">
        <v>887</v>
      </c>
      <c r="AA594" s="44"/>
      <c r="AB594" s="44"/>
      <c r="AC594" s="44">
        <v>2302</v>
      </c>
      <c r="AD594" s="44">
        <v>2303</v>
      </c>
      <c r="AE594" s="44">
        <v>2304</v>
      </c>
      <c r="AF594" s="44">
        <v>2305</v>
      </c>
      <c r="AG594" s="44"/>
      <c r="AH594" s="47" t="s">
        <v>52</v>
      </c>
      <c r="AI594" s="11">
        <v>0</v>
      </c>
      <c r="AJ594" s="44" t="s">
        <v>223</v>
      </c>
      <c r="AK594" s="44"/>
      <c r="AL594" s="44" t="s">
        <v>237</v>
      </c>
      <c r="AM594" s="44" t="s">
        <v>238</v>
      </c>
      <c r="AN594" s="47">
        <v>0</v>
      </c>
      <c r="AO594" s="11">
        <v>3185</v>
      </c>
      <c r="AP594" s="12" t="s">
        <v>53</v>
      </c>
      <c r="AQ594" s="2">
        <v>0</v>
      </c>
    </row>
    <row r="595" s="3" customFormat="1" ht="15.75" customHeight="1" spans="1:43">
      <c r="A595" s="44">
        <v>171211</v>
      </c>
      <c r="B595" s="12" t="s">
        <v>896</v>
      </c>
      <c r="C595" s="44"/>
      <c r="D595" s="44"/>
      <c r="E595" s="44"/>
      <c r="F595" s="44">
        <v>0</v>
      </c>
      <c r="G595" s="44">
        <v>0</v>
      </c>
      <c r="H595" s="44">
        <v>1</v>
      </c>
      <c r="I595" s="44">
        <v>1</v>
      </c>
      <c r="J595" s="12">
        <v>0</v>
      </c>
      <c r="K595" s="44" t="s">
        <v>46</v>
      </c>
      <c r="L595" s="47">
        <v>0</v>
      </c>
      <c r="M595" s="44">
        <v>1020116</v>
      </c>
      <c r="N595" s="44">
        <v>0</v>
      </c>
      <c r="O595" s="47">
        <v>-1</v>
      </c>
      <c r="P595" s="44">
        <v>1712</v>
      </c>
      <c r="Q595" s="44">
        <v>466</v>
      </c>
      <c r="R595" s="44">
        <v>484</v>
      </c>
      <c r="S595" s="44">
        <v>29</v>
      </c>
      <c r="T595" s="44">
        <v>30</v>
      </c>
      <c r="U595" s="44"/>
      <c r="V595" s="44"/>
      <c r="W595" s="47">
        <v>0</v>
      </c>
      <c r="X595" s="47"/>
      <c r="Y595" s="12" t="s">
        <v>898</v>
      </c>
      <c r="Z595" s="44" t="s">
        <v>889</v>
      </c>
      <c r="AA595" s="44"/>
      <c r="AB595" s="44"/>
      <c r="AC595" s="44">
        <v>2302</v>
      </c>
      <c r="AD595" s="44">
        <v>2303</v>
      </c>
      <c r="AE595" s="44">
        <v>2304</v>
      </c>
      <c r="AF595" s="44">
        <v>2305</v>
      </c>
      <c r="AG595" s="44"/>
      <c r="AH595" s="47" t="s">
        <v>52</v>
      </c>
      <c r="AI595" s="11">
        <v>0</v>
      </c>
      <c r="AJ595" s="44" t="s">
        <v>223</v>
      </c>
      <c r="AK595" s="44"/>
      <c r="AL595" s="44" t="s">
        <v>237</v>
      </c>
      <c r="AM595" s="44" t="s">
        <v>238</v>
      </c>
      <c r="AN595" s="47">
        <v>0</v>
      </c>
      <c r="AO595" s="11">
        <v>3186</v>
      </c>
      <c r="AP595" s="12" t="s">
        <v>53</v>
      </c>
      <c r="AQ595" s="2">
        <v>0</v>
      </c>
    </row>
    <row r="596" s="3" customFormat="1" ht="15.75" customHeight="1" spans="1:43">
      <c r="A596" s="44">
        <v>171212</v>
      </c>
      <c r="B596" s="12" t="s">
        <v>896</v>
      </c>
      <c r="C596" s="44"/>
      <c r="D596" s="44"/>
      <c r="E596" s="44"/>
      <c r="F596" s="44">
        <v>0</v>
      </c>
      <c r="G596" s="44">
        <v>0</v>
      </c>
      <c r="H596" s="44">
        <v>1</v>
      </c>
      <c r="I596" s="44">
        <v>1</v>
      </c>
      <c r="J596" s="12">
        <v>0</v>
      </c>
      <c r="K596" s="44" t="s">
        <v>46</v>
      </c>
      <c r="L596" s="47">
        <v>0</v>
      </c>
      <c r="M596" s="44">
        <v>1020116</v>
      </c>
      <c r="N596" s="44">
        <v>0</v>
      </c>
      <c r="O596" s="47">
        <v>-1</v>
      </c>
      <c r="P596" s="44">
        <v>1712</v>
      </c>
      <c r="Q596" s="44">
        <v>466</v>
      </c>
      <c r="R596" s="44">
        <v>484</v>
      </c>
      <c r="S596" s="44">
        <v>29</v>
      </c>
      <c r="T596" s="44">
        <v>30</v>
      </c>
      <c r="U596" s="44"/>
      <c r="V596" s="44"/>
      <c r="W596" s="47">
        <v>0</v>
      </c>
      <c r="X596" s="47"/>
      <c r="Y596" s="12" t="s">
        <v>899</v>
      </c>
      <c r="Z596" s="44" t="s">
        <v>891</v>
      </c>
      <c r="AA596" s="44"/>
      <c r="AB596" s="44"/>
      <c r="AC596" s="44">
        <v>2302</v>
      </c>
      <c r="AD596" s="44">
        <v>2303</v>
      </c>
      <c r="AE596" s="44">
        <v>2304</v>
      </c>
      <c r="AF596" s="44">
        <v>2305</v>
      </c>
      <c r="AG596" s="44"/>
      <c r="AH596" s="47" t="s">
        <v>52</v>
      </c>
      <c r="AI596" s="11">
        <v>0</v>
      </c>
      <c r="AJ596" s="44" t="s">
        <v>223</v>
      </c>
      <c r="AK596" s="44"/>
      <c r="AL596" s="44" t="s">
        <v>237</v>
      </c>
      <c r="AM596" s="44" t="s">
        <v>238</v>
      </c>
      <c r="AN596" s="47">
        <v>0</v>
      </c>
      <c r="AO596" s="11">
        <v>3187</v>
      </c>
      <c r="AP596" s="12" t="s">
        <v>53</v>
      </c>
      <c r="AQ596" s="2">
        <v>0</v>
      </c>
    </row>
    <row r="597" s="3" customFormat="1" ht="15.75" customHeight="1" spans="1:43">
      <c r="A597" s="44">
        <v>171213</v>
      </c>
      <c r="B597" s="12" t="s">
        <v>900</v>
      </c>
      <c r="C597" s="44"/>
      <c r="D597" s="44"/>
      <c r="E597" s="44"/>
      <c r="F597" s="44">
        <v>0</v>
      </c>
      <c r="G597" s="44">
        <v>0</v>
      </c>
      <c r="H597" s="44">
        <v>1</v>
      </c>
      <c r="I597" s="44">
        <v>1</v>
      </c>
      <c r="J597" s="12">
        <v>0</v>
      </c>
      <c r="K597" s="44" t="s">
        <v>46</v>
      </c>
      <c r="L597" s="47">
        <v>0</v>
      </c>
      <c r="M597" s="44">
        <v>1020116</v>
      </c>
      <c r="N597" s="44">
        <v>0</v>
      </c>
      <c r="O597" s="47">
        <v>-1</v>
      </c>
      <c r="P597" s="44">
        <v>1712</v>
      </c>
      <c r="Q597" s="44">
        <v>466</v>
      </c>
      <c r="R597" s="44">
        <v>484</v>
      </c>
      <c r="S597" s="44">
        <v>29</v>
      </c>
      <c r="T597" s="44">
        <v>30</v>
      </c>
      <c r="U597" s="44"/>
      <c r="V597" s="44"/>
      <c r="W597" s="47">
        <v>0</v>
      </c>
      <c r="X597" s="47"/>
      <c r="Y597" s="12" t="s">
        <v>900</v>
      </c>
      <c r="Z597" s="44"/>
      <c r="AA597" s="44"/>
      <c r="AB597" s="44"/>
      <c r="AC597" s="44">
        <v>2302</v>
      </c>
      <c r="AD597" s="44">
        <v>2303</v>
      </c>
      <c r="AE597" s="44">
        <v>2304</v>
      </c>
      <c r="AF597" s="44">
        <v>2305</v>
      </c>
      <c r="AG597" s="44"/>
      <c r="AH597" s="47" t="s">
        <v>52</v>
      </c>
      <c r="AI597" s="11">
        <v>0</v>
      </c>
      <c r="AJ597" s="44" t="s">
        <v>223</v>
      </c>
      <c r="AK597" s="44"/>
      <c r="AL597" s="44" t="s">
        <v>237</v>
      </c>
      <c r="AM597" s="44" t="s">
        <v>238</v>
      </c>
      <c r="AN597" s="47">
        <v>0</v>
      </c>
      <c r="AO597" s="11">
        <v>3188</v>
      </c>
      <c r="AP597" s="12" t="s">
        <v>53</v>
      </c>
      <c r="AQ597" s="2">
        <v>0</v>
      </c>
    </row>
    <row r="598" s="3" customFormat="1" ht="15.75" customHeight="1" spans="1:43">
      <c r="A598" s="44">
        <v>171214</v>
      </c>
      <c r="B598" s="12" t="s">
        <v>900</v>
      </c>
      <c r="C598" s="44"/>
      <c r="D598" s="44"/>
      <c r="E598" s="44"/>
      <c r="F598" s="44">
        <v>0</v>
      </c>
      <c r="G598" s="44">
        <v>0</v>
      </c>
      <c r="H598" s="44">
        <v>1</v>
      </c>
      <c r="I598" s="44">
        <v>1</v>
      </c>
      <c r="J598" s="12">
        <v>0</v>
      </c>
      <c r="K598" s="44" t="s">
        <v>46</v>
      </c>
      <c r="L598" s="47">
        <v>0</v>
      </c>
      <c r="M598" s="44">
        <v>1020116</v>
      </c>
      <c r="N598" s="44">
        <v>0</v>
      </c>
      <c r="O598" s="47">
        <v>-1</v>
      </c>
      <c r="P598" s="44">
        <v>1712</v>
      </c>
      <c r="Q598" s="44">
        <v>466</v>
      </c>
      <c r="R598" s="44">
        <v>484</v>
      </c>
      <c r="S598" s="44">
        <v>29</v>
      </c>
      <c r="T598" s="44">
        <v>30</v>
      </c>
      <c r="U598" s="44"/>
      <c r="V598" s="44"/>
      <c r="W598" s="47">
        <v>0</v>
      </c>
      <c r="X598" s="47"/>
      <c r="Y598" s="12" t="s">
        <v>901</v>
      </c>
      <c r="Z598" s="44" t="s">
        <v>887</v>
      </c>
      <c r="AA598" s="44"/>
      <c r="AB598" s="44"/>
      <c r="AC598" s="44">
        <v>2302</v>
      </c>
      <c r="AD598" s="44">
        <v>2303</v>
      </c>
      <c r="AE598" s="44">
        <v>2304</v>
      </c>
      <c r="AF598" s="44">
        <v>2305</v>
      </c>
      <c r="AG598" s="44"/>
      <c r="AH598" s="47" t="s">
        <v>52</v>
      </c>
      <c r="AI598" s="11">
        <v>0</v>
      </c>
      <c r="AJ598" s="44" t="s">
        <v>223</v>
      </c>
      <c r="AK598" s="44"/>
      <c r="AL598" s="44" t="s">
        <v>237</v>
      </c>
      <c r="AM598" s="44" t="s">
        <v>238</v>
      </c>
      <c r="AN598" s="47">
        <v>0</v>
      </c>
      <c r="AO598" s="11">
        <v>3189</v>
      </c>
      <c r="AP598" s="12" t="s">
        <v>53</v>
      </c>
      <c r="AQ598" s="2">
        <v>0</v>
      </c>
    </row>
    <row r="599" s="3" customFormat="1" ht="15.75" customHeight="1" spans="1:43">
      <c r="A599" s="44">
        <v>171215</v>
      </c>
      <c r="B599" s="12" t="s">
        <v>900</v>
      </c>
      <c r="C599" s="44"/>
      <c r="D599" s="44"/>
      <c r="E599" s="44"/>
      <c r="F599" s="44">
        <v>0</v>
      </c>
      <c r="G599" s="44">
        <v>0</v>
      </c>
      <c r="H599" s="44">
        <v>1</v>
      </c>
      <c r="I599" s="44">
        <v>1</v>
      </c>
      <c r="J599" s="12">
        <v>0</v>
      </c>
      <c r="K599" s="44" t="s">
        <v>46</v>
      </c>
      <c r="L599" s="47">
        <v>0</v>
      </c>
      <c r="M599" s="44">
        <v>1020116</v>
      </c>
      <c r="N599" s="44">
        <v>0</v>
      </c>
      <c r="O599" s="47">
        <v>-1</v>
      </c>
      <c r="P599" s="44">
        <v>1712</v>
      </c>
      <c r="Q599" s="44">
        <v>466</v>
      </c>
      <c r="R599" s="44">
        <v>484</v>
      </c>
      <c r="S599" s="44">
        <v>29</v>
      </c>
      <c r="T599" s="44">
        <v>30</v>
      </c>
      <c r="U599" s="44"/>
      <c r="V599" s="44"/>
      <c r="W599" s="47">
        <v>0</v>
      </c>
      <c r="X599" s="47"/>
      <c r="Y599" s="12" t="s">
        <v>902</v>
      </c>
      <c r="Z599" s="44" t="s">
        <v>889</v>
      </c>
      <c r="AA599" s="44"/>
      <c r="AB599" s="44"/>
      <c r="AC599" s="44">
        <v>2302</v>
      </c>
      <c r="AD599" s="44">
        <v>2303</v>
      </c>
      <c r="AE599" s="44">
        <v>2304</v>
      </c>
      <c r="AF599" s="44">
        <v>2305</v>
      </c>
      <c r="AG599" s="44"/>
      <c r="AH599" s="47" t="s">
        <v>52</v>
      </c>
      <c r="AI599" s="11">
        <v>0</v>
      </c>
      <c r="AJ599" s="44" t="s">
        <v>223</v>
      </c>
      <c r="AK599" s="44"/>
      <c r="AL599" s="44" t="s">
        <v>237</v>
      </c>
      <c r="AM599" s="44" t="s">
        <v>238</v>
      </c>
      <c r="AN599" s="47">
        <v>0</v>
      </c>
      <c r="AO599" s="11">
        <v>3190</v>
      </c>
      <c r="AP599" s="12" t="s">
        <v>53</v>
      </c>
      <c r="AQ599" s="2">
        <v>0</v>
      </c>
    </row>
    <row r="600" s="3" customFormat="1" ht="15.75" customHeight="1" spans="1:43">
      <c r="A600" s="44">
        <v>171216</v>
      </c>
      <c r="B600" s="12" t="s">
        <v>900</v>
      </c>
      <c r="C600" s="44"/>
      <c r="D600" s="44"/>
      <c r="E600" s="44"/>
      <c r="F600" s="44">
        <v>0</v>
      </c>
      <c r="G600" s="44">
        <v>0</v>
      </c>
      <c r="H600" s="44">
        <v>1</v>
      </c>
      <c r="I600" s="44">
        <v>1</v>
      </c>
      <c r="J600" s="12">
        <v>0</v>
      </c>
      <c r="K600" s="44" t="s">
        <v>46</v>
      </c>
      <c r="L600" s="47">
        <v>0</v>
      </c>
      <c r="M600" s="44">
        <v>1020116</v>
      </c>
      <c r="N600" s="44">
        <v>0</v>
      </c>
      <c r="O600" s="47">
        <v>-1</v>
      </c>
      <c r="P600" s="44">
        <v>1712</v>
      </c>
      <c r="Q600" s="44">
        <v>466</v>
      </c>
      <c r="R600" s="44">
        <v>484</v>
      </c>
      <c r="S600" s="44">
        <v>29</v>
      </c>
      <c r="T600" s="44">
        <v>30</v>
      </c>
      <c r="U600" s="44"/>
      <c r="V600" s="44"/>
      <c r="W600" s="47">
        <v>0</v>
      </c>
      <c r="X600" s="47"/>
      <c r="Y600" s="12" t="s">
        <v>903</v>
      </c>
      <c r="Z600" s="44" t="s">
        <v>891</v>
      </c>
      <c r="AA600" s="44"/>
      <c r="AB600" s="44"/>
      <c r="AC600" s="44">
        <v>2302</v>
      </c>
      <c r="AD600" s="44">
        <v>2303</v>
      </c>
      <c r="AE600" s="44">
        <v>2304</v>
      </c>
      <c r="AF600" s="44">
        <v>2305</v>
      </c>
      <c r="AG600" s="44"/>
      <c r="AH600" s="47" t="s">
        <v>52</v>
      </c>
      <c r="AI600" s="11">
        <v>0</v>
      </c>
      <c r="AJ600" s="44" t="s">
        <v>223</v>
      </c>
      <c r="AK600" s="44"/>
      <c r="AL600" s="44" t="s">
        <v>237</v>
      </c>
      <c r="AM600" s="44" t="s">
        <v>238</v>
      </c>
      <c r="AN600" s="47">
        <v>0</v>
      </c>
      <c r="AO600" s="11">
        <v>3191</v>
      </c>
      <c r="AP600" s="12" t="s">
        <v>53</v>
      </c>
      <c r="AQ600" s="2">
        <v>0</v>
      </c>
    </row>
    <row r="601" s="3" customFormat="1" ht="15.75" customHeight="1" spans="1:43">
      <c r="A601" s="44">
        <v>171217</v>
      </c>
      <c r="B601" s="12" t="s">
        <v>904</v>
      </c>
      <c r="C601" s="44"/>
      <c r="D601" s="44"/>
      <c r="E601" s="44"/>
      <c r="F601" s="44">
        <v>0</v>
      </c>
      <c r="G601" s="44">
        <v>0</v>
      </c>
      <c r="H601" s="44">
        <v>1</v>
      </c>
      <c r="I601" s="44">
        <v>1</v>
      </c>
      <c r="J601" s="12">
        <v>0</v>
      </c>
      <c r="K601" s="44" t="s">
        <v>46</v>
      </c>
      <c r="L601" s="47">
        <v>0</v>
      </c>
      <c r="M601" s="44">
        <v>1020116</v>
      </c>
      <c r="N601" s="44">
        <v>0</v>
      </c>
      <c r="O601" s="47">
        <v>-1</v>
      </c>
      <c r="P601" s="44">
        <v>1712</v>
      </c>
      <c r="Q601" s="44">
        <v>466</v>
      </c>
      <c r="R601" s="44">
        <v>484</v>
      </c>
      <c r="S601" s="44">
        <v>29</v>
      </c>
      <c r="T601" s="44">
        <v>30</v>
      </c>
      <c r="U601" s="44"/>
      <c r="V601" s="44"/>
      <c r="W601" s="47">
        <v>0</v>
      </c>
      <c r="X601" s="47"/>
      <c r="Y601" s="12" t="s">
        <v>904</v>
      </c>
      <c r="Z601" s="44"/>
      <c r="AA601" s="44"/>
      <c r="AB601" s="44"/>
      <c r="AC601" s="44">
        <v>2302</v>
      </c>
      <c r="AD601" s="44">
        <v>2303</v>
      </c>
      <c r="AE601" s="44">
        <v>2304</v>
      </c>
      <c r="AF601" s="44">
        <v>2305</v>
      </c>
      <c r="AG601" s="44"/>
      <c r="AH601" s="47" t="s">
        <v>52</v>
      </c>
      <c r="AI601" s="11">
        <v>0</v>
      </c>
      <c r="AJ601" s="44" t="s">
        <v>223</v>
      </c>
      <c r="AK601" s="44"/>
      <c r="AL601" s="44" t="s">
        <v>237</v>
      </c>
      <c r="AM601" s="44" t="s">
        <v>238</v>
      </c>
      <c r="AN601" s="47">
        <v>0</v>
      </c>
      <c r="AO601" s="11">
        <v>3192</v>
      </c>
      <c r="AP601" s="12" t="s">
        <v>53</v>
      </c>
      <c r="AQ601" s="2">
        <v>0</v>
      </c>
    </row>
    <row r="602" s="3" customFormat="1" ht="15.75" customHeight="1" spans="1:43">
      <c r="A602" s="44">
        <v>171218</v>
      </c>
      <c r="B602" s="12" t="s">
        <v>904</v>
      </c>
      <c r="C602" s="44"/>
      <c r="D602" s="44"/>
      <c r="E602" s="44"/>
      <c r="F602" s="44">
        <v>0</v>
      </c>
      <c r="G602" s="44">
        <v>0</v>
      </c>
      <c r="H602" s="44">
        <v>1</v>
      </c>
      <c r="I602" s="44">
        <v>1</v>
      </c>
      <c r="J602" s="12">
        <v>0</v>
      </c>
      <c r="K602" s="44" t="s">
        <v>46</v>
      </c>
      <c r="L602" s="47">
        <v>0</v>
      </c>
      <c r="M602" s="44">
        <v>1020116</v>
      </c>
      <c r="N602" s="44">
        <v>0</v>
      </c>
      <c r="O602" s="47">
        <v>-1</v>
      </c>
      <c r="P602" s="44">
        <v>1712</v>
      </c>
      <c r="Q602" s="44">
        <v>466</v>
      </c>
      <c r="R602" s="44">
        <v>484</v>
      </c>
      <c r="S602" s="44">
        <v>29</v>
      </c>
      <c r="T602" s="44">
        <v>30</v>
      </c>
      <c r="U602" s="44"/>
      <c r="V602" s="44"/>
      <c r="W602" s="47">
        <v>0</v>
      </c>
      <c r="X602" s="47"/>
      <c r="Y602" s="12" t="s">
        <v>905</v>
      </c>
      <c r="Z602" s="44" t="s">
        <v>887</v>
      </c>
      <c r="AA602" s="44"/>
      <c r="AB602" s="44"/>
      <c r="AC602" s="44">
        <v>2302</v>
      </c>
      <c r="AD602" s="44">
        <v>2303</v>
      </c>
      <c r="AE602" s="44">
        <v>2304</v>
      </c>
      <c r="AF602" s="44">
        <v>2305</v>
      </c>
      <c r="AG602" s="44"/>
      <c r="AH602" s="47" t="s">
        <v>52</v>
      </c>
      <c r="AI602" s="11">
        <v>0</v>
      </c>
      <c r="AJ602" s="44" t="s">
        <v>223</v>
      </c>
      <c r="AK602" s="44"/>
      <c r="AL602" s="44" t="s">
        <v>237</v>
      </c>
      <c r="AM602" s="44" t="s">
        <v>238</v>
      </c>
      <c r="AN602" s="47">
        <v>0</v>
      </c>
      <c r="AO602" s="11">
        <v>3193</v>
      </c>
      <c r="AP602" s="12" t="s">
        <v>53</v>
      </c>
      <c r="AQ602" s="2">
        <v>0</v>
      </c>
    </row>
    <row r="603" s="3" customFormat="1" ht="15.75" customHeight="1" spans="1:43">
      <c r="A603" s="44">
        <v>171219</v>
      </c>
      <c r="B603" s="12" t="s">
        <v>904</v>
      </c>
      <c r="C603" s="44"/>
      <c r="D603" s="44"/>
      <c r="E603" s="44"/>
      <c r="F603" s="44">
        <v>0</v>
      </c>
      <c r="G603" s="44">
        <v>0</v>
      </c>
      <c r="H603" s="44">
        <v>1</v>
      </c>
      <c r="I603" s="44">
        <v>1</v>
      </c>
      <c r="J603" s="12">
        <v>0</v>
      </c>
      <c r="K603" s="44" t="s">
        <v>46</v>
      </c>
      <c r="L603" s="47">
        <v>0</v>
      </c>
      <c r="M603" s="44">
        <v>1020116</v>
      </c>
      <c r="N603" s="44">
        <v>0</v>
      </c>
      <c r="O603" s="47">
        <v>-1</v>
      </c>
      <c r="P603" s="44">
        <v>1712</v>
      </c>
      <c r="Q603" s="44">
        <v>466</v>
      </c>
      <c r="R603" s="44">
        <v>484</v>
      </c>
      <c r="S603" s="44">
        <v>29</v>
      </c>
      <c r="T603" s="44">
        <v>30</v>
      </c>
      <c r="U603" s="44"/>
      <c r="V603" s="44"/>
      <c r="W603" s="47">
        <v>0</v>
      </c>
      <c r="X603" s="47"/>
      <c r="Y603" s="12" t="s">
        <v>906</v>
      </c>
      <c r="Z603" s="44" t="s">
        <v>889</v>
      </c>
      <c r="AA603" s="44"/>
      <c r="AB603" s="44"/>
      <c r="AC603" s="44">
        <v>2302</v>
      </c>
      <c r="AD603" s="44">
        <v>2303</v>
      </c>
      <c r="AE603" s="44">
        <v>2304</v>
      </c>
      <c r="AF603" s="44">
        <v>2305</v>
      </c>
      <c r="AG603" s="44"/>
      <c r="AH603" s="47" t="s">
        <v>52</v>
      </c>
      <c r="AI603" s="11">
        <v>0</v>
      </c>
      <c r="AJ603" s="44" t="s">
        <v>223</v>
      </c>
      <c r="AK603" s="44"/>
      <c r="AL603" s="44" t="s">
        <v>237</v>
      </c>
      <c r="AM603" s="44" t="s">
        <v>238</v>
      </c>
      <c r="AN603" s="47">
        <v>0</v>
      </c>
      <c r="AO603" s="11">
        <v>3194</v>
      </c>
      <c r="AP603" s="12" t="s">
        <v>53</v>
      </c>
      <c r="AQ603" s="2">
        <v>0</v>
      </c>
    </row>
    <row r="604" s="3" customFormat="1" ht="15.75" customHeight="1" spans="1:43">
      <c r="A604" s="44">
        <v>171220</v>
      </c>
      <c r="B604" s="12" t="s">
        <v>904</v>
      </c>
      <c r="C604" s="44"/>
      <c r="D604" s="44"/>
      <c r="E604" s="44"/>
      <c r="F604" s="44">
        <v>0</v>
      </c>
      <c r="G604" s="44">
        <v>0</v>
      </c>
      <c r="H604" s="44">
        <v>1</v>
      </c>
      <c r="I604" s="44">
        <v>1</v>
      </c>
      <c r="J604" s="12">
        <v>0</v>
      </c>
      <c r="K604" s="44" t="s">
        <v>46</v>
      </c>
      <c r="L604" s="47">
        <v>0</v>
      </c>
      <c r="M604" s="44">
        <v>1020116</v>
      </c>
      <c r="N604" s="44">
        <v>0</v>
      </c>
      <c r="O604" s="47">
        <v>-1</v>
      </c>
      <c r="P604" s="44">
        <v>1712</v>
      </c>
      <c r="Q604" s="44">
        <v>466</v>
      </c>
      <c r="R604" s="44">
        <v>484</v>
      </c>
      <c r="S604" s="44">
        <v>29</v>
      </c>
      <c r="T604" s="44">
        <v>30</v>
      </c>
      <c r="U604" s="44"/>
      <c r="V604" s="44"/>
      <c r="W604" s="47">
        <v>0</v>
      </c>
      <c r="X604" s="47"/>
      <c r="Y604" s="12" t="s">
        <v>907</v>
      </c>
      <c r="Z604" s="44" t="s">
        <v>891</v>
      </c>
      <c r="AA604" s="44"/>
      <c r="AB604" s="44"/>
      <c r="AC604" s="44">
        <v>2302</v>
      </c>
      <c r="AD604" s="44">
        <v>2303</v>
      </c>
      <c r="AE604" s="44">
        <v>2304</v>
      </c>
      <c r="AF604" s="44">
        <v>2305</v>
      </c>
      <c r="AG604" s="44"/>
      <c r="AH604" s="47" t="s">
        <v>52</v>
      </c>
      <c r="AI604" s="11">
        <v>0</v>
      </c>
      <c r="AJ604" s="44" t="s">
        <v>223</v>
      </c>
      <c r="AK604" s="44"/>
      <c r="AL604" s="44" t="s">
        <v>237</v>
      </c>
      <c r="AM604" s="44" t="s">
        <v>238</v>
      </c>
      <c r="AN604" s="47">
        <v>0</v>
      </c>
      <c r="AO604" s="11">
        <v>3195</v>
      </c>
      <c r="AP604" s="12" t="s">
        <v>53</v>
      </c>
      <c r="AQ604" s="2">
        <v>0</v>
      </c>
    </row>
    <row r="605" s="3" customFormat="1" ht="15.75" customHeight="1" spans="1:43">
      <c r="A605" s="44">
        <v>171221</v>
      </c>
      <c r="B605" s="12" t="s">
        <v>908</v>
      </c>
      <c r="C605" s="44"/>
      <c r="D605" s="44"/>
      <c r="E605" s="44"/>
      <c r="F605" s="44">
        <v>0</v>
      </c>
      <c r="G605" s="44">
        <v>0</v>
      </c>
      <c r="H605" s="44">
        <v>1</v>
      </c>
      <c r="I605" s="44">
        <v>1</v>
      </c>
      <c r="J605" s="12">
        <v>0</v>
      </c>
      <c r="K605" s="44" t="s">
        <v>46</v>
      </c>
      <c r="L605" s="47">
        <v>0</v>
      </c>
      <c r="M605" s="44">
        <v>1020116</v>
      </c>
      <c r="N605" s="44">
        <v>0</v>
      </c>
      <c r="O605" s="47">
        <v>-1</v>
      </c>
      <c r="P605" s="44">
        <v>1712</v>
      </c>
      <c r="Q605" s="44">
        <v>466</v>
      </c>
      <c r="R605" s="44">
        <v>484</v>
      </c>
      <c r="S605" s="44">
        <v>29</v>
      </c>
      <c r="T605" s="44">
        <v>30</v>
      </c>
      <c r="U605" s="44"/>
      <c r="V605" s="44"/>
      <c r="W605" s="47">
        <v>0</v>
      </c>
      <c r="X605" s="47"/>
      <c r="Y605" s="12" t="s">
        <v>908</v>
      </c>
      <c r="Z605" s="44"/>
      <c r="AA605" s="44"/>
      <c r="AB605" s="44"/>
      <c r="AC605" s="44">
        <v>2302</v>
      </c>
      <c r="AD605" s="44">
        <v>2303</v>
      </c>
      <c r="AE605" s="44">
        <v>2304</v>
      </c>
      <c r="AF605" s="44">
        <v>2305</v>
      </c>
      <c r="AG605" s="44"/>
      <c r="AH605" s="47" t="s">
        <v>52</v>
      </c>
      <c r="AI605" s="11">
        <v>0</v>
      </c>
      <c r="AJ605" s="44" t="s">
        <v>223</v>
      </c>
      <c r="AK605" s="44"/>
      <c r="AL605" s="44" t="s">
        <v>237</v>
      </c>
      <c r="AM605" s="44" t="s">
        <v>238</v>
      </c>
      <c r="AN605" s="47">
        <v>0</v>
      </c>
      <c r="AO605" s="11">
        <v>3196</v>
      </c>
      <c r="AP605" s="12" t="s">
        <v>53</v>
      </c>
      <c r="AQ605" s="2">
        <v>0</v>
      </c>
    </row>
    <row r="606" s="21" customFormat="1" spans="1:43">
      <c r="A606" s="107">
        <v>180102</v>
      </c>
      <c r="B606" s="108" t="s">
        <v>909</v>
      </c>
      <c r="C606" s="109"/>
      <c r="D606" s="109"/>
      <c r="E606" s="109"/>
      <c r="F606" s="110">
        <v>0</v>
      </c>
      <c r="G606" s="109">
        <v>0</v>
      </c>
      <c r="H606" s="111" t="s">
        <v>45</v>
      </c>
      <c r="I606" s="109">
        <v>17</v>
      </c>
      <c r="J606" s="109">
        <v>0</v>
      </c>
      <c r="K606" s="116" t="s">
        <v>46</v>
      </c>
      <c r="L606" s="117" t="s">
        <v>47</v>
      </c>
      <c r="M606" s="118">
        <v>1010134</v>
      </c>
      <c r="N606" s="109">
        <v>0</v>
      </c>
      <c r="O606" s="117" t="s">
        <v>48</v>
      </c>
      <c r="P606" s="109">
        <v>0</v>
      </c>
      <c r="Q606" s="109"/>
      <c r="R606" s="109"/>
      <c r="S606" s="109">
        <v>0</v>
      </c>
      <c r="T606" s="109">
        <v>0</v>
      </c>
      <c r="U606" s="109"/>
      <c r="V606" s="109"/>
      <c r="W606" s="117" t="s">
        <v>47</v>
      </c>
      <c r="X606" s="117"/>
      <c r="Y606" s="117"/>
      <c r="Z606" s="110"/>
      <c r="AA606" s="110"/>
      <c r="AB606" s="109" t="s">
        <v>910</v>
      </c>
      <c r="AC606" s="110">
        <v>2200</v>
      </c>
      <c r="AD606" s="116" t="s">
        <v>51</v>
      </c>
      <c r="AE606" s="116" t="s">
        <v>51</v>
      </c>
      <c r="AF606" s="116" t="s">
        <v>51</v>
      </c>
      <c r="AG606" s="116"/>
      <c r="AH606" s="117" t="s">
        <v>52</v>
      </c>
      <c r="AI606" s="110">
        <v>1</v>
      </c>
      <c r="AJ606" s="110"/>
      <c r="AK606" s="110"/>
      <c r="AL606" s="110"/>
      <c r="AM606" s="110"/>
      <c r="AN606" s="117" t="s">
        <v>47</v>
      </c>
      <c r="AO606" s="116"/>
      <c r="AP606" s="110" t="s">
        <v>53</v>
      </c>
      <c r="AQ606" s="2">
        <v>0</v>
      </c>
    </row>
    <row r="607" s="21" customFormat="1" spans="1:43">
      <c r="A607" s="107">
        <v>180103</v>
      </c>
      <c r="B607" s="108" t="s">
        <v>911</v>
      </c>
      <c r="C607" s="109"/>
      <c r="D607" s="109"/>
      <c r="E607" s="109"/>
      <c r="F607" s="110">
        <v>0</v>
      </c>
      <c r="G607" s="109">
        <v>0</v>
      </c>
      <c r="H607" s="111" t="s">
        <v>45</v>
      </c>
      <c r="I607" s="109">
        <v>17</v>
      </c>
      <c r="J607" s="109">
        <v>0</v>
      </c>
      <c r="K607" s="116" t="s">
        <v>46</v>
      </c>
      <c r="L607" s="117" t="s">
        <v>47</v>
      </c>
      <c r="M607" s="118">
        <v>1010115</v>
      </c>
      <c r="N607" s="109">
        <v>0</v>
      </c>
      <c r="O607" s="117" t="s">
        <v>48</v>
      </c>
      <c r="P607" s="109">
        <v>1801</v>
      </c>
      <c r="Q607" s="109"/>
      <c r="R607" s="109"/>
      <c r="S607" s="109">
        <v>0</v>
      </c>
      <c r="T607" s="109">
        <v>0</v>
      </c>
      <c r="U607" s="109"/>
      <c r="V607" s="109"/>
      <c r="W607" s="117" t="s">
        <v>47</v>
      </c>
      <c r="X607" s="117"/>
      <c r="Y607" s="117"/>
      <c r="Z607" s="110"/>
      <c r="AA607" s="110"/>
      <c r="AB607" s="109" t="s">
        <v>912</v>
      </c>
      <c r="AC607" s="110">
        <v>2201</v>
      </c>
      <c r="AD607" s="116" t="s">
        <v>51</v>
      </c>
      <c r="AE607" s="116" t="s">
        <v>51</v>
      </c>
      <c r="AF607" s="116" t="s">
        <v>51</v>
      </c>
      <c r="AG607" s="116"/>
      <c r="AH607" s="117" t="s">
        <v>52</v>
      </c>
      <c r="AI607" s="110">
        <v>1</v>
      </c>
      <c r="AJ607" s="110"/>
      <c r="AK607" s="110"/>
      <c r="AL607" s="110"/>
      <c r="AM607" s="110"/>
      <c r="AN607" s="117" t="s">
        <v>47</v>
      </c>
      <c r="AO607" s="116"/>
      <c r="AP607" s="110" t="s">
        <v>53</v>
      </c>
      <c r="AQ607" s="2">
        <v>0</v>
      </c>
    </row>
    <row r="608" s="21" customFormat="1" spans="1:43">
      <c r="A608" s="107">
        <v>180104</v>
      </c>
      <c r="B608" s="108" t="s">
        <v>913</v>
      </c>
      <c r="C608" s="109"/>
      <c r="D608" s="109"/>
      <c r="E608" s="109"/>
      <c r="F608" s="110">
        <v>0</v>
      </c>
      <c r="G608" s="109">
        <v>0</v>
      </c>
      <c r="H608" s="111" t="s">
        <v>45</v>
      </c>
      <c r="I608" s="109">
        <v>17</v>
      </c>
      <c r="J608" s="109">
        <v>0</v>
      </c>
      <c r="K608" s="116" t="s">
        <v>46</v>
      </c>
      <c r="L608" s="117" t="s">
        <v>47</v>
      </c>
      <c r="M608" s="54">
        <v>1010140</v>
      </c>
      <c r="N608" s="109">
        <v>0</v>
      </c>
      <c r="O608" s="117" t="s">
        <v>48</v>
      </c>
      <c r="P608" s="109">
        <v>1801</v>
      </c>
      <c r="Q608" s="109"/>
      <c r="R608" s="109"/>
      <c r="S608" s="109">
        <v>0</v>
      </c>
      <c r="T608" s="109">
        <v>0</v>
      </c>
      <c r="U608" s="109"/>
      <c r="V608" s="109"/>
      <c r="W608" s="117" t="s">
        <v>47</v>
      </c>
      <c r="X608" s="117"/>
      <c r="Y608" s="117"/>
      <c r="Z608" s="110"/>
      <c r="AA608" s="110"/>
      <c r="AB608" s="109" t="s">
        <v>914</v>
      </c>
      <c r="AC608" s="110">
        <v>2202</v>
      </c>
      <c r="AD608" s="116" t="s">
        <v>51</v>
      </c>
      <c r="AE608" s="116" t="s">
        <v>51</v>
      </c>
      <c r="AF608" s="116" t="s">
        <v>51</v>
      </c>
      <c r="AG608" s="116"/>
      <c r="AH608" s="117" t="s">
        <v>52</v>
      </c>
      <c r="AI608" s="110">
        <v>1</v>
      </c>
      <c r="AJ608" s="110"/>
      <c r="AK608" s="110"/>
      <c r="AL608" s="110"/>
      <c r="AM608" s="110"/>
      <c r="AN608" s="117" t="s">
        <v>47</v>
      </c>
      <c r="AO608" s="116"/>
      <c r="AP608" s="110" t="s">
        <v>53</v>
      </c>
      <c r="AQ608" s="2">
        <v>0</v>
      </c>
    </row>
    <row r="609" s="21" customFormat="1" spans="1:43">
      <c r="A609" s="107">
        <v>180105</v>
      </c>
      <c r="B609" s="108" t="s">
        <v>915</v>
      </c>
      <c r="C609" s="109"/>
      <c r="D609" s="109"/>
      <c r="E609" s="109"/>
      <c r="F609" s="110">
        <v>0</v>
      </c>
      <c r="G609" s="109">
        <v>0</v>
      </c>
      <c r="H609" s="111" t="s">
        <v>45</v>
      </c>
      <c r="I609" s="109">
        <v>17</v>
      </c>
      <c r="J609" s="109">
        <v>0</v>
      </c>
      <c r="K609" s="116" t="s">
        <v>46</v>
      </c>
      <c r="L609" s="117" t="s">
        <v>47</v>
      </c>
      <c r="M609" s="118">
        <v>1000106</v>
      </c>
      <c r="N609" s="109">
        <v>0</v>
      </c>
      <c r="O609" s="117" t="s">
        <v>48</v>
      </c>
      <c r="P609" s="109">
        <v>1801</v>
      </c>
      <c r="Q609" s="109"/>
      <c r="R609" s="109"/>
      <c r="S609" s="109">
        <v>0</v>
      </c>
      <c r="T609" s="109">
        <v>0</v>
      </c>
      <c r="U609" s="109"/>
      <c r="V609" s="109"/>
      <c r="W609" s="117" t="s">
        <v>47</v>
      </c>
      <c r="X609" s="117"/>
      <c r="Y609" s="117"/>
      <c r="Z609" s="110"/>
      <c r="AA609" s="110"/>
      <c r="AB609" s="109" t="s">
        <v>916</v>
      </c>
      <c r="AC609" s="110">
        <v>2203</v>
      </c>
      <c r="AD609" s="116" t="s">
        <v>51</v>
      </c>
      <c r="AE609" s="116" t="s">
        <v>51</v>
      </c>
      <c r="AF609" s="116" t="s">
        <v>51</v>
      </c>
      <c r="AG609" s="116"/>
      <c r="AH609" s="117" t="s">
        <v>52</v>
      </c>
      <c r="AI609" s="110">
        <v>1</v>
      </c>
      <c r="AJ609" s="110"/>
      <c r="AK609" s="110"/>
      <c r="AL609" s="110"/>
      <c r="AM609" s="110"/>
      <c r="AN609" s="117" t="s">
        <v>47</v>
      </c>
      <c r="AO609" s="116"/>
      <c r="AP609" s="110" t="s">
        <v>53</v>
      </c>
      <c r="AQ609" s="2">
        <v>0</v>
      </c>
    </row>
    <row r="610" s="21" customFormat="1" spans="1:43">
      <c r="A610" s="107">
        <v>180111</v>
      </c>
      <c r="B610" s="112" t="s">
        <v>917</v>
      </c>
      <c r="C610" s="109"/>
      <c r="D610" s="109"/>
      <c r="E610" s="109"/>
      <c r="F610" s="110">
        <v>0</v>
      </c>
      <c r="G610" s="109">
        <v>0</v>
      </c>
      <c r="H610" s="111" t="s">
        <v>45</v>
      </c>
      <c r="I610" s="109">
        <v>17</v>
      </c>
      <c r="J610" s="109">
        <v>0</v>
      </c>
      <c r="K610" s="116" t="s">
        <v>46</v>
      </c>
      <c r="L610" s="117" t="s">
        <v>47</v>
      </c>
      <c r="M610" s="109" t="s">
        <v>280</v>
      </c>
      <c r="N610" s="109">
        <v>0</v>
      </c>
      <c r="O610" s="117" t="s">
        <v>48</v>
      </c>
      <c r="P610" s="109">
        <v>1801</v>
      </c>
      <c r="Q610" s="109"/>
      <c r="R610" s="109"/>
      <c r="S610" s="109">
        <v>0</v>
      </c>
      <c r="T610" s="109">
        <v>0</v>
      </c>
      <c r="U610" s="109"/>
      <c r="V610" s="109"/>
      <c r="W610" s="117" t="s">
        <v>47</v>
      </c>
      <c r="X610" s="117"/>
      <c r="Y610" s="117"/>
      <c r="Z610" s="110"/>
      <c r="AA610" s="110"/>
      <c r="AB610" s="109" t="s">
        <v>918</v>
      </c>
      <c r="AC610" s="119">
        <v>2141</v>
      </c>
      <c r="AD610" s="116" t="s">
        <v>51</v>
      </c>
      <c r="AE610" s="116" t="s">
        <v>51</v>
      </c>
      <c r="AF610" s="116" t="s">
        <v>51</v>
      </c>
      <c r="AG610" s="116"/>
      <c r="AH610" s="117" t="s">
        <v>52</v>
      </c>
      <c r="AI610" s="110">
        <v>1</v>
      </c>
      <c r="AJ610" s="110"/>
      <c r="AK610" s="110"/>
      <c r="AL610" s="110"/>
      <c r="AM610" s="110"/>
      <c r="AN610" s="117" t="s">
        <v>47</v>
      </c>
      <c r="AO610" s="116"/>
      <c r="AP610" s="110" t="s">
        <v>53</v>
      </c>
      <c r="AQ610" s="2">
        <v>0</v>
      </c>
    </row>
    <row r="611" s="21" customFormat="1" spans="1:43">
      <c r="A611" s="107">
        <v>180112</v>
      </c>
      <c r="B611" s="112" t="s">
        <v>919</v>
      </c>
      <c r="C611" s="109"/>
      <c r="D611" s="109"/>
      <c r="E611" s="109"/>
      <c r="F611" s="110">
        <v>0</v>
      </c>
      <c r="G611" s="109">
        <v>0</v>
      </c>
      <c r="H611" s="111" t="s">
        <v>45</v>
      </c>
      <c r="I611" s="109">
        <v>17</v>
      </c>
      <c r="J611" s="109">
        <v>0</v>
      </c>
      <c r="K611" s="116" t="s">
        <v>46</v>
      </c>
      <c r="L611" s="117" t="s">
        <v>47</v>
      </c>
      <c r="M611" s="109" t="s">
        <v>785</v>
      </c>
      <c r="N611" s="109">
        <v>0</v>
      </c>
      <c r="O611" s="117" t="s">
        <v>48</v>
      </c>
      <c r="P611" s="109">
        <v>1801</v>
      </c>
      <c r="Q611" s="109"/>
      <c r="R611" s="109"/>
      <c r="S611" s="109">
        <v>0</v>
      </c>
      <c r="T611" s="109">
        <v>0</v>
      </c>
      <c r="U611" s="109"/>
      <c r="V611" s="109"/>
      <c r="W611" s="117" t="s">
        <v>47</v>
      </c>
      <c r="X611" s="117"/>
      <c r="Y611" s="117"/>
      <c r="Z611" s="110"/>
      <c r="AA611" s="110"/>
      <c r="AB611" s="109" t="s">
        <v>920</v>
      </c>
      <c r="AC611" s="119">
        <v>2141</v>
      </c>
      <c r="AD611" s="116" t="s">
        <v>51</v>
      </c>
      <c r="AE611" s="116" t="s">
        <v>51</v>
      </c>
      <c r="AF611" s="116" t="s">
        <v>51</v>
      </c>
      <c r="AG611" s="116"/>
      <c r="AH611" s="117" t="s">
        <v>52</v>
      </c>
      <c r="AI611" s="110">
        <v>1</v>
      </c>
      <c r="AJ611" s="110"/>
      <c r="AK611" s="110"/>
      <c r="AL611" s="110"/>
      <c r="AM611" s="110"/>
      <c r="AN611" s="117" t="s">
        <v>47</v>
      </c>
      <c r="AO611" s="116"/>
      <c r="AP611" s="110" t="s">
        <v>53</v>
      </c>
      <c r="AQ611" s="2">
        <v>0</v>
      </c>
    </row>
    <row r="612" s="21" customFormat="1" spans="1:43">
      <c r="A612" s="107">
        <v>180113</v>
      </c>
      <c r="B612" s="112" t="s">
        <v>921</v>
      </c>
      <c r="C612" s="109"/>
      <c r="D612" s="109"/>
      <c r="E612" s="109"/>
      <c r="F612" s="110">
        <v>0</v>
      </c>
      <c r="G612" s="109">
        <v>0</v>
      </c>
      <c r="H612" s="111" t="s">
        <v>45</v>
      </c>
      <c r="I612" s="109">
        <v>17</v>
      </c>
      <c r="J612" s="109">
        <v>0</v>
      </c>
      <c r="K612" s="116" t="s">
        <v>46</v>
      </c>
      <c r="L612" s="117" t="s">
        <v>47</v>
      </c>
      <c r="M612" s="109" t="s">
        <v>787</v>
      </c>
      <c r="N612" s="109">
        <v>0</v>
      </c>
      <c r="O612" s="117" t="s">
        <v>48</v>
      </c>
      <c r="P612" s="109">
        <v>1801</v>
      </c>
      <c r="Q612" s="109"/>
      <c r="R612" s="109"/>
      <c r="S612" s="109">
        <v>0</v>
      </c>
      <c r="T612" s="109">
        <v>0</v>
      </c>
      <c r="U612" s="109"/>
      <c r="V612" s="109"/>
      <c r="W612" s="117" t="s">
        <v>47</v>
      </c>
      <c r="X612" s="117"/>
      <c r="Y612" s="117"/>
      <c r="Z612" s="110"/>
      <c r="AA612" s="110"/>
      <c r="AB612" s="109" t="s">
        <v>922</v>
      </c>
      <c r="AC612" s="119">
        <v>2141</v>
      </c>
      <c r="AD612" s="116" t="s">
        <v>51</v>
      </c>
      <c r="AE612" s="116" t="s">
        <v>51</v>
      </c>
      <c r="AF612" s="116" t="s">
        <v>51</v>
      </c>
      <c r="AG612" s="116"/>
      <c r="AH612" s="117" t="s">
        <v>52</v>
      </c>
      <c r="AI612" s="110">
        <v>1</v>
      </c>
      <c r="AJ612" s="110"/>
      <c r="AK612" s="110"/>
      <c r="AL612" s="110"/>
      <c r="AM612" s="110"/>
      <c r="AN612" s="117" t="s">
        <v>47</v>
      </c>
      <c r="AO612" s="116"/>
      <c r="AP612" s="110" t="s">
        <v>53</v>
      </c>
      <c r="AQ612" s="2">
        <v>0</v>
      </c>
    </row>
    <row r="613" s="21" customFormat="1" spans="1:43">
      <c r="A613" s="107">
        <v>180114</v>
      </c>
      <c r="B613" s="112" t="s">
        <v>923</v>
      </c>
      <c r="C613" s="109"/>
      <c r="D613" s="109"/>
      <c r="E613" s="109"/>
      <c r="F613" s="110">
        <v>0</v>
      </c>
      <c r="G613" s="109">
        <v>0</v>
      </c>
      <c r="H613" s="111" t="s">
        <v>45</v>
      </c>
      <c r="I613" s="109">
        <v>17</v>
      </c>
      <c r="J613" s="109">
        <v>0</v>
      </c>
      <c r="K613" s="116" t="s">
        <v>46</v>
      </c>
      <c r="L613" s="117" t="s">
        <v>47</v>
      </c>
      <c r="M613" s="109" t="s">
        <v>789</v>
      </c>
      <c r="N613" s="109">
        <v>0</v>
      </c>
      <c r="O613" s="117" t="s">
        <v>48</v>
      </c>
      <c r="P613" s="109">
        <v>1801</v>
      </c>
      <c r="Q613" s="109"/>
      <c r="R613" s="109"/>
      <c r="S613" s="109">
        <v>0</v>
      </c>
      <c r="T613" s="109">
        <v>0</v>
      </c>
      <c r="U613" s="109"/>
      <c r="V613" s="109"/>
      <c r="W613" s="117" t="s">
        <v>47</v>
      </c>
      <c r="X613" s="117"/>
      <c r="Y613" s="117"/>
      <c r="Z613" s="110"/>
      <c r="AA613" s="110"/>
      <c r="AB613" s="109" t="s">
        <v>924</v>
      </c>
      <c r="AC613" s="119">
        <v>2141</v>
      </c>
      <c r="AD613" s="116" t="s">
        <v>51</v>
      </c>
      <c r="AE613" s="116" t="s">
        <v>51</v>
      </c>
      <c r="AF613" s="116" t="s">
        <v>51</v>
      </c>
      <c r="AG613" s="116"/>
      <c r="AH613" s="117" t="s">
        <v>52</v>
      </c>
      <c r="AI613" s="110">
        <v>1</v>
      </c>
      <c r="AJ613" s="110"/>
      <c r="AK613" s="110"/>
      <c r="AL613" s="110"/>
      <c r="AM613" s="110"/>
      <c r="AN613" s="117" t="s">
        <v>47</v>
      </c>
      <c r="AO613" s="116"/>
      <c r="AP613" s="110" t="s">
        <v>53</v>
      </c>
      <c r="AQ613" s="2">
        <v>0</v>
      </c>
    </row>
    <row r="614" s="21" customFormat="1" spans="1:43">
      <c r="A614" s="107">
        <v>180115</v>
      </c>
      <c r="B614" s="112" t="s">
        <v>925</v>
      </c>
      <c r="C614" s="109"/>
      <c r="D614" s="109"/>
      <c r="E614" s="109"/>
      <c r="F614" s="110">
        <v>0</v>
      </c>
      <c r="G614" s="109">
        <v>0</v>
      </c>
      <c r="H614" s="111" t="s">
        <v>45</v>
      </c>
      <c r="I614" s="109">
        <v>17</v>
      </c>
      <c r="J614" s="109">
        <v>0</v>
      </c>
      <c r="K614" s="116" t="s">
        <v>46</v>
      </c>
      <c r="L614" s="117" t="s">
        <v>47</v>
      </c>
      <c r="M614" s="109" t="s">
        <v>378</v>
      </c>
      <c r="N614" s="109">
        <v>0</v>
      </c>
      <c r="O614" s="117" t="s">
        <v>48</v>
      </c>
      <c r="P614" s="109">
        <v>1801</v>
      </c>
      <c r="Q614" s="109"/>
      <c r="R614" s="109"/>
      <c r="S614" s="109">
        <v>0</v>
      </c>
      <c r="T614" s="109">
        <v>0</v>
      </c>
      <c r="U614" s="109"/>
      <c r="V614" s="109"/>
      <c r="W614" s="117" t="s">
        <v>47</v>
      </c>
      <c r="X614" s="117"/>
      <c r="Y614" s="117"/>
      <c r="Z614" s="110"/>
      <c r="AA614" s="110"/>
      <c r="AB614" s="109" t="s">
        <v>926</v>
      </c>
      <c r="AC614" s="119">
        <v>2141</v>
      </c>
      <c r="AD614" s="116" t="s">
        <v>51</v>
      </c>
      <c r="AE614" s="116" t="s">
        <v>51</v>
      </c>
      <c r="AF614" s="116" t="s">
        <v>51</v>
      </c>
      <c r="AG614" s="116"/>
      <c r="AH614" s="117" t="s">
        <v>52</v>
      </c>
      <c r="AI614" s="110">
        <v>1</v>
      </c>
      <c r="AJ614" s="110"/>
      <c r="AK614" s="110"/>
      <c r="AL614" s="110"/>
      <c r="AM614" s="110"/>
      <c r="AN614" s="117" t="s">
        <v>47</v>
      </c>
      <c r="AO614" s="116"/>
      <c r="AP614" s="110" t="s">
        <v>53</v>
      </c>
      <c r="AQ614" s="2">
        <v>0</v>
      </c>
    </row>
    <row r="615" s="21" customFormat="1" spans="1:43">
      <c r="A615" s="107">
        <v>180121</v>
      </c>
      <c r="B615" s="113" t="s">
        <v>927</v>
      </c>
      <c r="C615" s="109"/>
      <c r="D615" s="109"/>
      <c r="E615" s="109"/>
      <c r="F615" s="110">
        <v>0</v>
      </c>
      <c r="G615" s="109">
        <v>0</v>
      </c>
      <c r="H615" s="111" t="s">
        <v>45</v>
      </c>
      <c r="I615" s="109">
        <v>17</v>
      </c>
      <c r="J615" s="109">
        <v>0</v>
      </c>
      <c r="K615" s="116" t="s">
        <v>46</v>
      </c>
      <c r="L615" s="117" t="s">
        <v>47</v>
      </c>
      <c r="M615" s="109" t="s">
        <v>781</v>
      </c>
      <c r="N615" s="109">
        <v>0</v>
      </c>
      <c r="O615" s="117" t="s">
        <v>48</v>
      </c>
      <c r="P615" s="109">
        <v>1801</v>
      </c>
      <c r="Q615" s="109"/>
      <c r="R615" s="109"/>
      <c r="S615" s="109">
        <v>0</v>
      </c>
      <c r="T615" s="109">
        <v>0</v>
      </c>
      <c r="U615" s="109"/>
      <c r="V615" s="109"/>
      <c r="W615" s="117" t="s">
        <v>47</v>
      </c>
      <c r="X615" s="117"/>
      <c r="Y615" s="117"/>
      <c r="Z615" s="110"/>
      <c r="AA615" s="110"/>
      <c r="AB615" s="109" t="s">
        <v>928</v>
      </c>
      <c r="AC615" s="119">
        <v>2141</v>
      </c>
      <c r="AD615" s="116" t="s">
        <v>51</v>
      </c>
      <c r="AE615" s="116" t="s">
        <v>51</v>
      </c>
      <c r="AF615" s="116" t="s">
        <v>51</v>
      </c>
      <c r="AG615" s="116"/>
      <c r="AH615" s="117" t="s">
        <v>52</v>
      </c>
      <c r="AI615" s="110">
        <v>1</v>
      </c>
      <c r="AJ615" s="110"/>
      <c r="AK615" s="110"/>
      <c r="AL615" s="110"/>
      <c r="AM615" s="110"/>
      <c r="AN615" s="117" t="s">
        <v>47</v>
      </c>
      <c r="AO615" s="116"/>
      <c r="AP615" s="110" t="s">
        <v>53</v>
      </c>
      <c r="AQ615" s="2">
        <v>0</v>
      </c>
    </row>
    <row r="616" s="21" customFormat="1" spans="1:43">
      <c r="A616" s="107">
        <v>180122</v>
      </c>
      <c r="B616" s="113" t="s">
        <v>929</v>
      </c>
      <c r="C616" s="109"/>
      <c r="D616" s="109"/>
      <c r="E616" s="109"/>
      <c r="F616" s="110">
        <v>0</v>
      </c>
      <c r="G616" s="109">
        <v>0</v>
      </c>
      <c r="H616" s="111" t="s">
        <v>45</v>
      </c>
      <c r="I616" s="109">
        <v>17</v>
      </c>
      <c r="J616" s="109">
        <v>0</v>
      </c>
      <c r="K616" s="116" t="s">
        <v>46</v>
      </c>
      <c r="L616" s="117" t="s">
        <v>47</v>
      </c>
      <c r="M616" s="109" t="s">
        <v>365</v>
      </c>
      <c r="N616" s="109">
        <v>0</v>
      </c>
      <c r="O616" s="117" t="s">
        <v>48</v>
      </c>
      <c r="P616" s="109">
        <v>1801</v>
      </c>
      <c r="Q616" s="109"/>
      <c r="R616" s="109"/>
      <c r="S616" s="109">
        <v>0</v>
      </c>
      <c r="T616" s="109">
        <v>0</v>
      </c>
      <c r="U616" s="109"/>
      <c r="V616" s="109"/>
      <c r="W616" s="117" t="s">
        <v>47</v>
      </c>
      <c r="X616" s="117"/>
      <c r="Y616" s="117"/>
      <c r="Z616" s="110"/>
      <c r="AA616" s="110"/>
      <c r="AB616" s="109" t="s">
        <v>930</v>
      </c>
      <c r="AC616" s="119">
        <v>2141</v>
      </c>
      <c r="AD616" s="116" t="s">
        <v>51</v>
      </c>
      <c r="AE616" s="116" t="s">
        <v>51</v>
      </c>
      <c r="AF616" s="116" t="s">
        <v>51</v>
      </c>
      <c r="AG616" s="116"/>
      <c r="AH616" s="117" t="s">
        <v>52</v>
      </c>
      <c r="AI616" s="110">
        <v>1</v>
      </c>
      <c r="AJ616" s="110"/>
      <c r="AK616" s="110"/>
      <c r="AL616" s="110"/>
      <c r="AM616" s="110"/>
      <c r="AN616" s="117" t="s">
        <v>47</v>
      </c>
      <c r="AO616" s="116"/>
      <c r="AP616" s="110" t="s">
        <v>53</v>
      </c>
      <c r="AQ616" s="2">
        <v>0</v>
      </c>
    </row>
    <row r="617" s="21" customFormat="1" spans="1:43">
      <c r="A617" s="107">
        <v>180123</v>
      </c>
      <c r="B617" s="113" t="s">
        <v>931</v>
      </c>
      <c r="C617" s="109"/>
      <c r="D617" s="109"/>
      <c r="E617" s="109"/>
      <c r="F617" s="110">
        <v>0</v>
      </c>
      <c r="G617" s="109">
        <v>0</v>
      </c>
      <c r="H617" s="111" t="s">
        <v>45</v>
      </c>
      <c r="I617" s="109">
        <v>17</v>
      </c>
      <c r="J617" s="109">
        <v>0</v>
      </c>
      <c r="K617" s="116" t="s">
        <v>46</v>
      </c>
      <c r="L617" s="117" t="s">
        <v>47</v>
      </c>
      <c r="M617" s="109" t="s">
        <v>792</v>
      </c>
      <c r="N617" s="109">
        <v>0</v>
      </c>
      <c r="O617" s="117" t="s">
        <v>48</v>
      </c>
      <c r="P617" s="109">
        <v>1801</v>
      </c>
      <c r="Q617" s="109"/>
      <c r="R617" s="109"/>
      <c r="S617" s="109">
        <v>0</v>
      </c>
      <c r="T617" s="109">
        <v>0</v>
      </c>
      <c r="U617" s="109"/>
      <c r="V617" s="109"/>
      <c r="W617" s="117" t="s">
        <v>47</v>
      </c>
      <c r="X617" s="117"/>
      <c r="Y617" s="117"/>
      <c r="Z617" s="110"/>
      <c r="AA617" s="110"/>
      <c r="AB617" s="109" t="s">
        <v>932</v>
      </c>
      <c r="AC617" s="119">
        <v>2141</v>
      </c>
      <c r="AD617" s="116" t="s">
        <v>51</v>
      </c>
      <c r="AE617" s="116" t="s">
        <v>51</v>
      </c>
      <c r="AF617" s="116" t="s">
        <v>51</v>
      </c>
      <c r="AG617" s="116"/>
      <c r="AH617" s="117" t="s">
        <v>52</v>
      </c>
      <c r="AI617" s="110">
        <v>1</v>
      </c>
      <c r="AJ617" s="110"/>
      <c r="AK617" s="110"/>
      <c r="AL617" s="110"/>
      <c r="AM617" s="110"/>
      <c r="AN617" s="117" t="s">
        <v>47</v>
      </c>
      <c r="AO617" s="116"/>
      <c r="AP617" s="110" t="s">
        <v>53</v>
      </c>
      <c r="AQ617" s="2">
        <v>0</v>
      </c>
    </row>
    <row r="618" s="21" customFormat="1" spans="1:43">
      <c r="A618" s="107">
        <v>180124</v>
      </c>
      <c r="B618" s="113" t="s">
        <v>933</v>
      </c>
      <c r="C618" s="109"/>
      <c r="D618" s="109"/>
      <c r="E618" s="109"/>
      <c r="F618" s="110">
        <v>0</v>
      </c>
      <c r="G618" s="109">
        <v>0</v>
      </c>
      <c r="H618" s="111" t="s">
        <v>45</v>
      </c>
      <c r="I618" s="109">
        <v>17</v>
      </c>
      <c r="J618" s="109">
        <v>0</v>
      </c>
      <c r="K618" s="116" t="s">
        <v>46</v>
      </c>
      <c r="L618" s="117" t="s">
        <v>47</v>
      </c>
      <c r="M618" s="109" t="s">
        <v>794</v>
      </c>
      <c r="N618" s="109">
        <v>0</v>
      </c>
      <c r="O618" s="117" t="s">
        <v>48</v>
      </c>
      <c r="P618" s="109">
        <v>1801</v>
      </c>
      <c r="Q618" s="109"/>
      <c r="R618" s="109"/>
      <c r="S618" s="109">
        <v>0</v>
      </c>
      <c r="T618" s="109">
        <v>0</v>
      </c>
      <c r="U618" s="109"/>
      <c r="V618" s="109"/>
      <c r="W618" s="117" t="s">
        <v>47</v>
      </c>
      <c r="X618" s="117"/>
      <c r="Y618" s="117"/>
      <c r="Z618" s="110"/>
      <c r="AA618" s="110"/>
      <c r="AB618" s="109" t="s">
        <v>934</v>
      </c>
      <c r="AC618" s="119">
        <v>2141</v>
      </c>
      <c r="AD618" s="116" t="s">
        <v>51</v>
      </c>
      <c r="AE618" s="116" t="s">
        <v>51</v>
      </c>
      <c r="AF618" s="116" t="s">
        <v>51</v>
      </c>
      <c r="AG618" s="116"/>
      <c r="AH618" s="117" t="s">
        <v>52</v>
      </c>
      <c r="AI618" s="110">
        <v>1</v>
      </c>
      <c r="AJ618" s="110"/>
      <c r="AK618" s="110"/>
      <c r="AL618" s="110"/>
      <c r="AM618" s="110"/>
      <c r="AN618" s="117" t="s">
        <v>47</v>
      </c>
      <c r="AO618" s="116"/>
      <c r="AP618" s="110" t="s">
        <v>53</v>
      </c>
      <c r="AQ618" s="2">
        <v>0</v>
      </c>
    </row>
    <row r="619" s="21" customFormat="1" spans="1:43">
      <c r="A619" s="107">
        <v>180125</v>
      </c>
      <c r="B619" s="113" t="s">
        <v>935</v>
      </c>
      <c r="C619" s="109"/>
      <c r="D619" s="109"/>
      <c r="E619" s="109"/>
      <c r="F619" s="110">
        <v>0</v>
      </c>
      <c r="G619" s="109">
        <v>0</v>
      </c>
      <c r="H619" s="111" t="s">
        <v>45</v>
      </c>
      <c r="I619" s="109">
        <v>17</v>
      </c>
      <c r="J619" s="109">
        <v>0</v>
      </c>
      <c r="K619" s="116" t="s">
        <v>46</v>
      </c>
      <c r="L619" s="117" t="s">
        <v>47</v>
      </c>
      <c r="M619" s="109" t="s">
        <v>686</v>
      </c>
      <c r="N619" s="109">
        <v>0</v>
      </c>
      <c r="O619" s="117" t="s">
        <v>48</v>
      </c>
      <c r="P619" s="109">
        <v>1801</v>
      </c>
      <c r="Q619" s="109"/>
      <c r="R619" s="109"/>
      <c r="S619" s="109">
        <v>0</v>
      </c>
      <c r="T619" s="109">
        <v>0</v>
      </c>
      <c r="U619" s="109"/>
      <c r="V619" s="109"/>
      <c r="W619" s="117" t="s">
        <v>47</v>
      </c>
      <c r="X619" s="117"/>
      <c r="Y619" s="117"/>
      <c r="Z619" s="110"/>
      <c r="AA619" s="110"/>
      <c r="AB619" s="109" t="s">
        <v>936</v>
      </c>
      <c r="AC619" s="119">
        <v>2141</v>
      </c>
      <c r="AD619" s="116" t="s">
        <v>51</v>
      </c>
      <c r="AE619" s="116" t="s">
        <v>51</v>
      </c>
      <c r="AF619" s="116" t="s">
        <v>51</v>
      </c>
      <c r="AG619" s="116"/>
      <c r="AH619" s="117" t="s">
        <v>52</v>
      </c>
      <c r="AI619" s="110">
        <v>1</v>
      </c>
      <c r="AJ619" s="110"/>
      <c r="AK619" s="110"/>
      <c r="AL619" s="110"/>
      <c r="AM619" s="110"/>
      <c r="AN619" s="117" t="s">
        <v>47</v>
      </c>
      <c r="AO619" s="116"/>
      <c r="AP619" s="110" t="s">
        <v>53</v>
      </c>
      <c r="AQ619" s="2">
        <v>0</v>
      </c>
    </row>
    <row r="620" s="21" customFormat="1" spans="1:43">
      <c r="A620" s="107">
        <v>180131</v>
      </c>
      <c r="B620" s="114" t="s">
        <v>937</v>
      </c>
      <c r="C620" s="109"/>
      <c r="D620" s="109"/>
      <c r="E620" s="109"/>
      <c r="F620" s="110">
        <v>0</v>
      </c>
      <c r="G620" s="109">
        <v>0</v>
      </c>
      <c r="H620" s="111" t="s">
        <v>45</v>
      </c>
      <c r="I620" s="109">
        <v>17</v>
      </c>
      <c r="J620" s="109">
        <v>0</v>
      </c>
      <c r="K620" s="116" t="s">
        <v>46</v>
      </c>
      <c r="L620" s="117" t="s">
        <v>47</v>
      </c>
      <c r="M620" s="54">
        <v>1020109</v>
      </c>
      <c r="N620" s="109">
        <v>0</v>
      </c>
      <c r="O620" s="117" t="s">
        <v>48</v>
      </c>
      <c r="P620" s="109">
        <v>1801</v>
      </c>
      <c r="Q620" s="109"/>
      <c r="R620" s="109"/>
      <c r="S620" s="109">
        <v>0</v>
      </c>
      <c r="T620" s="109">
        <v>0</v>
      </c>
      <c r="U620" s="109"/>
      <c r="V620" s="109"/>
      <c r="W620" s="117" t="s">
        <v>47</v>
      </c>
      <c r="X620" s="117"/>
      <c r="Y620" s="117"/>
      <c r="Z620" s="110"/>
      <c r="AA620" s="110"/>
      <c r="AB620" s="109" t="s">
        <v>938</v>
      </c>
      <c r="AC620" s="110">
        <v>2199</v>
      </c>
      <c r="AD620" s="116" t="s">
        <v>51</v>
      </c>
      <c r="AE620" s="116" t="s">
        <v>51</v>
      </c>
      <c r="AF620" s="116" t="s">
        <v>51</v>
      </c>
      <c r="AG620" s="116"/>
      <c r="AH620" s="117" t="s">
        <v>52</v>
      </c>
      <c r="AI620" s="110">
        <v>1</v>
      </c>
      <c r="AJ620" s="110"/>
      <c r="AK620" s="110"/>
      <c r="AL620" s="110"/>
      <c r="AM620" s="110"/>
      <c r="AN620" s="117" t="s">
        <v>47</v>
      </c>
      <c r="AO620" s="116"/>
      <c r="AP620" s="110" t="s">
        <v>53</v>
      </c>
      <c r="AQ620" s="2">
        <v>0</v>
      </c>
    </row>
    <row r="621" s="21" customFormat="1" spans="1:43">
      <c r="A621" s="107">
        <v>180132</v>
      </c>
      <c r="B621" s="114" t="s">
        <v>939</v>
      </c>
      <c r="C621" s="109"/>
      <c r="D621" s="109"/>
      <c r="E621" s="109"/>
      <c r="F621" s="110">
        <v>0</v>
      </c>
      <c r="G621" s="109">
        <v>0</v>
      </c>
      <c r="H621" s="111" t="s">
        <v>45</v>
      </c>
      <c r="I621" s="109">
        <v>17</v>
      </c>
      <c r="J621" s="109">
        <v>0</v>
      </c>
      <c r="K621" s="116" t="s">
        <v>46</v>
      </c>
      <c r="L621" s="117" t="s">
        <v>47</v>
      </c>
      <c r="M621" s="118">
        <v>1010134</v>
      </c>
      <c r="N621" s="109">
        <v>0</v>
      </c>
      <c r="O621" s="117" t="s">
        <v>48</v>
      </c>
      <c r="P621" s="109">
        <v>1801</v>
      </c>
      <c r="Q621" s="109"/>
      <c r="R621" s="109"/>
      <c r="S621" s="109">
        <v>0</v>
      </c>
      <c r="T621" s="109">
        <v>0</v>
      </c>
      <c r="U621" s="109"/>
      <c r="V621" s="109"/>
      <c r="W621" s="117" t="s">
        <v>47</v>
      </c>
      <c r="X621" s="117"/>
      <c r="Y621" s="117"/>
      <c r="Z621" s="110"/>
      <c r="AA621" s="110"/>
      <c r="AB621" s="109" t="s">
        <v>940</v>
      </c>
      <c r="AC621" s="110">
        <v>2200</v>
      </c>
      <c r="AD621" s="116" t="s">
        <v>51</v>
      </c>
      <c r="AE621" s="116" t="s">
        <v>51</v>
      </c>
      <c r="AF621" s="116" t="s">
        <v>51</v>
      </c>
      <c r="AG621" s="116"/>
      <c r="AH621" s="117" t="s">
        <v>52</v>
      </c>
      <c r="AI621" s="110">
        <v>1</v>
      </c>
      <c r="AJ621" s="110"/>
      <c r="AK621" s="110"/>
      <c r="AL621" s="110"/>
      <c r="AM621" s="110"/>
      <c r="AN621" s="117" t="s">
        <v>47</v>
      </c>
      <c r="AO621" s="116"/>
      <c r="AP621" s="110" t="s">
        <v>53</v>
      </c>
      <c r="AQ621" s="2">
        <v>0</v>
      </c>
    </row>
    <row r="622" s="21" customFormat="1" spans="1:43">
      <c r="A622" s="107">
        <v>180133</v>
      </c>
      <c r="B622" s="114" t="s">
        <v>941</v>
      </c>
      <c r="C622" s="109"/>
      <c r="D622" s="109"/>
      <c r="E622" s="109"/>
      <c r="F622" s="110">
        <v>0</v>
      </c>
      <c r="G622" s="109">
        <v>0</v>
      </c>
      <c r="H622" s="111" t="s">
        <v>45</v>
      </c>
      <c r="I622" s="109">
        <v>17</v>
      </c>
      <c r="J622" s="109">
        <v>0</v>
      </c>
      <c r="K622" s="116" t="s">
        <v>46</v>
      </c>
      <c r="L622" s="117" t="s">
        <v>47</v>
      </c>
      <c r="M622" s="118">
        <v>1010115</v>
      </c>
      <c r="N622" s="109">
        <v>0</v>
      </c>
      <c r="O622" s="117" t="s">
        <v>48</v>
      </c>
      <c r="P622" s="109">
        <v>1801</v>
      </c>
      <c r="Q622" s="109"/>
      <c r="R622" s="109"/>
      <c r="S622" s="109">
        <v>0</v>
      </c>
      <c r="T622" s="109">
        <v>0</v>
      </c>
      <c r="U622" s="109"/>
      <c r="V622" s="109"/>
      <c r="W622" s="117" t="s">
        <v>47</v>
      </c>
      <c r="X622" s="117"/>
      <c r="Y622" s="117"/>
      <c r="Z622" s="110"/>
      <c r="AA622" s="110"/>
      <c r="AB622" s="109" t="s">
        <v>928</v>
      </c>
      <c r="AC622" s="110">
        <v>2201</v>
      </c>
      <c r="AD622" s="116" t="s">
        <v>51</v>
      </c>
      <c r="AE622" s="116" t="s">
        <v>51</v>
      </c>
      <c r="AF622" s="116" t="s">
        <v>51</v>
      </c>
      <c r="AG622" s="116"/>
      <c r="AH622" s="117" t="s">
        <v>52</v>
      </c>
      <c r="AI622" s="110">
        <v>1</v>
      </c>
      <c r="AJ622" s="110"/>
      <c r="AK622" s="110"/>
      <c r="AL622" s="110"/>
      <c r="AM622" s="110"/>
      <c r="AN622" s="117" t="s">
        <v>47</v>
      </c>
      <c r="AO622" s="116"/>
      <c r="AP622" s="110" t="s">
        <v>53</v>
      </c>
      <c r="AQ622" s="2">
        <v>0</v>
      </c>
    </row>
    <row r="623" s="21" customFormat="1" spans="1:43">
      <c r="A623" s="107">
        <v>180134</v>
      </c>
      <c r="B623" s="114" t="s">
        <v>942</v>
      </c>
      <c r="C623" s="109"/>
      <c r="D623" s="109"/>
      <c r="E623" s="109"/>
      <c r="F623" s="110">
        <v>0</v>
      </c>
      <c r="G623" s="109">
        <v>0</v>
      </c>
      <c r="H623" s="111" t="s">
        <v>45</v>
      </c>
      <c r="I623" s="109">
        <v>17</v>
      </c>
      <c r="J623" s="109">
        <v>0</v>
      </c>
      <c r="K623" s="116" t="s">
        <v>46</v>
      </c>
      <c r="L623" s="117" t="s">
        <v>47</v>
      </c>
      <c r="M623" s="54">
        <v>1010140</v>
      </c>
      <c r="N623" s="109">
        <v>0</v>
      </c>
      <c r="O623" s="117" t="s">
        <v>48</v>
      </c>
      <c r="P623" s="109">
        <v>1801</v>
      </c>
      <c r="Q623" s="109"/>
      <c r="R623" s="109"/>
      <c r="S623" s="109">
        <v>0</v>
      </c>
      <c r="T623" s="109">
        <v>0</v>
      </c>
      <c r="U623" s="109"/>
      <c r="V623" s="109"/>
      <c r="W623" s="117" t="s">
        <v>47</v>
      </c>
      <c r="X623" s="117"/>
      <c r="Y623" s="117"/>
      <c r="Z623" s="110"/>
      <c r="AA623" s="110"/>
      <c r="AB623" s="109" t="s">
        <v>930</v>
      </c>
      <c r="AC623" s="110">
        <v>2202</v>
      </c>
      <c r="AD623" s="116" t="s">
        <v>51</v>
      </c>
      <c r="AE623" s="116" t="s">
        <v>51</v>
      </c>
      <c r="AF623" s="116" t="s">
        <v>51</v>
      </c>
      <c r="AG623" s="116"/>
      <c r="AH623" s="117" t="s">
        <v>52</v>
      </c>
      <c r="AI623" s="110">
        <v>1</v>
      </c>
      <c r="AJ623" s="110"/>
      <c r="AK623" s="110"/>
      <c r="AL623" s="110"/>
      <c r="AM623" s="110"/>
      <c r="AN623" s="117" t="s">
        <v>47</v>
      </c>
      <c r="AO623" s="116"/>
      <c r="AP623" s="110" t="s">
        <v>53</v>
      </c>
      <c r="AQ623" s="2">
        <v>0</v>
      </c>
    </row>
    <row r="624" s="21" customFormat="1" spans="1:43">
      <c r="A624" s="107">
        <v>180135</v>
      </c>
      <c r="B624" s="114" t="s">
        <v>943</v>
      </c>
      <c r="C624" s="109"/>
      <c r="D624" s="109"/>
      <c r="E624" s="109"/>
      <c r="F624" s="110">
        <v>0</v>
      </c>
      <c r="G624" s="109">
        <v>0</v>
      </c>
      <c r="H624" s="111" t="s">
        <v>45</v>
      </c>
      <c r="I624" s="109">
        <v>17</v>
      </c>
      <c r="J624" s="109">
        <v>0</v>
      </c>
      <c r="K624" s="116" t="s">
        <v>46</v>
      </c>
      <c r="L624" s="117" t="s">
        <v>47</v>
      </c>
      <c r="M624" s="118">
        <v>1000106</v>
      </c>
      <c r="N624" s="109">
        <v>0</v>
      </c>
      <c r="O624" s="117" t="s">
        <v>48</v>
      </c>
      <c r="P624" s="109">
        <v>1801</v>
      </c>
      <c r="Q624" s="109"/>
      <c r="R624" s="109"/>
      <c r="S624" s="109">
        <v>0</v>
      </c>
      <c r="T624" s="109">
        <v>0</v>
      </c>
      <c r="U624" s="109"/>
      <c r="V624" s="109"/>
      <c r="W624" s="117" t="s">
        <v>47</v>
      </c>
      <c r="X624" s="117"/>
      <c r="Y624" s="117"/>
      <c r="Z624" s="110"/>
      <c r="AA624" s="110"/>
      <c r="AB624" s="109" t="s">
        <v>944</v>
      </c>
      <c r="AC624" s="110">
        <v>2203</v>
      </c>
      <c r="AD624" s="116" t="s">
        <v>51</v>
      </c>
      <c r="AE624" s="116" t="s">
        <v>51</v>
      </c>
      <c r="AF624" s="116" t="s">
        <v>51</v>
      </c>
      <c r="AG624" s="116"/>
      <c r="AH624" s="117" t="s">
        <v>52</v>
      </c>
      <c r="AI624" s="110">
        <v>1</v>
      </c>
      <c r="AJ624" s="110"/>
      <c r="AK624" s="110"/>
      <c r="AL624" s="110"/>
      <c r="AM624" s="110"/>
      <c r="AN624" s="117" t="s">
        <v>47</v>
      </c>
      <c r="AO624" s="116"/>
      <c r="AP624" s="110" t="s">
        <v>53</v>
      </c>
      <c r="AQ624" s="2">
        <v>0</v>
      </c>
    </row>
    <row r="625" s="21" customFormat="1" spans="1:43">
      <c r="A625" s="107">
        <v>180141</v>
      </c>
      <c r="B625" s="115" t="s">
        <v>945</v>
      </c>
      <c r="C625" s="109"/>
      <c r="D625" s="109"/>
      <c r="E625" s="109"/>
      <c r="F625" s="110">
        <v>0</v>
      </c>
      <c r="G625" s="109">
        <v>0</v>
      </c>
      <c r="H625" s="111" t="s">
        <v>45</v>
      </c>
      <c r="I625" s="109">
        <v>17</v>
      </c>
      <c r="J625" s="109">
        <v>0</v>
      </c>
      <c r="K625" s="116" t="s">
        <v>46</v>
      </c>
      <c r="L625" s="117" t="s">
        <v>47</v>
      </c>
      <c r="M625" s="109" t="s">
        <v>802</v>
      </c>
      <c r="N625" s="109">
        <v>0</v>
      </c>
      <c r="O625" s="117" t="s">
        <v>48</v>
      </c>
      <c r="P625" s="109">
        <v>1801</v>
      </c>
      <c r="Q625" s="109"/>
      <c r="R625" s="109"/>
      <c r="S625" s="109">
        <v>0</v>
      </c>
      <c r="T625" s="109">
        <v>0</v>
      </c>
      <c r="U625" s="109"/>
      <c r="V625" s="109"/>
      <c r="W625" s="117" t="s">
        <v>47</v>
      </c>
      <c r="X625" s="117"/>
      <c r="Y625" s="117"/>
      <c r="Z625" s="110"/>
      <c r="AA625" s="110"/>
      <c r="AB625" s="109" t="s">
        <v>946</v>
      </c>
      <c r="AC625" s="119">
        <v>2141</v>
      </c>
      <c r="AD625" s="116" t="s">
        <v>51</v>
      </c>
      <c r="AE625" s="116" t="s">
        <v>51</v>
      </c>
      <c r="AF625" s="116" t="s">
        <v>51</v>
      </c>
      <c r="AG625" s="116"/>
      <c r="AH625" s="117" t="s">
        <v>52</v>
      </c>
      <c r="AI625" s="110">
        <v>1</v>
      </c>
      <c r="AJ625" s="110"/>
      <c r="AK625" s="110"/>
      <c r="AL625" s="110"/>
      <c r="AM625" s="110"/>
      <c r="AN625" s="117" t="s">
        <v>47</v>
      </c>
      <c r="AO625" s="116"/>
      <c r="AP625" s="110" t="s">
        <v>53</v>
      </c>
      <c r="AQ625" s="2">
        <v>0</v>
      </c>
    </row>
    <row r="626" s="21" customFormat="1" spans="1:43">
      <c r="A626" s="107">
        <v>180142</v>
      </c>
      <c r="B626" s="115" t="s">
        <v>945</v>
      </c>
      <c r="C626" s="109"/>
      <c r="D626" s="109"/>
      <c r="E626" s="109"/>
      <c r="F626" s="110">
        <v>0</v>
      </c>
      <c r="G626" s="109">
        <v>0</v>
      </c>
      <c r="H626" s="111" t="s">
        <v>45</v>
      </c>
      <c r="I626" s="109">
        <v>17</v>
      </c>
      <c r="J626" s="109">
        <v>0</v>
      </c>
      <c r="K626" s="116" t="s">
        <v>46</v>
      </c>
      <c r="L626" s="117" t="s">
        <v>47</v>
      </c>
      <c r="M626" s="109" t="s">
        <v>412</v>
      </c>
      <c r="N626" s="109">
        <v>0</v>
      </c>
      <c r="O626" s="117" t="s">
        <v>48</v>
      </c>
      <c r="P626" s="109">
        <v>1801</v>
      </c>
      <c r="Q626" s="109"/>
      <c r="R626" s="109"/>
      <c r="S626" s="109">
        <v>0</v>
      </c>
      <c r="T626" s="109">
        <v>0</v>
      </c>
      <c r="U626" s="109"/>
      <c r="V626" s="109"/>
      <c r="W626" s="117" t="s">
        <v>47</v>
      </c>
      <c r="X626" s="117"/>
      <c r="Y626" s="117"/>
      <c r="Z626" s="110"/>
      <c r="AA626" s="110"/>
      <c r="AB626" s="109" t="s">
        <v>947</v>
      </c>
      <c r="AC626" s="119">
        <v>2141</v>
      </c>
      <c r="AD626" s="116" t="s">
        <v>51</v>
      </c>
      <c r="AE626" s="116" t="s">
        <v>51</v>
      </c>
      <c r="AF626" s="116" t="s">
        <v>51</v>
      </c>
      <c r="AG626" s="116"/>
      <c r="AH626" s="117" t="s">
        <v>52</v>
      </c>
      <c r="AI626" s="110">
        <v>1</v>
      </c>
      <c r="AJ626" s="110"/>
      <c r="AK626" s="110"/>
      <c r="AL626" s="110"/>
      <c r="AM626" s="110"/>
      <c r="AN626" s="117" t="s">
        <v>47</v>
      </c>
      <c r="AO626" s="116"/>
      <c r="AP626" s="110" t="s">
        <v>53</v>
      </c>
      <c r="AQ626" s="2">
        <v>0</v>
      </c>
    </row>
    <row r="627" s="21" customFormat="1" spans="1:43">
      <c r="A627" s="107">
        <v>180143</v>
      </c>
      <c r="B627" s="115" t="s">
        <v>945</v>
      </c>
      <c r="C627" s="109"/>
      <c r="D627" s="109"/>
      <c r="E627" s="109"/>
      <c r="F627" s="110">
        <v>0</v>
      </c>
      <c r="G627" s="109">
        <v>0</v>
      </c>
      <c r="H627" s="111" t="s">
        <v>45</v>
      </c>
      <c r="I627" s="109">
        <v>17</v>
      </c>
      <c r="J627" s="109">
        <v>0</v>
      </c>
      <c r="K627" s="116" t="s">
        <v>46</v>
      </c>
      <c r="L627" s="117" t="s">
        <v>47</v>
      </c>
      <c r="M627" s="109" t="s">
        <v>773</v>
      </c>
      <c r="N627" s="109">
        <v>0</v>
      </c>
      <c r="O627" s="117" t="s">
        <v>48</v>
      </c>
      <c r="P627" s="109">
        <v>1801</v>
      </c>
      <c r="Q627" s="109"/>
      <c r="R627" s="109"/>
      <c r="S627" s="109">
        <v>0</v>
      </c>
      <c r="T627" s="109">
        <v>0</v>
      </c>
      <c r="U627" s="109"/>
      <c r="V627" s="109"/>
      <c r="W627" s="117" t="s">
        <v>47</v>
      </c>
      <c r="X627" s="117"/>
      <c r="Y627" s="117"/>
      <c r="Z627" s="110"/>
      <c r="AA627" s="110"/>
      <c r="AB627" s="109" t="s">
        <v>948</v>
      </c>
      <c r="AC627" s="119">
        <v>2141</v>
      </c>
      <c r="AD627" s="116" t="s">
        <v>51</v>
      </c>
      <c r="AE627" s="116" t="s">
        <v>51</v>
      </c>
      <c r="AF627" s="116" t="s">
        <v>51</v>
      </c>
      <c r="AG627" s="116"/>
      <c r="AH627" s="117" t="s">
        <v>52</v>
      </c>
      <c r="AI627" s="110">
        <v>1</v>
      </c>
      <c r="AJ627" s="110"/>
      <c r="AK627" s="110"/>
      <c r="AL627" s="110"/>
      <c r="AM627" s="110"/>
      <c r="AN627" s="117" t="s">
        <v>47</v>
      </c>
      <c r="AO627" s="116"/>
      <c r="AP627" s="110" t="s">
        <v>53</v>
      </c>
      <c r="AQ627" s="2">
        <v>0</v>
      </c>
    </row>
    <row r="628" s="21" customFormat="1" spans="1:43">
      <c r="A628" s="107">
        <v>180144</v>
      </c>
      <c r="B628" s="115" t="s">
        <v>949</v>
      </c>
      <c r="C628" s="109"/>
      <c r="D628" s="109"/>
      <c r="E628" s="109"/>
      <c r="F628" s="110">
        <v>0</v>
      </c>
      <c r="G628" s="109">
        <v>0</v>
      </c>
      <c r="H628" s="111" t="s">
        <v>45</v>
      </c>
      <c r="I628" s="109">
        <v>17</v>
      </c>
      <c r="J628" s="109">
        <v>0</v>
      </c>
      <c r="K628" s="116" t="s">
        <v>46</v>
      </c>
      <c r="L628" s="117" t="s">
        <v>47</v>
      </c>
      <c r="M628" s="109" t="s">
        <v>950</v>
      </c>
      <c r="N628" s="109">
        <v>0</v>
      </c>
      <c r="O628" s="117" t="s">
        <v>48</v>
      </c>
      <c r="P628" s="109">
        <v>1801</v>
      </c>
      <c r="Q628" s="109"/>
      <c r="R628" s="109"/>
      <c r="S628" s="109">
        <v>0</v>
      </c>
      <c r="T628" s="109">
        <v>0</v>
      </c>
      <c r="U628" s="109"/>
      <c r="V628" s="109"/>
      <c r="W628" s="117" t="s">
        <v>47</v>
      </c>
      <c r="X628" s="117"/>
      <c r="Y628" s="117"/>
      <c r="Z628" s="110"/>
      <c r="AA628" s="110"/>
      <c r="AB628" s="109" t="s">
        <v>910</v>
      </c>
      <c r="AC628" s="119">
        <v>2141</v>
      </c>
      <c r="AD628" s="116" t="s">
        <v>51</v>
      </c>
      <c r="AE628" s="116" t="s">
        <v>51</v>
      </c>
      <c r="AF628" s="116" t="s">
        <v>51</v>
      </c>
      <c r="AG628" s="116"/>
      <c r="AH628" s="117" t="s">
        <v>52</v>
      </c>
      <c r="AI628" s="110">
        <v>1</v>
      </c>
      <c r="AJ628" s="110"/>
      <c r="AK628" s="110"/>
      <c r="AL628" s="110"/>
      <c r="AM628" s="110"/>
      <c r="AN628" s="117" t="s">
        <v>47</v>
      </c>
      <c r="AO628" s="116"/>
      <c r="AP628" s="110" t="s">
        <v>53</v>
      </c>
      <c r="AQ628" s="2">
        <v>0</v>
      </c>
    </row>
    <row r="629" s="21" customFormat="1" spans="1:43">
      <c r="A629" s="107">
        <v>180145</v>
      </c>
      <c r="B629" s="115" t="s">
        <v>945</v>
      </c>
      <c r="C629" s="109"/>
      <c r="D629" s="109"/>
      <c r="E629" s="109"/>
      <c r="F629" s="110">
        <v>0</v>
      </c>
      <c r="G629" s="109">
        <v>0</v>
      </c>
      <c r="H629" s="111" t="s">
        <v>45</v>
      </c>
      <c r="I629" s="109">
        <v>17</v>
      </c>
      <c r="J629" s="109">
        <v>0</v>
      </c>
      <c r="K629" s="116" t="s">
        <v>46</v>
      </c>
      <c r="L629" s="117" t="s">
        <v>47</v>
      </c>
      <c r="M629" s="109" t="s">
        <v>781</v>
      </c>
      <c r="N629" s="109">
        <v>0</v>
      </c>
      <c r="O629" s="117" t="s">
        <v>48</v>
      </c>
      <c r="P629" s="109">
        <v>1801</v>
      </c>
      <c r="Q629" s="109"/>
      <c r="R629" s="109"/>
      <c r="S629" s="109">
        <v>0</v>
      </c>
      <c r="T629" s="109">
        <v>0</v>
      </c>
      <c r="U629" s="109"/>
      <c r="V629" s="109"/>
      <c r="W629" s="117" t="s">
        <v>47</v>
      </c>
      <c r="X629" s="117"/>
      <c r="Y629" s="117"/>
      <c r="Z629" s="110"/>
      <c r="AA629" s="110"/>
      <c r="AB629" s="109" t="s">
        <v>928</v>
      </c>
      <c r="AC629" s="119">
        <v>2141</v>
      </c>
      <c r="AD629" s="116" t="s">
        <v>51</v>
      </c>
      <c r="AE629" s="116" t="s">
        <v>51</v>
      </c>
      <c r="AF629" s="116" t="s">
        <v>51</v>
      </c>
      <c r="AG629" s="116"/>
      <c r="AH629" s="117" t="s">
        <v>52</v>
      </c>
      <c r="AI629" s="110">
        <v>1</v>
      </c>
      <c r="AJ629" s="110"/>
      <c r="AK629" s="110"/>
      <c r="AL629" s="110"/>
      <c r="AM629" s="110"/>
      <c r="AN629" s="117" t="s">
        <v>47</v>
      </c>
      <c r="AO629" s="116"/>
      <c r="AP629" s="110" t="s">
        <v>53</v>
      </c>
      <c r="AQ629" s="2">
        <v>0</v>
      </c>
    </row>
    <row r="630" s="21" customFormat="1" spans="1:43">
      <c r="A630" s="107">
        <v>180151</v>
      </c>
      <c r="B630" s="115" t="s">
        <v>945</v>
      </c>
      <c r="C630" s="109"/>
      <c r="D630" s="109"/>
      <c r="E630" s="109"/>
      <c r="F630" s="110">
        <v>0</v>
      </c>
      <c r="G630" s="109">
        <v>0</v>
      </c>
      <c r="H630" s="111" t="s">
        <v>45</v>
      </c>
      <c r="I630" s="109">
        <v>17</v>
      </c>
      <c r="J630" s="109">
        <v>0</v>
      </c>
      <c r="K630" s="116" t="s">
        <v>46</v>
      </c>
      <c r="L630" s="117" t="s">
        <v>47</v>
      </c>
      <c r="M630" s="109" t="s">
        <v>365</v>
      </c>
      <c r="N630" s="109">
        <v>0</v>
      </c>
      <c r="O630" s="117" t="s">
        <v>48</v>
      </c>
      <c r="P630" s="109">
        <v>1801</v>
      </c>
      <c r="Q630" s="109"/>
      <c r="R630" s="109"/>
      <c r="S630" s="109">
        <v>0</v>
      </c>
      <c r="T630" s="109">
        <v>0</v>
      </c>
      <c r="U630" s="109"/>
      <c r="V630" s="109"/>
      <c r="W630" s="117" t="s">
        <v>47</v>
      </c>
      <c r="X630" s="117"/>
      <c r="Y630" s="117"/>
      <c r="Z630" s="110"/>
      <c r="AA630" s="110"/>
      <c r="AB630" s="109" t="s">
        <v>930</v>
      </c>
      <c r="AC630" s="119">
        <v>2141</v>
      </c>
      <c r="AD630" s="116" t="s">
        <v>51</v>
      </c>
      <c r="AE630" s="116" t="s">
        <v>51</v>
      </c>
      <c r="AF630" s="116" t="s">
        <v>51</v>
      </c>
      <c r="AG630" s="116"/>
      <c r="AH630" s="117" t="s">
        <v>52</v>
      </c>
      <c r="AI630" s="110">
        <v>1</v>
      </c>
      <c r="AJ630" s="110"/>
      <c r="AK630" s="110"/>
      <c r="AL630" s="110"/>
      <c r="AM630" s="110"/>
      <c r="AN630" s="117" t="s">
        <v>47</v>
      </c>
      <c r="AO630" s="116"/>
      <c r="AP630" s="110" t="s">
        <v>53</v>
      </c>
      <c r="AQ630" s="2">
        <v>0</v>
      </c>
    </row>
    <row r="631" s="21" customFormat="1" spans="1:43">
      <c r="A631" s="107">
        <v>180152</v>
      </c>
      <c r="B631" s="115" t="s">
        <v>945</v>
      </c>
      <c r="C631" s="109"/>
      <c r="D631" s="109"/>
      <c r="E631" s="109"/>
      <c r="F631" s="110">
        <v>0</v>
      </c>
      <c r="G631" s="109">
        <v>0</v>
      </c>
      <c r="H631" s="111" t="s">
        <v>45</v>
      </c>
      <c r="I631" s="109">
        <v>17</v>
      </c>
      <c r="J631" s="109">
        <v>0</v>
      </c>
      <c r="K631" s="116" t="s">
        <v>46</v>
      </c>
      <c r="L631" s="117" t="s">
        <v>47</v>
      </c>
      <c r="M631" s="109" t="s">
        <v>775</v>
      </c>
      <c r="N631" s="109">
        <v>0</v>
      </c>
      <c r="O631" s="117" t="s">
        <v>48</v>
      </c>
      <c r="P631" s="109">
        <v>1801</v>
      </c>
      <c r="Q631" s="109"/>
      <c r="R631" s="109"/>
      <c r="S631" s="109">
        <v>0</v>
      </c>
      <c r="T631" s="109">
        <v>0</v>
      </c>
      <c r="U631" s="109"/>
      <c r="V631" s="109"/>
      <c r="W631" s="117" t="s">
        <v>47</v>
      </c>
      <c r="X631" s="117"/>
      <c r="Y631" s="117"/>
      <c r="Z631" s="110"/>
      <c r="AA631" s="110"/>
      <c r="AB631" s="109" t="s">
        <v>912</v>
      </c>
      <c r="AC631" s="119">
        <v>2141</v>
      </c>
      <c r="AD631" s="116" t="s">
        <v>51</v>
      </c>
      <c r="AE631" s="116" t="s">
        <v>51</v>
      </c>
      <c r="AF631" s="116" t="s">
        <v>51</v>
      </c>
      <c r="AG631" s="116"/>
      <c r="AH631" s="117" t="s">
        <v>52</v>
      </c>
      <c r="AI631" s="110">
        <v>1</v>
      </c>
      <c r="AJ631" s="110"/>
      <c r="AK631" s="110"/>
      <c r="AL631" s="110"/>
      <c r="AM631" s="110"/>
      <c r="AN631" s="117" t="s">
        <v>47</v>
      </c>
      <c r="AO631" s="116"/>
      <c r="AP631" s="110" t="s">
        <v>53</v>
      </c>
      <c r="AQ631" s="2">
        <v>0</v>
      </c>
    </row>
    <row r="632" s="21" customFormat="1" spans="1:43">
      <c r="A632" s="107">
        <v>180153</v>
      </c>
      <c r="B632" s="115" t="s">
        <v>945</v>
      </c>
      <c r="C632" s="109"/>
      <c r="D632" s="109"/>
      <c r="E632" s="109"/>
      <c r="F632" s="110">
        <v>0</v>
      </c>
      <c r="G632" s="109">
        <v>0</v>
      </c>
      <c r="H632" s="111" t="s">
        <v>45</v>
      </c>
      <c r="I632" s="109">
        <v>17</v>
      </c>
      <c r="J632" s="109">
        <v>0</v>
      </c>
      <c r="K632" s="116" t="s">
        <v>46</v>
      </c>
      <c r="L632" s="117" t="s">
        <v>47</v>
      </c>
      <c r="M632" s="109" t="s">
        <v>777</v>
      </c>
      <c r="N632" s="109">
        <v>0</v>
      </c>
      <c r="O632" s="117" t="s">
        <v>48</v>
      </c>
      <c r="P632" s="109">
        <v>1801</v>
      </c>
      <c r="Q632" s="109"/>
      <c r="R632" s="109"/>
      <c r="S632" s="109">
        <v>0</v>
      </c>
      <c r="T632" s="109">
        <v>0</v>
      </c>
      <c r="U632" s="109"/>
      <c r="V632" s="109"/>
      <c r="W632" s="117" t="s">
        <v>47</v>
      </c>
      <c r="X632" s="117"/>
      <c r="Y632" s="117"/>
      <c r="Z632" s="110"/>
      <c r="AA632" s="110"/>
      <c r="AB632" s="109" t="s">
        <v>914</v>
      </c>
      <c r="AC632" s="119">
        <v>2141</v>
      </c>
      <c r="AD632" s="116" t="s">
        <v>51</v>
      </c>
      <c r="AE632" s="116" t="s">
        <v>51</v>
      </c>
      <c r="AF632" s="116" t="s">
        <v>51</v>
      </c>
      <c r="AG632" s="116"/>
      <c r="AH632" s="117" t="s">
        <v>52</v>
      </c>
      <c r="AI632" s="110">
        <v>1</v>
      </c>
      <c r="AJ632" s="110"/>
      <c r="AK632" s="110"/>
      <c r="AL632" s="110"/>
      <c r="AM632" s="110"/>
      <c r="AN632" s="117" t="s">
        <v>47</v>
      </c>
      <c r="AO632" s="116"/>
      <c r="AP632" s="110" t="s">
        <v>53</v>
      </c>
      <c r="AQ632" s="2">
        <v>0</v>
      </c>
    </row>
    <row r="633" s="21" customFormat="1" spans="1:43">
      <c r="A633" s="107">
        <v>180154</v>
      </c>
      <c r="B633" s="115" t="s">
        <v>945</v>
      </c>
      <c r="C633" s="109"/>
      <c r="D633" s="109"/>
      <c r="E633" s="109"/>
      <c r="F633" s="110">
        <v>0</v>
      </c>
      <c r="G633" s="109">
        <v>0</v>
      </c>
      <c r="H633" s="111" t="s">
        <v>45</v>
      </c>
      <c r="I633" s="109">
        <v>17</v>
      </c>
      <c r="J633" s="109">
        <v>0</v>
      </c>
      <c r="K633" s="116" t="s">
        <v>46</v>
      </c>
      <c r="L633" s="117" t="s">
        <v>47</v>
      </c>
      <c r="M633" s="109" t="s">
        <v>779</v>
      </c>
      <c r="N633" s="109">
        <v>0</v>
      </c>
      <c r="O633" s="117" t="s">
        <v>48</v>
      </c>
      <c r="P633" s="109">
        <v>1801</v>
      </c>
      <c r="Q633" s="109"/>
      <c r="R633" s="109"/>
      <c r="S633" s="109">
        <v>0</v>
      </c>
      <c r="T633" s="109">
        <v>0</v>
      </c>
      <c r="U633" s="109"/>
      <c r="V633" s="109"/>
      <c r="W633" s="117" t="s">
        <v>47</v>
      </c>
      <c r="X633" s="117"/>
      <c r="Y633" s="117"/>
      <c r="Z633" s="110"/>
      <c r="AA633" s="110"/>
      <c r="AB633" s="109" t="s">
        <v>916</v>
      </c>
      <c r="AC633" s="119">
        <v>2141</v>
      </c>
      <c r="AD633" s="116" t="s">
        <v>51</v>
      </c>
      <c r="AE633" s="116" t="s">
        <v>51</v>
      </c>
      <c r="AF633" s="116" t="s">
        <v>51</v>
      </c>
      <c r="AG633" s="116"/>
      <c r="AH633" s="117" t="s">
        <v>52</v>
      </c>
      <c r="AI633" s="110">
        <v>1</v>
      </c>
      <c r="AJ633" s="110"/>
      <c r="AK633" s="110"/>
      <c r="AL633" s="110"/>
      <c r="AM633" s="110"/>
      <c r="AN633" s="117" t="s">
        <v>47</v>
      </c>
      <c r="AO633" s="116"/>
      <c r="AP633" s="110" t="s">
        <v>53</v>
      </c>
      <c r="AQ633" s="2">
        <v>0</v>
      </c>
    </row>
    <row r="634" s="21" customFormat="1" spans="1:43">
      <c r="A634" s="107">
        <v>180155</v>
      </c>
      <c r="B634" s="115" t="s">
        <v>945</v>
      </c>
      <c r="C634" s="109"/>
      <c r="D634" s="109"/>
      <c r="E634" s="109"/>
      <c r="F634" s="110">
        <v>0</v>
      </c>
      <c r="G634" s="109">
        <v>0</v>
      </c>
      <c r="H634" s="111" t="s">
        <v>45</v>
      </c>
      <c r="I634" s="109">
        <v>17</v>
      </c>
      <c r="J634" s="109">
        <v>0</v>
      </c>
      <c r="K634" s="116" t="s">
        <v>46</v>
      </c>
      <c r="L634" s="117" t="s">
        <v>47</v>
      </c>
      <c r="M634" s="109" t="s">
        <v>781</v>
      </c>
      <c r="N634" s="109">
        <v>0</v>
      </c>
      <c r="O634" s="117" t="s">
        <v>48</v>
      </c>
      <c r="P634" s="109">
        <v>1801</v>
      </c>
      <c r="Q634" s="109"/>
      <c r="R634" s="109"/>
      <c r="S634" s="109">
        <v>0</v>
      </c>
      <c r="T634" s="109">
        <v>0</v>
      </c>
      <c r="U634" s="109"/>
      <c r="V634" s="109"/>
      <c r="W634" s="117" t="s">
        <v>47</v>
      </c>
      <c r="X634" s="117"/>
      <c r="Y634" s="117"/>
      <c r="Z634" s="110"/>
      <c r="AA634" s="110"/>
      <c r="AB634" s="109" t="s">
        <v>928</v>
      </c>
      <c r="AC634" s="119">
        <v>2141</v>
      </c>
      <c r="AD634" s="116" t="s">
        <v>51</v>
      </c>
      <c r="AE634" s="116" t="s">
        <v>51</v>
      </c>
      <c r="AF634" s="116" t="s">
        <v>51</v>
      </c>
      <c r="AG634" s="116"/>
      <c r="AH634" s="117" t="s">
        <v>52</v>
      </c>
      <c r="AI634" s="110">
        <v>1</v>
      </c>
      <c r="AJ634" s="110"/>
      <c r="AK634" s="110"/>
      <c r="AL634" s="110"/>
      <c r="AM634" s="110"/>
      <c r="AN634" s="117" t="s">
        <v>47</v>
      </c>
      <c r="AO634" s="116"/>
      <c r="AP634" s="110" t="s">
        <v>53</v>
      </c>
      <c r="AQ634" s="2">
        <v>0</v>
      </c>
    </row>
    <row r="635" s="21" customFormat="1" spans="1:43">
      <c r="A635" s="107">
        <v>180161</v>
      </c>
      <c r="B635" s="115" t="s">
        <v>945</v>
      </c>
      <c r="C635" s="109"/>
      <c r="D635" s="109"/>
      <c r="E635" s="109"/>
      <c r="F635" s="110">
        <v>0</v>
      </c>
      <c r="G635" s="109">
        <v>0</v>
      </c>
      <c r="H635" s="111" t="s">
        <v>45</v>
      </c>
      <c r="I635" s="109">
        <v>17</v>
      </c>
      <c r="J635" s="109">
        <v>0</v>
      </c>
      <c r="K635" s="116" t="s">
        <v>46</v>
      </c>
      <c r="L635" s="117" t="s">
        <v>47</v>
      </c>
      <c r="M635" s="109" t="s">
        <v>365</v>
      </c>
      <c r="N635" s="109">
        <v>0</v>
      </c>
      <c r="O635" s="117" t="s">
        <v>48</v>
      </c>
      <c r="P635" s="109">
        <v>1801</v>
      </c>
      <c r="Q635" s="109"/>
      <c r="R635" s="109"/>
      <c r="S635" s="109">
        <v>0</v>
      </c>
      <c r="T635" s="109">
        <v>0</v>
      </c>
      <c r="U635" s="109"/>
      <c r="V635" s="109"/>
      <c r="W635" s="117" t="s">
        <v>47</v>
      </c>
      <c r="X635" s="117"/>
      <c r="Y635" s="117"/>
      <c r="Z635" s="110"/>
      <c r="AA635" s="110"/>
      <c r="AB635" s="109" t="s">
        <v>930</v>
      </c>
      <c r="AC635" s="119">
        <v>2141</v>
      </c>
      <c r="AD635" s="116" t="s">
        <v>51</v>
      </c>
      <c r="AE635" s="116" t="s">
        <v>51</v>
      </c>
      <c r="AF635" s="116" t="s">
        <v>51</v>
      </c>
      <c r="AG635" s="116"/>
      <c r="AH635" s="117" t="s">
        <v>52</v>
      </c>
      <c r="AI635" s="110">
        <v>1</v>
      </c>
      <c r="AJ635" s="110"/>
      <c r="AK635" s="110"/>
      <c r="AL635" s="110"/>
      <c r="AM635" s="110"/>
      <c r="AN635" s="117" t="s">
        <v>47</v>
      </c>
      <c r="AO635" s="116"/>
      <c r="AP635" s="110" t="s">
        <v>53</v>
      </c>
      <c r="AQ635" s="2">
        <v>0</v>
      </c>
    </row>
    <row r="636" s="21" customFormat="1" spans="1:43">
      <c r="A636" s="107">
        <v>180162</v>
      </c>
      <c r="B636" s="115" t="s">
        <v>945</v>
      </c>
      <c r="C636" s="109"/>
      <c r="D636" s="109"/>
      <c r="E636" s="109"/>
      <c r="F636" s="110">
        <v>0</v>
      </c>
      <c r="G636" s="109">
        <v>0</v>
      </c>
      <c r="H636" s="111" t="s">
        <v>45</v>
      </c>
      <c r="I636" s="109">
        <v>17</v>
      </c>
      <c r="J636" s="109">
        <v>0</v>
      </c>
      <c r="K636" s="116" t="s">
        <v>46</v>
      </c>
      <c r="L636" s="117" t="s">
        <v>47</v>
      </c>
      <c r="M636" s="109" t="s">
        <v>781</v>
      </c>
      <c r="N636" s="109">
        <v>0</v>
      </c>
      <c r="O636" s="117" t="s">
        <v>48</v>
      </c>
      <c r="P636" s="109">
        <v>1801</v>
      </c>
      <c r="Q636" s="109"/>
      <c r="R636" s="109"/>
      <c r="S636" s="109">
        <v>0</v>
      </c>
      <c r="T636" s="109">
        <v>0</v>
      </c>
      <c r="U636" s="109"/>
      <c r="V636" s="109"/>
      <c r="W636" s="117" t="s">
        <v>47</v>
      </c>
      <c r="X636" s="117"/>
      <c r="Y636" s="117"/>
      <c r="Z636" s="110"/>
      <c r="AA636" s="110"/>
      <c r="AB636" s="109" t="s">
        <v>928</v>
      </c>
      <c r="AC636" s="119">
        <v>2141</v>
      </c>
      <c r="AD636" s="116" t="s">
        <v>51</v>
      </c>
      <c r="AE636" s="116" t="s">
        <v>51</v>
      </c>
      <c r="AF636" s="116" t="s">
        <v>51</v>
      </c>
      <c r="AG636" s="116"/>
      <c r="AH636" s="117" t="s">
        <v>52</v>
      </c>
      <c r="AI636" s="110">
        <v>1</v>
      </c>
      <c r="AJ636" s="110"/>
      <c r="AK636" s="110"/>
      <c r="AL636" s="110"/>
      <c r="AM636" s="110"/>
      <c r="AN636" s="117" t="s">
        <v>47</v>
      </c>
      <c r="AO636" s="116"/>
      <c r="AP636" s="110" t="s">
        <v>53</v>
      </c>
      <c r="AQ636" s="2">
        <v>0</v>
      </c>
    </row>
    <row r="637" s="21" customFormat="1" spans="1:43">
      <c r="A637" s="107">
        <v>180163</v>
      </c>
      <c r="B637" s="115" t="s">
        <v>945</v>
      </c>
      <c r="C637" s="109"/>
      <c r="D637" s="109"/>
      <c r="E637" s="109"/>
      <c r="F637" s="110">
        <v>0</v>
      </c>
      <c r="G637" s="109">
        <v>0</v>
      </c>
      <c r="H637" s="111" t="s">
        <v>45</v>
      </c>
      <c r="I637" s="109">
        <v>17</v>
      </c>
      <c r="J637" s="109">
        <v>0</v>
      </c>
      <c r="K637" s="116" t="s">
        <v>46</v>
      </c>
      <c r="L637" s="117" t="s">
        <v>47</v>
      </c>
      <c r="M637" s="109" t="s">
        <v>365</v>
      </c>
      <c r="N637" s="109">
        <v>0</v>
      </c>
      <c r="O637" s="117" t="s">
        <v>48</v>
      </c>
      <c r="P637" s="109">
        <v>1801</v>
      </c>
      <c r="Q637" s="109"/>
      <c r="R637" s="109"/>
      <c r="S637" s="109">
        <v>0</v>
      </c>
      <c r="T637" s="109">
        <v>0</v>
      </c>
      <c r="U637" s="109"/>
      <c r="V637" s="109"/>
      <c r="W637" s="117" t="s">
        <v>47</v>
      </c>
      <c r="X637" s="117"/>
      <c r="Y637" s="117"/>
      <c r="Z637" s="110"/>
      <c r="AA637" s="110"/>
      <c r="AB637" s="109" t="s">
        <v>930</v>
      </c>
      <c r="AC637" s="119">
        <v>2141</v>
      </c>
      <c r="AD637" s="116" t="s">
        <v>51</v>
      </c>
      <c r="AE637" s="116" t="s">
        <v>51</v>
      </c>
      <c r="AF637" s="116" t="s">
        <v>51</v>
      </c>
      <c r="AG637" s="116"/>
      <c r="AH637" s="117" t="s">
        <v>52</v>
      </c>
      <c r="AI637" s="110">
        <v>1</v>
      </c>
      <c r="AJ637" s="110"/>
      <c r="AK637" s="110"/>
      <c r="AL637" s="110"/>
      <c r="AM637" s="110"/>
      <c r="AN637" s="117" t="s">
        <v>47</v>
      </c>
      <c r="AO637" s="116"/>
      <c r="AP637" s="110" t="s">
        <v>53</v>
      </c>
      <c r="AQ637" s="2">
        <v>0</v>
      </c>
    </row>
    <row r="638" s="21" customFormat="1" spans="1:43">
      <c r="A638" s="107">
        <v>180164</v>
      </c>
      <c r="B638" s="115" t="s">
        <v>945</v>
      </c>
      <c r="C638" s="109"/>
      <c r="D638" s="109"/>
      <c r="E638" s="109"/>
      <c r="F638" s="110">
        <v>0</v>
      </c>
      <c r="G638" s="109">
        <v>0</v>
      </c>
      <c r="H638" s="111" t="s">
        <v>45</v>
      </c>
      <c r="I638" s="109">
        <v>17</v>
      </c>
      <c r="J638" s="109">
        <v>0</v>
      </c>
      <c r="K638" s="116" t="s">
        <v>46</v>
      </c>
      <c r="L638" s="117" t="s">
        <v>47</v>
      </c>
      <c r="M638" s="109" t="s">
        <v>280</v>
      </c>
      <c r="N638" s="109">
        <v>0</v>
      </c>
      <c r="O638" s="117" t="s">
        <v>48</v>
      </c>
      <c r="P638" s="109">
        <v>1801</v>
      </c>
      <c r="Q638" s="109"/>
      <c r="R638" s="109"/>
      <c r="S638" s="109">
        <v>0</v>
      </c>
      <c r="T638" s="109">
        <v>0</v>
      </c>
      <c r="U638" s="109"/>
      <c r="V638" s="109"/>
      <c r="W638" s="117" t="s">
        <v>47</v>
      </c>
      <c r="X638" s="117"/>
      <c r="Y638" s="117"/>
      <c r="Z638" s="110"/>
      <c r="AA638" s="110"/>
      <c r="AB638" s="109" t="s">
        <v>918</v>
      </c>
      <c r="AC638" s="119">
        <v>2141</v>
      </c>
      <c r="AD638" s="116" t="s">
        <v>51</v>
      </c>
      <c r="AE638" s="116" t="s">
        <v>51</v>
      </c>
      <c r="AF638" s="116" t="s">
        <v>51</v>
      </c>
      <c r="AG638" s="116"/>
      <c r="AH638" s="117" t="s">
        <v>52</v>
      </c>
      <c r="AI638" s="110">
        <v>1</v>
      </c>
      <c r="AJ638" s="110"/>
      <c r="AK638" s="110"/>
      <c r="AL638" s="110"/>
      <c r="AM638" s="110"/>
      <c r="AN638" s="117" t="s">
        <v>47</v>
      </c>
      <c r="AO638" s="116"/>
      <c r="AP638" s="110" t="s">
        <v>53</v>
      </c>
      <c r="AQ638" s="2">
        <v>0</v>
      </c>
    </row>
    <row r="639" s="21" customFormat="1" spans="1:43">
      <c r="A639" s="107">
        <v>180165</v>
      </c>
      <c r="B639" s="115" t="s">
        <v>945</v>
      </c>
      <c r="C639" s="109"/>
      <c r="D639" s="109"/>
      <c r="E639" s="109"/>
      <c r="F639" s="110">
        <v>0</v>
      </c>
      <c r="G639" s="109">
        <v>0</v>
      </c>
      <c r="H639" s="111" t="s">
        <v>45</v>
      </c>
      <c r="I639" s="109">
        <v>17</v>
      </c>
      <c r="J639" s="109">
        <v>0</v>
      </c>
      <c r="K639" s="116" t="s">
        <v>46</v>
      </c>
      <c r="L639" s="117" t="s">
        <v>47</v>
      </c>
      <c r="M639" s="109" t="s">
        <v>785</v>
      </c>
      <c r="N639" s="109">
        <v>0</v>
      </c>
      <c r="O639" s="117" t="s">
        <v>48</v>
      </c>
      <c r="P639" s="109">
        <v>1801</v>
      </c>
      <c r="Q639" s="109"/>
      <c r="R639" s="109"/>
      <c r="S639" s="109">
        <v>0</v>
      </c>
      <c r="T639" s="109">
        <v>0</v>
      </c>
      <c r="U639" s="109"/>
      <c r="V639" s="109"/>
      <c r="W639" s="117" t="s">
        <v>47</v>
      </c>
      <c r="X639" s="117"/>
      <c r="Y639" s="117"/>
      <c r="Z639" s="110"/>
      <c r="AA639" s="110"/>
      <c r="AB639" s="109" t="s">
        <v>920</v>
      </c>
      <c r="AC639" s="119">
        <v>2141</v>
      </c>
      <c r="AD639" s="116" t="s">
        <v>51</v>
      </c>
      <c r="AE639" s="116" t="s">
        <v>51</v>
      </c>
      <c r="AF639" s="116" t="s">
        <v>51</v>
      </c>
      <c r="AG639" s="116"/>
      <c r="AH639" s="117" t="s">
        <v>52</v>
      </c>
      <c r="AI639" s="110">
        <v>1</v>
      </c>
      <c r="AJ639" s="110"/>
      <c r="AK639" s="110"/>
      <c r="AL639" s="110"/>
      <c r="AM639" s="110"/>
      <c r="AN639" s="117" t="s">
        <v>47</v>
      </c>
      <c r="AO639" s="116"/>
      <c r="AP639" s="110" t="s">
        <v>53</v>
      </c>
      <c r="AQ639" s="2">
        <v>0</v>
      </c>
    </row>
    <row r="640" s="21" customFormat="1" spans="1:43">
      <c r="A640" s="107">
        <v>180171</v>
      </c>
      <c r="B640" s="115" t="s">
        <v>945</v>
      </c>
      <c r="C640" s="109"/>
      <c r="D640" s="109"/>
      <c r="E640" s="109"/>
      <c r="F640" s="110">
        <v>0</v>
      </c>
      <c r="G640" s="109">
        <v>0</v>
      </c>
      <c r="H640" s="111" t="s">
        <v>45</v>
      </c>
      <c r="I640" s="109">
        <v>17</v>
      </c>
      <c r="J640" s="109">
        <v>0</v>
      </c>
      <c r="K640" s="116" t="s">
        <v>46</v>
      </c>
      <c r="L640" s="117" t="s">
        <v>47</v>
      </c>
      <c r="M640" s="109" t="s">
        <v>787</v>
      </c>
      <c r="N640" s="109">
        <v>0</v>
      </c>
      <c r="O640" s="117" t="s">
        <v>48</v>
      </c>
      <c r="P640" s="109">
        <v>1801</v>
      </c>
      <c r="Q640" s="109"/>
      <c r="R640" s="109"/>
      <c r="S640" s="109">
        <v>0</v>
      </c>
      <c r="T640" s="109">
        <v>0</v>
      </c>
      <c r="U640" s="109"/>
      <c r="V640" s="109"/>
      <c r="W640" s="117" t="s">
        <v>47</v>
      </c>
      <c r="X640" s="117"/>
      <c r="Y640" s="117"/>
      <c r="Z640" s="110"/>
      <c r="AA640" s="110"/>
      <c r="AB640" s="109" t="s">
        <v>922</v>
      </c>
      <c r="AC640" s="119">
        <v>2141</v>
      </c>
      <c r="AD640" s="116" t="s">
        <v>51</v>
      </c>
      <c r="AE640" s="116" t="s">
        <v>51</v>
      </c>
      <c r="AF640" s="116" t="s">
        <v>51</v>
      </c>
      <c r="AG640" s="116"/>
      <c r="AH640" s="117" t="s">
        <v>52</v>
      </c>
      <c r="AI640" s="110">
        <v>1</v>
      </c>
      <c r="AJ640" s="110"/>
      <c r="AK640" s="110"/>
      <c r="AL640" s="110"/>
      <c r="AM640" s="110"/>
      <c r="AN640" s="117" t="s">
        <v>47</v>
      </c>
      <c r="AO640" s="116"/>
      <c r="AP640" s="110" t="s">
        <v>53</v>
      </c>
      <c r="AQ640" s="2">
        <v>0</v>
      </c>
    </row>
    <row r="641" s="21" customFormat="1" spans="1:43">
      <c r="A641" s="107">
        <v>180172</v>
      </c>
      <c r="B641" s="115" t="s">
        <v>945</v>
      </c>
      <c r="C641" s="109"/>
      <c r="D641" s="109"/>
      <c r="E641" s="109"/>
      <c r="F641" s="110">
        <v>0</v>
      </c>
      <c r="G641" s="109">
        <v>0</v>
      </c>
      <c r="H641" s="111" t="s">
        <v>45</v>
      </c>
      <c r="I641" s="109">
        <v>17</v>
      </c>
      <c r="J641" s="109">
        <v>0</v>
      </c>
      <c r="K641" s="116" t="s">
        <v>46</v>
      </c>
      <c r="L641" s="117" t="s">
        <v>47</v>
      </c>
      <c r="M641" s="109" t="s">
        <v>789</v>
      </c>
      <c r="N641" s="109">
        <v>0</v>
      </c>
      <c r="O641" s="117" t="s">
        <v>48</v>
      </c>
      <c r="P641" s="109">
        <v>1801</v>
      </c>
      <c r="Q641" s="109"/>
      <c r="R641" s="109"/>
      <c r="S641" s="109">
        <v>0</v>
      </c>
      <c r="T641" s="109">
        <v>0</v>
      </c>
      <c r="U641" s="109"/>
      <c r="V641" s="109"/>
      <c r="W641" s="117" t="s">
        <v>47</v>
      </c>
      <c r="X641" s="117"/>
      <c r="Y641" s="117"/>
      <c r="Z641" s="110"/>
      <c r="AA641" s="110"/>
      <c r="AB641" s="109" t="s">
        <v>924</v>
      </c>
      <c r="AC641" s="119">
        <v>2141</v>
      </c>
      <c r="AD641" s="116" t="s">
        <v>51</v>
      </c>
      <c r="AE641" s="116" t="s">
        <v>51</v>
      </c>
      <c r="AF641" s="116" t="s">
        <v>51</v>
      </c>
      <c r="AG641" s="116"/>
      <c r="AH641" s="117" t="s">
        <v>52</v>
      </c>
      <c r="AI641" s="110">
        <v>1</v>
      </c>
      <c r="AJ641" s="110"/>
      <c r="AK641" s="110"/>
      <c r="AL641" s="110"/>
      <c r="AM641" s="110"/>
      <c r="AN641" s="117" t="s">
        <v>47</v>
      </c>
      <c r="AO641" s="116"/>
      <c r="AP641" s="110" t="s">
        <v>53</v>
      </c>
      <c r="AQ641" s="2">
        <v>0</v>
      </c>
    </row>
    <row r="642" s="21" customFormat="1" spans="1:43">
      <c r="A642" s="107">
        <v>180173</v>
      </c>
      <c r="B642" s="115" t="s">
        <v>945</v>
      </c>
      <c r="C642" s="109"/>
      <c r="D642" s="109"/>
      <c r="E642" s="109"/>
      <c r="F642" s="110">
        <v>0</v>
      </c>
      <c r="G642" s="109">
        <v>0</v>
      </c>
      <c r="H642" s="111" t="s">
        <v>45</v>
      </c>
      <c r="I642" s="109">
        <v>17</v>
      </c>
      <c r="J642" s="109">
        <v>0</v>
      </c>
      <c r="K642" s="116" t="s">
        <v>46</v>
      </c>
      <c r="L642" s="117" t="s">
        <v>47</v>
      </c>
      <c r="M642" s="109" t="s">
        <v>378</v>
      </c>
      <c r="N642" s="109">
        <v>0</v>
      </c>
      <c r="O642" s="117" t="s">
        <v>48</v>
      </c>
      <c r="P642" s="109">
        <v>1801</v>
      </c>
      <c r="Q642" s="109"/>
      <c r="R642" s="109"/>
      <c r="S642" s="109">
        <v>0</v>
      </c>
      <c r="T642" s="109">
        <v>0</v>
      </c>
      <c r="U642" s="109"/>
      <c r="V642" s="109"/>
      <c r="W642" s="117" t="s">
        <v>47</v>
      </c>
      <c r="X642" s="117"/>
      <c r="Y642" s="117"/>
      <c r="Z642" s="110"/>
      <c r="AA642" s="110"/>
      <c r="AB642" s="109" t="s">
        <v>926</v>
      </c>
      <c r="AC642" s="119">
        <v>2141</v>
      </c>
      <c r="AD642" s="116" t="s">
        <v>51</v>
      </c>
      <c r="AE642" s="116" t="s">
        <v>51</v>
      </c>
      <c r="AF642" s="116" t="s">
        <v>51</v>
      </c>
      <c r="AG642" s="116"/>
      <c r="AH642" s="117" t="s">
        <v>52</v>
      </c>
      <c r="AI642" s="110">
        <v>1</v>
      </c>
      <c r="AJ642" s="110"/>
      <c r="AK642" s="110"/>
      <c r="AL642" s="110"/>
      <c r="AM642" s="110"/>
      <c r="AN642" s="117" t="s">
        <v>47</v>
      </c>
      <c r="AO642" s="116"/>
      <c r="AP642" s="110" t="s">
        <v>53</v>
      </c>
      <c r="AQ642" s="2">
        <v>0</v>
      </c>
    </row>
    <row r="643" s="21" customFormat="1" spans="1:43">
      <c r="A643" s="107">
        <v>180174</v>
      </c>
      <c r="B643" s="115" t="s">
        <v>945</v>
      </c>
      <c r="C643" s="109"/>
      <c r="D643" s="109"/>
      <c r="E643" s="109"/>
      <c r="F643" s="110">
        <v>0</v>
      </c>
      <c r="G643" s="109">
        <v>0</v>
      </c>
      <c r="H643" s="111" t="s">
        <v>45</v>
      </c>
      <c r="I643" s="109">
        <v>17</v>
      </c>
      <c r="J643" s="109">
        <v>0</v>
      </c>
      <c r="K643" s="116" t="s">
        <v>46</v>
      </c>
      <c r="L643" s="117" t="s">
        <v>47</v>
      </c>
      <c r="M643" s="109" t="s">
        <v>781</v>
      </c>
      <c r="N643" s="109">
        <v>0</v>
      </c>
      <c r="O643" s="117" t="s">
        <v>48</v>
      </c>
      <c r="P643" s="109">
        <v>1801</v>
      </c>
      <c r="Q643" s="109"/>
      <c r="R643" s="109"/>
      <c r="S643" s="109">
        <v>0</v>
      </c>
      <c r="T643" s="109">
        <v>0</v>
      </c>
      <c r="U643" s="109"/>
      <c r="V643" s="109"/>
      <c r="W643" s="117" t="s">
        <v>47</v>
      </c>
      <c r="X643" s="117"/>
      <c r="Y643" s="117"/>
      <c r="Z643" s="110"/>
      <c r="AA643" s="110"/>
      <c r="AB643" s="109" t="s">
        <v>928</v>
      </c>
      <c r="AC643" s="119">
        <v>2141</v>
      </c>
      <c r="AD643" s="116" t="s">
        <v>51</v>
      </c>
      <c r="AE643" s="116" t="s">
        <v>51</v>
      </c>
      <c r="AF643" s="116" t="s">
        <v>51</v>
      </c>
      <c r="AG643" s="116"/>
      <c r="AH643" s="117" t="s">
        <v>52</v>
      </c>
      <c r="AI643" s="110">
        <v>1</v>
      </c>
      <c r="AJ643" s="110"/>
      <c r="AK643" s="110"/>
      <c r="AL643" s="110"/>
      <c r="AM643" s="110"/>
      <c r="AN643" s="117" t="s">
        <v>47</v>
      </c>
      <c r="AO643" s="116"/>
      <c r="AP643" s="110" t="s">
        <v>53</v>
      </c>
      <c r="AQ643" s="2">
        <v>0</v>
      </c>
    </row>
    <row r="644" s="21" customFormat="1" spans="1:43">
      <c r="A644" s="107">
        <v>180175</v>
      </c>
      <c r="B644" s="115" t="s">
        <v>945</v>
      </c>
      <c r="C644" s="109"/>
      <c r="D644" s="109"/>
      <c r="E644" s="109"/>
      <c r="F644" s="110">
        <v>0</v>
      </c>
      <c r="G644" s="109">
        <v>0</v>
      </c>
      <c r="H644" s="111" t="s">
        <v>45</v>
      </c>
      <c r="I644" s="109">
        <v>17</v>
      </c>
      <c r="J644" s="109">
        <v>0</v>
      </c>
      <c r="K644" s="116" t="s">
        <v>46</v>
      </c>
      <c r="L644" s="117" t="s">
        <v>47</v>
      </c>
      <c r="M644" s="109" t="s">
        <v>365</v>
      </c>
      <c r="N644" s="109">
        <v>0</v>
      </c>
      <c r="O644" s="117" t="s">
        <v>48</v>
      </c>
      <c r="P644" s="109">
        <v>1801</v>
      </c>
      <c r="Q644" s="109"/>
      <c r="R644" s="109"/>
      <c r="S644" s="109">
        <v>0</v>
      </c>
      <c r="T644" s="109">
        <v>0</v>
      </c>
      <c r="U644" s="109"/>
      <c r="V644" s="109"/>
      <c r="W644" s="117" t="s">
        <v>47</v>
      </c>
      <c r="X644" s="117"/>
      <c r="Y644" s="117"/>
      <c r="Z644" s="110"/>
      <c r="AA644" s="110"/>
      <c r="AB644" s="109" t="s">
        <v>930</v>
      </c>
      <c r="AC644" s="119">
        <v>2141</v>
      </c>
      <c r="AD644" s="116" t="s">
        <v>51</v>
      </c>
      <c r="AE644" s="116" t="s">
        <v>51</v>
      </c>
      <c r="AF644" s="116" t="s">
        <v>51</v>
      </c>
      <c r="AG644" s="116"/>
      <c r="AH644" s="117" t="s">
        <v>52</v>
      </c>
      <c r="AI644" s="110">
        <v>1</v>
      </c>
      <c r="AJ644" s="110"/>
      <c r="AK644" s="110"/>
      <c r="AL644" s="110"/>
      <c r="AM644" s="110"/>
      <c r="AN644" s="117" t="s">
        <v>47</v>
      </c>
      <c r="AO644" s="116"/>
      <c r="AP644" s="110" t="s">
        <v>53</v>
      </c>
      <c r="AQ644" s="2">
        <v>0</v>
      </c>
    </row>
    <row r="645" s="21" customFormat="1" spans="1:43">
      <c r="A645" s="107">
        <v>180181</v>
      </c>
      <c r="B645" s="115" t="s">
        <v>945</v>
      </c>
      <c r="C645" s="109"/>
      <c r="D645" s="109"/>
      <c r="E645" s="109"/>
      <c r="F645" s="110">
        <v>0</v>
      </c>
      <c r="G645" s="109">
        <v>0</v>
      </c>
      <c r="H645" s="111" t="s">
        <v>45</v>
      </c>
      <c r="I645" s="109">
        <v>17</v>
      </c>
      <c r="J645" s="109">
        <v>0</v>
      </c>
      <c r="K645" s="116" t="s">
        <v>46</v>
      </c>
      <c r="L645" s="117" t="s">
        <v>47</v>
      </c>
      <c r="M645" s="109" t="s">
        <v>773</v>
      </c>
      <c r="N645" s="109">
        <v>0</v>
      </c>
      <c r="O645" s="117" t="s">
        <v>48</v>
      </c>
      <c r="P645" s="109">
        <v>1801</v>
      </c>
      <c r="Q645" s="109"/>
      <c r="R645" s="109"/>
      <c r="S645" s="109">
        <v>0</v>
      </c>
      <c r="T645" s="109">
        <v>0</v>
      </c>
      <c r="U645" s="109"/>
      <c r="V645" s="109"/>
      <c r="W645" s="117" t="s">
        <v>47</v>
      </c>
      <c r="X645" s="117"/>
      <c r="Y645" s="117"/>
      <c r="Z645" s="110"/>
      <c r="AA645" s="110"/>
      <c r="AB645" s="109" t="s">
        <v>932</v>
      </c>
      <c r="AC645" s="119">
        <v>2141</v>
      </c>
      <c r="AD645" s="116" t="s">
        <v>51</v>
      </c>
      <c r="AE645" s="116" t="s">
        <v>51</v>
      </c>
      <c r="AF645" s="116" t="s">
        <v>51</v>
      </c>
      <c r="AG645" s="116"/>
      <c r="AH645" s="117" t="s">
        <v>52</v>
      </c>
      <c r="AI645" s="110">
        <v>1</v>
      </c>
      <c r="AJ645" s="110"/>
      <c r="AK645" s="110"/>
      <c r="AL645" s="110"/>
      <c r="AM645" s="110"/>
      <c r="AN645" s="117" t="s">
        <v>47</v>
      </c>
      <c r="AO645" s="116"/>
      <c r="AP645" s="110" t="s">
        <v>53</v>
      </c>
      <c r="AQ645" s="2">
        <v>0</v>
      </c>
    </row>
    <row r="646" s="21" customFormat="1" spans="1:43">
      <c r="A646" s="107">
        <v>180182</v>
      </c>
      <c r="B646" s="115" t="s">
        <v>949</v>
      </c>
      <c r="C646" s="109"/>
      <c r="D646" s="109"/>
      <c r="E646" s="109"/>
      <c r="F646" s="110">
        <v>0</v>
      </c>
      <c r="G646" s="109">
        <v>0</v>
      </c>
      <c r="H646" s="111" t="s">
        <v>45</v>
      </c>
      <c r="I646" s="109">
        <v>17</v>
      </c>
      <c r="J646" s="109">
        <v>0</v>
      </c>
      <c r="K646" s="116" t="s">
        <v>46</v>
      </c>
      <c r="L646" s="117" t="s">
        <v>47</v>
      </c>
      <c r="M646" s="109" t="s">
        <v>950</v>
      </c>
      <c r="N646" s="109">
        <v>0</v>
      </c>
      <c r="O646" s="117" t="s">
        <v>48</v>
      </c>
      <c r="P646" s="109">
        <v>1801</v>
      </c>
      <c r="Q646" s="109"/>
      <c r="R646" s="109"/>
      <c r="S646" s="109">
        <v>0</v>
      </c>
      <c r="T646" s="109">
        <v>0</v>
      </c>
      <c r="U646" s="109"/>
      <c r="V646" s="109"/>
      <c r="W646" s="117" t="s">
        <v>47</v>
      </c>
      <c r="X646" s="117"/>
      <c r="Y646" s="117"/>
      <c r="Z646" s="110"/>
      <c r="AA646" s="110"/>
      <c r="AB646" s="109" t="s">
        <v>934</v>
      </c>
      <c r="AC646" s="119">
        <v>2141</v>
      </c>
      <c r="AD646" s="116" t="s">
        <v>51</v>
      </c>
      <c r="AE646" s="116" t="s">
        <v>51</v>
      </c>
      <c r="AF646" s="116" t="s">
        <v>51</v>
      </c>
      <c r="AG646" s="116"/>
      <c r="AH646" s="117" t="s">
        <v>52</v>
      </c>
      <c r="AI646" s="110">
        <v>1</v>
      </c>
      <c r="AJ646" s="110"/>
      <c r="AK646" s="110"/>
      <c r="AL646" s="110"/>
      <c r="AM646" s="110"/>
      <c r="AN646" s="117" t="s">
        <v>47</v>
      </c>
      <c r="AO646" s="116"/>
      <c r="AP646" s="110" t="s">
        <v>53</v>
      </c>
      <c r="AQ646" s="2">
        <v>0</v>
      </c>
    </row>
    <row r="647" s="21" customFormat="1" spans="1:43">
      <c r="A647" s="107">
        <v>180183</v>
      </c>
      <c r="B647" s="115" t="s">
        <v>945</v>
      </c>
      <c r="C647" s="109"/>
      <c r="D647" s="109"/>
      <c r="E647" s="109"/>
      <c r="F647" s="110">
        <v>0</v>
      </c>
      <c r="G647" s="109">
        <v>0</v>
      </c>
      <c r="H647" s="111" t="s">
        <v>45</v>
      </c>
      <c r="I647" s="109">
        <v>17</v>
      </c>
      <c r="J647" s="109">
        <v>0</v>
      </c>
      <c r="K647" s="116" t="s">
        <v>46</v>
      </c>
      <c r="L647" s="117" t="s">
        <v>47</v>
      </c>
      <c r="M647" s="109" t="s">
        <v>775</v>
      </c>
      <c r="N647" s="109">
        <v>0</v>
      </c>
      <c r="O647" s="117" t="s">
        <v>48</v>
      </c>
      <c r="P647" s="109">
        <v>1801</v>
      </c>
      <c r="Q647" s="109"/>
      <c r="R647" s="109"/>
      <c r="S647" s="109">
        <v>0</v>
      </c>
      <c r="T647" s="109">
        <v>0</v>
      </c>
      <c r="U647" s="109"/>
      <c r="V647" s="109"/>
      <c r="W647" s="117" t="s">
        <v>47</v>
      </c>
      <c r="X647" s="117"/>
      <c r="Y647" s="117"/>
      <c r="Z647" s="110"/>
      <c r="AA647" s="110"/>
      <c r="AB647" s="109" t="s">
        <v>936</v>
      </c>
      <c r="AC647" s="119">
        <v>2141</v>
      </c>
      <c r="AD647" s="116" t="s">
        <v>51</v>
      </c>
      <c r="AE647" s="116" t="s">
        <v>51</v>
      </c>
      <c r="AF647" s="116" t="s">
        <v>51</v>
      </c>
      <c r="AG647" s="116"/>
      <c r="AH647" s="117" t="s">
        <v>52</v>
      </c>
      <c r="AI647" s="110">
        <v>1</v>
      </c>
      <c r="AJ647" s="110"/>
      <c r="AK647" s="110"/>
      <c r="AL647" s="110"/>
      <c r="AM647" s="110"/>
      <c r="AN647" s="117" t="s">
        <v>47</v>
      </c>
      <c r="AO647" s="116"/>
      <c r="AP647" s="110" t="s">
        <v>53</v>
      </c>
      <c r="AQ647" s="2">
        <v>0</v>
      </c>
    </row>
    <row r="648" s="21" customFormat="1" spans="1:43">
      <c r="A648" s="107">
        <v>180184</v>
      </c>
      <c r="B648" s="115" t="s">
        <v>945</v>
      </c>
      <c r="C648" s="109"/>
      <c r="D648" s="109"/>
      <c r="E648" s="109"/>
      <c r="F648" s="110">
        <v>0</v>
      </c>
      <c r="G648" s="109">
        <v>0</v>
      </c>
      <c r="H648" s="111" t="s">
        <v>45</v>
      </c>
      <c r="I648" s="109">
        <v>17</v>
      </c>
      <c r="J648" s="109">
        <v>0</v>
      </c>
      <c r="K648" s="116" t="s">
        <v>46</v>
      </c>
      <c r="L648" s="117" t="s">
        <v>47</v>
      </c>
      <c r="M648" s="109" t="s">
        <v>777</v>
      </c>
      <c r="N648" s="109">
        <v>0</v>
      </c>
      <c r="O648" s="117" t="s">
        <v>48</v>
      </c>
      <c r="P648" s="109">
        <v>1801</v>
      </c>
      <c r="Q648" s="109"/>
      <c r="R648" s="109"/>
      <c r="S648" s="109">
        <v>0</v>
      </c>
      <c r="T648" s="109">
        <v>0</v>
      </c>
      <c r="U648" s="109"/>
      <c r="V648" s="109"/>
      <c r="W648" s="117" t="s">
        <v>47</v>
      </c>
      <c r="X648" s="117"/>
      <c r="Y648" s="117"/>
      <c r="Z648" s="110"/>
      <c r="AA648" s="110"/>
      <c r="AB648" s="109" t="s">
        <v>938</v>
      </c>
      <c r="AC648" s="119">
        <v>2141</v>
      </c>
      <c r="AD648" s="116" t="s">
        <v>51</v>
      </c>
      <c r="AE648" s="116" t="s">
        <v>51</v>
      </c>
      <c r="AF648" s="116" t="s">
        <v>51</v>
      </c>
      <c r="AG648" s="116"/>
      <c r="AH648" s="117" t="s">
        <v>52</v>
      </c>
      <c r="AI648" s="110">
        <v>1</v>
      </c>
      <c r="AJ648" s="110"/>
      <c r="AK648" s="110"/>
      <c r="AL648" s="110"/>
      <c r="AM648" s="110"/>
      <c r="AN648" s="117" t="s">
        <v>47</v>
      </c>
      <c r="AO648" s="116"/>
      <c r="AP648" s="110" t="s">
        <v>53</v>
      </c>
      <c r="AQ648" s="2">
        <v>0</v>
      </c>
    </row>
    <row r="649" s="21" customFormat="1" spans="1:43">
      <c r="A649" s="107">
        <v>180185</v>
      </c>
      <c r="B649" s="115" t="s">
        <v>945</v>
      </c>
      <c r="C649" s="109"/>
      <c r="D649" s="109"/>
      <c r="E649" s="109"/>
      <c r="F649" s="110">
        <v>0</v>
      </c>
      <c r="G649" s="109">
        <v>0</v>
      </c>
      <c r="H649" s="111" t="s">
        <v>45</v>
      </c>
      <c r="I649" s="109">
        <v>17</v>
      </c>
      <c r="J649" s="109">
        <v>0</v>
      </c>
      <c r="K649" s="116" t="s">
        <v>46</v>
      </c>
      <c r="L649" s="117" t="s">
        <v>47</v>
      </c>
      <c r="M649" s="109" t="s">
        <v>779</v>
      </c>
      <c r="N649" s="109">
        <v>0</v>
      </c>
      <c r="O649" s="117" t="s">
        <v>48</v>
      </c>
      <c r="P649" s="109">
        <v>1801</v>
      </c>
      <c r="Q649" s="109"/>
      <c r="R649" s="109"/>
      <c r="S649" s="109">
        <v>0</v>
      </c>
      <c r="T649" s="109">
        <v>0</v>
      </c>
      <c r="U649" s="109"/>
      <c r="V649" s="109"/>
      <c r="W649" s="117" t="s">
        <v>47</v>
      </c>
      <c r="X649" s="117"/>
      <c r="Y649" s="117"/>
      <c r="Z649" s="110"/>
      <c r="AA649" s="110"/>
      <c r="AB649" s="109" t="s">
        <v>940</v>
      </c>
      <c r="AC649" s="119">
        <v>2141</v>
      </c>
      <c r="AD649" s="116" t="s">
        <v>51</v>
      </c>
      <c r="AE649" s="116" t="s">
        <v>51</v>
      </c>
      <c r="AF649" s="116" t="s">
        <v>51</v>
      </c>
      <c r="AG649" s="116"/>
      <c r="AH649" s="117" t="s">
        <v>52</v>
      </c>
      <c r="AI649" s="110">
        <v>1</v>
      </c>
      <c r="AJ649" s="110"/>
      <c r="AK649" s="110"/>
      <c r="AL649" s="110"/>
      <c r="AM649" s="110"/>
      <c r="AN649" s="117" t="s">
        <v>47</v>
      </c>
      <c r="AO649" s="116"/>
      <c r="AP649" s="110" t="s">
        <v>53</v>
      </c>
      <c r="AQ649" s="2">
        <v>0</v>
      </c>
    </row>
    <row r="650" s="21" customFormat="1" spans="1:43">
      <c r="A650" s="107">
        <v>180191</v>
      </c>
      <c r="B650" s="115" t="s">
        <v>945</v>
      </c>
      <c r="C650" s="109"/>
      <c r="D650" s="109"/>
      <c r="E650" s="109"/>
      <c r="F650" s="110">
        <v>0</v>
      </c>
      <c r="G650" s="109">
        <v>0</v>
      </c>
      <c r="H650" s="111" t="s">
        <v>45</v>
      </c>
      <c r="I650" s="109">
        <v>17</v>
      </c>
      <c r="J650" s="109">
        <v>0</v>
      </c>
      <c r="K650" s="116" t="s">
        <v>46</v>
      </c>
      <c r="L650" s="117" t="s">
        <v>47</v>
      </c>
      <c r="M650" s="109" t="s">
        <v>781</v>
      </c>
      <c r="N650" s="109">
        <v>0</v>
      </c>
      <c r="O650" s="117" t="s">
        <v>48</v>
      </c>
      <c r="P650" s="109">
        <v>1801</v>
      </c>
      <c r="Q650" s="109"/>
      <c r="R650" s="109"/>
      <c r="S650" s="109">
        <v>0</v>
      </c>
      <c r="T650" s="109">
        <v>0</v>
      </c>
      <c r="U650" s="109"/>
      <c r="V650" s="109"/>
      <c r="W650" s="117" t="s">
        <v>47</v>
      </c>
      <c r="X650" s="117"/>
      <c r="Y650" s="117"/>
      <c r="Z650" s="110"/>
      <c r="AA650" s="110"/>
      <c r="AB650" s="109" t="s">
        <v>944</v>
      </c>
      <c r="AC650" s="119">
        <v>2141</v>
      </c>
      <c r="AD650" s="116" t="s">
        <v>51</v>
      </c>
      <c r="AE650" s="116" t="s">
        <v>51</v>
      </c>
      <c r="AF650" s="116" t="s">
        <v>51</v>
      </c>
      <c r="AG650" s="116"/>
      <c r="AH650" s="117" t="s">
        <v>52</v>
      </c>
      <c r="AI650" s="110">
        <v>1</v>
      </c>
      <c r="AJ650" s="110"/>
      <c r="AK650" s="110"/>
      <c r="AL650" s="110"/>
      <c r="AM650" s="110"/>
      <c r="AN650" s="117" t="s">
        <v>47</v>
      </c>
      <c r="AO650" s="116"/>
      <c r="AP650" s="110" t="s">
        <v>53</v>
      </c>
      <c r="AQ650" s="2">
        <v>0</v>
      </c>
    </row>
    <row r="651" s="21" customFormat="1" spans="1:43">
      <c r="A651" s="107">
        <v>180192</v>
      </c>
      <c r="B651" s="115" t="s">
        <v>945</v>
      </c>
      <c r="C651" s="109"/>
      <c r="D651" s="109"/>
      <c r="E651" s="109"/>
      <c r="F651" s="110">
        <v>0</v>
      </c>
      <c r="G651" s="109">
        <v>0</v>
      </c>
      <c r="H651" s="111" t="s">
        <v>45</v>
      </c>
      <c r="I651" s="109">
        <v>17</v>
      </c>
      <c r="J651" s="109">
        <v>0</v>
      </c>
      <c r="K651" s="116" t="s">
        <v>46</v>
      </c>
      <c r="L651" s="117" t="s">
        <v>47</v>
      </c>
      <c r="M651" s="109" t="s">
        <v>365</v>
      </c>
      <c r="N651" s="109">
        <v>0</v>
      </c>
      <c r="O651" s="117" t="s">
        <v>48</v>
      </c>
      <c r="P651" s="109">
        <v>1801</v>
      </c>
      <c r="Q651" s="109"/>
      <c r="R651" s="109"/>
      <c r="S651" s="109">
        <v>0</v>
      </c>
      <c r="T651" s="109">
        <v>0</v>
      </c>
      <c r="U651" s="109"/>
      <c r="V651" s="109"/>
      <c r="W651" s="117" t="s">
        <v>47</v>
      </c>
      <c r="X651" s="117"/>
      <c r="Y651" s="117"/>
      <c r="Z651" s="110"/>
      <c r="AA651" s="110"/>
      <c r="AB651" s="109" t="s">
        <v>946</v>
      </c>
      <c r="AC651" s="119">
        <v>2141</v>
      </c>
      <c r="AD651" s="116" t="s">
        <v>51</v>
      </c>
      <c r="AE651" s="116" t="s">
        <v>51</v>
      </c>
      <c r="AF651" s="116" t="s">
        <v>51</v>
      </c>
      <c r="AG651" s="116"/>
      <c r="AH651" s="117" t="s">
        <v>52</v>
      </c>
      <c r="AI651" s="110">
        <v>1</v>
      </c>
      <c r="AJ651" s="110"/>
      <c r="AK651" s="110"/>
      <c r="AL651" s="110"/>
      <c r="AM651" s="110"/>
      <c r="AN651" s="117" t="s">
        <v>47</v>
      </c>
      <c r="AO651" s="116"/>
      <c r="AP651" s="110" t="s">
        <v>53</v>
      </c>
      <c r="AQ651" s="2">
        <v>0</v>
      </c>
    </row>
    <row r="652" s="21" customFormat="1" spans="1:43">
      <c r="A652" s="107">
        <v>180193</v>
      </c>
      <c r="B652" s="115" t="s">
        <v>945</v>
      </c>
      <c r="C652" s="109"/>
      <c r="D652" s="109"/>
      <c r="E652" s="109"/>
      <c r="F652" s="110">
        <v>0</v>
      </c>
      <c r="G652" s="109">
        <v>0</v>
      </c>
      <c r="H652" s="111" t="s">
        <v>45</v>
      </c>
      <c r="I652" s="109">
        <v>17</v>
      </c>
      <c r="J652" s="109">
        <v>0</v>
      </c>
      <c r="K652" s="116" t="s">
        <v>46</v>
      </c>
      <c r="L652" s="117" t="s">
        <v>47</v>
      </c>
      <c r="M652" s="109" t="s">
        <v>280</v>
      </c>
      <c r="N652" s="109">
        <v>0</v>
      </c>
      <c r="O652" s="117" t="s">
        <v>48</v>
      </c>
      <c r="P652" s="109">
        <v>1801</v>
      </c>
      <c r="Q652" s="109"/>
      <c r="R652" s="109"/>
      <c r="S652" s="109">
        <v>0</v>
      </c>
      <c r="T652" s="109">
        <v>0</v>
      </c>
      <c r="U652" s="109"/>
      <c r="V652" s="109"/>
      <c r="W652" s="117" t="s">
        <v>47</v>
      </c>
      <c r="X652" s="117"/>
      <c r="Y652" s="117"/>
      <c r="Z652" s="110"/>
      <c r="AA652" s="110"/>
      <c r="AB652" s="109" t="s">
        <v>947</v>
      </c>
      <c r="AC652" s="119">
        <v>2141</v>
      </c>
      <c r="AD652" s="116" t="s">
        <v>51</v>
      </c>
      <c r="AE652" s="116" t="s">
        <v>51</v>
      </c>
      <c r="AF652" s="116" t="s">
        <v>51</v>
      </c>
      <c r="AG652" s="116"/>
      <c r="AH652" s="117" t="s">
        <v>52</v>
      </c>
      <c r="AI652" s="110">
        <v>1</v>
      </c>
      <c r="AJ652" s="110"/>
      <c r="AK652" s="110"/>
      <c r="AL652" s="110"/>
      <c r="AM652" s="110"/>
      <c r="AN652" s="117" t="s">
        <v>47</v>
      </c>
      <c r="AO652" s="116"/>
      <c r="AP652" s="110" t="s">
        <v>53</v>
      </c>
      <c r="AQ652" s="2">
        <v>0</v>
      </c>
    </row>
    <row r="653" s="21" customFormat="1" spans="1:43">
      <c r="A653" s="107">
        <v>180194</v>
      </c>
      <c r="B653" s="115" t="s">
        <v>945</v>
      </c>
      <c r="C653" s="109"/>
      <c r="D653" s="109"/>
      <c r="E653" s="109"/>
      <c r="F653" s="110">
        <v>0</v>
      </c>
      <c r="G653" s="109">
        <v>0</v>
      </c>
      <c r="H653" s="111" t="s">
        <v>45</v>
      </c>
      <c r="I653" s="109">
        <v>17</v>
      </c>
      <c r="J653" s="109">
        <v>0</v>
      </c>
      <c r="K653" s="116" t="s">
        <v>46</v>
      </c>
      <c r="L653" s="117" t="s">
        <v>47</v>
      </c>
      <c r="M653" s="109" t="s">
        <v>785</v>
      </c>
      <c r="N653" s="109">
        <v>0</v>
      </c>
      <c r="O653" s="117" t="s">
        <v>48</v>
      </c>
      <c r="P653" s="109">
        <v>1801</v>
      </c>
      <c r="Q653" s="109"/>
      <c r="R653" s="109"/>
      <c r="S653" s="109">
        <v>0</v>
      </c>
      <c r="T653" s="109">
        <v>0</v>
      </c>
      <c r="U653" s="109"/>
      <c r="V653" s="109"/>
      <c r="W653" s="117" t="s">
        <v>47</v>
      </c>
      <c r="X653" s="117"/>
      <c r="Y653" s="117"/>
      <c r="Z653" s="110"/>
      <c r="AA653" s="110"/>
      <c r="AB653" s="109" t="s">
        <v>948</v>
      </c>
      <c r="AC653" s="119">
        <v>2141</v>
      </c>
      <c r="AD653" s="116" t="s">
        <v>51</v>
      </c>
      <c r="AE653" s="116" t="s">
        <v>51</v>
      </c>
      <c r="AF653" s="116" t="s">
        <v>51</v>
      </c>
      <c r="AG653" s="116"/>
      <c r="AH653" s="117" t="s">
        <v>52</v>
      </c>
      <c r="AI653" s="110">
        <v>1</v>
      </c>
      <c r="AJ653" s="110"/>
      <c r="AK653" s="110"/>
      <c r="AL653" s="110"/>
      <c r="AM653" s="110"/>
      <c r="AN653" s="117" t="s">
        <v>47</v>
      </c>
      <c r="AO653" s="116"/>
      <c r="AP653" s="110" t="s">
        <v>53</v>
      </c>
      <c r="AQ653" s="2">
        <v>0</v>
      </c>
    </row>
    <row r="654" s="21" customFormat="1" spans="1:43">
      <c r="A654" s="107">
        <v>180195</v>
      </c>
      <c r="B654" s="115" t="s">
        <v>945</v>
      </c>
      <c r="C654" s="109"/>
      <c r="D654" s="109"/>
      <c r="E654" s="109"/>
      <c r="F654" s="110">
        <v>0</v>
      </c>
      <c r="G654" s="109">
        <v>0</v>
      </c>
      <c r="H654" s="111" t="s">
        <v>45</v>
      </c>
      <c r="I654" s="109">
        <v>17</v>
      </c>
      <c r="J654" s="109">
        <v>0</v>
      </c>
      <c r="K654" s="116" t="s">
        <v>46</v>
      </c>
      <c r="L654" s="117" t="s">
        <v>47</v>
      </c>
      <c r="M654" s="109" t="s">
        <v>787</v>
      </c>
      <c r="N654" s="109">
        <v>0</v>
      </c>
      <c r="O654" s="117" t="s">
        <v>48</v>
      </c>
      <c r="P654" s="109">
        <v>1801</v>
      </c>
      <c r="Q654" s="109"/>
      <c r="R654" s="109"/>
      <c r="S654" s="109">
        <v>0</v>
      </c>
      <c r="T654" s="109">
        <v>0</v>
      </c>
      <c r="U654" s="109"/>
      <c r="V654" s="109"/>
      <c r="W654" s="117" t="s">
        <v>47</v>
      </c>
      <c r="X654" s="117"/>
      <c r="Y654" s="117"/>
      <c r="Z654" s="110"/>
      <c r="AA654" s="110"/>
      <c r="AB654" s="109" t="s">
        <v>910</v>
      </c>
      <c r="AC654" s="119">
        <v>2141</v>
      </c>
      <c r="AD654" s="116" t="s">
        <v>51</v>
      </c>
      <c r="AE654" s="116" t="s">
        <v>51</v>
      </c>
      <c r="AF654" s="116" t="s">
        <v>51</v>
      </c>
      <c r="AG654" s="116"/>
      <c r="AH654" s="117" t="s">
        <v>52</v>
      </c>
      <c r="AI654" s="110">
        <v>1</v>
      </c>
      <c r="AJ654" s="110"/>
      <c r="AK654" s="110"/>
      <c r="AL654" s="110"/>
      <c r="AM654" s="110"/>
      <c r="AN654" s="117" t="s">
        <v>47</v>
      </c>
      <c r="AO654" s="116"/>
      <c r="AP654" s="110" t="s">
        <v>53</v>
      </c>
      <c r="AQ654" s="2">
        <v>0</v>
      </c>
    </row>
    <row r="655" s="21" customFormat="1" spans="1:43">
      <c r="A655" s="107">
        <v>180201</v>
      </c>
      <c r="B655" s="115" t="s">
        <v>945</v>
      </c>
      <c r="C655" s="109"/>
      <c r="D655" s="109"/>
      <c r="E655" s="109"/>
      <c r="F655" s="110">
        <v>0</v>
      </c>
      <c r="G655" s="109">
        <v>0</v>
      </c>
      <c r="H655" s="111" t="s">
        <v>45</v>
      </c>
      <c r="I655" s="109">
        <v>17</v>
      </c>
      <c r="J655" s="109">
        <v>0</v>
      </c>
      <c r="K655" s="116" t="s">
        <v>46</v>
      </c>
      <c r="L655" s="117" t="s">
        <v>47</v>
      </c>
      <c r="M655" s="109" t="s">
        <v>789</v>
      </c>
      <c r="N655" s="109">
        <v>0</v>
      </c>
      <c r="O655" s="117" t="s">
        <v>48</v>
      </c>
      <c r="P655" s="109">
        <v>1801</v>
      </c>
      <c r="Q655" s="109"/>
      <c r="R655" s="109"/>
      <c r="S655" s="109">
        <v>0</v>
      </c>
      <c r="T655" s="109">
        <v>0</v>
      </c>
      <c r="U655" s="109"/>
      <c r="V655" s="109"/>
      <c r="W655" s="117" t="s">
        <v>47</v>
      </c>
      <c r="X655" s="117"/>
      <c r="Y655" s="117"/>
      <c r="Z655" s="110"/>
      <c r="AA655" s="110"/>
      <c r="AB655" s="109" t="s">
        <v>912</v>
      </c>
      <c r="AC655" s="119">
        <v>2141</v>
      </c>
      <c r="AD655" s="116" t="s">
        <v>51</v>
      </c>
      <c r="AE655" s="116" t="s">
        <v>51</v>
      </c>
      <c r="AF655" s="116" t="s">
        <v>51</v>
      </c>
      <c r="AG655" s="116"/>
      <c r="AH655" s="117" t="s">
        <v>52</v>
      </c>
      <c r="AI655" s="110">
        <v>1</v>
      </c>
      <c r="AJ655" s="110"/>
      <c r="AK655" s="110"/>
      <c r="AL655" s="110"/>
      <c r="AM655" s="110"/>
      <c r="AN655" s="117" t="s">
        <v>47</v>
      </c>
      <c r="AO655" s="116"/>
      <c r="AP655" s="110" t="s">
        <v>53</v>
      </c>
      <c r="AQ655" s="2">
        <v>0</v>
      </c>
    </row>
    <row r="656" s="21" customFormat="1" spans="1:43">
      <c r="A656" s="107">
        <v>180202</v>
      </c>
      <c r="B656" s="115" t="s">
        <v>945</v>
      </c>
      <c r="C656" s="109"/>
      <c r="D656" s="109"/>
      <c r="E656" s="109"/>
      <c r="F656" s="110">
        <v>0</v>
      </c>
      <c r="G656" s="109">
        <v>0</v>
      </c>
      <c r="H656" s="111" t="s">
        <v>45</v>
      </c>
      <c r="I656" s="109">
        <v>17</v>
      </c>
      <c r="J656" s="109">
        <v>0</v>
      </c>
      <c r="K656" s="116" t="s">
        <v>46</v>
      </c>
      <c r="L656" s="117" t="s">
        <v>47</v>
      </c>
      <c r="M656" s="109" t="s">
        <v>378</v>
      </c>
      <c r="N656" s="109">
        <v>0</v>
      </c>
      <c r="O656" s="117" t="s">
        <v>48</v>
      </c>
      <c r="P656" s="109">
        <v>1801</v>
      </c>
      <c r="Q656" s="109"/>
      <c r="R656" s="109"/>
      <c r="S656" s="109">
        <v>0</v>
      </c>
      <c r="T656" s="109">
        <v>0</v>
      </c>
      <c r="U656" s="109"/>
      <c r="V656" s="109"/>
      <c r="W656" s="117" t="s">
        <v>47</v>
      </c>
      <c r="X656" s="117"/>
      <c r="Y656" s="117"/>
      <c r="Z656" s="110"/>
      <c r="AA656" s="110"/>
      <c r="AB656" s="109" t="s">
        <v>914</v>
      </c>
      <c r="AC656" s="119">
        <v>2141</v>
      </c>
      <c r="AD656" s="116" t="s">
        <v>51</v>
      </c>
      <c r="AE656" s="116" t="s">
        <v>51</v>
      </c>
      <c r="AF656" s="116" t="s">
        <v>51</v>
      </c>
      <c r="AG656" s="116"/>
      <c r="AH656" s="117" t="s">
        <v>52</v>
      </c>
      <c r="AI656" s="110">
        <v>1</v>
      </c>
      <c r="AJ656" s="110"/>
      <c r="AK656" s="110"/>
      <c r="AL656" s="110"/>
      <c r="AM656" s="110"/>
      <c r="AN656" s="117" t="s">
        <v>47</v>
      </c>
      <c r="AO656" s="116"/>
      <c r="AP656" s="110" t="s">
        <v>53</v>
      </c>
      <c r="AQ656" s="2">
        <v>0</v>
      </c>
    </row>
    <row r="657" s="21" customFormat="1" spans="1:43">
      <c r="A657" s="107">
        <v>180203</v>
      </c>
      <c r="B657" s="115" t="s">
        <v>945</v>
      </c>
      <c r="C657" s="109"/>
      <c r="D657" s="109"/>
      <c r="E657" s="109"/>
      <c r="F657" s="110">
        <v>0</v>
      </c>
      <c r="G657" s="109">
        <v>0</v>
      </c>
      <c r="H657" s="111" t="s">
        <v>45</v>
      </c>
      <c r="I657" s="109">
        <v>17</v>
      </c>
      <c r="J657" s="109">
        <v>0</v>
      </c>
      <c r="K657" s="116" t="s">
        <v>46</v>
      </c>
      <c r="L657" s="117" t="s">
        <v>47</v>
      </c>
      <c r="M657" s="109" t="s">
        <v>781</v>
      </c>
      <c r="N657" s="109">
        <v>0</v>
      </c>
      <c r="O657" s="117" t="s">
        <v>48</v>
      </c>
      <c r="P657" s="109">
        <v>1801</v>
      </c>
      <c r="Q657" s="109"/>
      <c r="R657" s="109"/>
      <c r="S657" s="109">
        <v>0</v>
      </c>
      <c r="T657" s="109">
        <v>0</v>
      </c>
      <c r="U657" s="109"/>
      <c r="V657" s="109"/>
      <c r="W657" s="117" t="s">
        <v>47</v>
      </c>
      <c r="X657" s="117"/>
      <c r="Y657" s="117"/>
      <c r="Z657" s="110"/>
      <c r="AA657" s="110"/>
      <c r="AB657" s="109" t="s">
        <v>928</v>
      </c>
      <c r="AC657" s="119">
        <v>2141</v>
      </c>
      <c r="AD657" s="116" t="s">
        <v>51</v>
      </c>
      <c r="AE657" s="116" t="s">
        <v>51</v>
      </c>
      <c r="AF657" s="116" t="s">
        <v>51</v>
      </c>
      <c r="AG657" s="116"/>
      <c r="AH657" s="117" t="s">
        <v>52</v>
      </c>
      <c r="AI657" s="110">
        <v>1</v>
      </c>
      <c r="AJ657" s="110"/>
      <c r="AK657" s="110"/>
      <c r="AL657" s="110"/>
      <c r="AM657" s="110"/>
      <c r="AN657" s="117" t="s">
        <v>47</v>
      </c>
      <c r="AO657" s="116"/>
      <c r="AP657" s="110" t="s">
        <v>53</v>
      </c>
      <c r="AQ657" s="2">
        <v>0</v>
      </c>
    </row>
    <row r="658" s="21" customFormat="1" spans="1:43">
      <c r="A658" s="107">
        <v>180204</v>
      </c>
      <c r="B658" s="115" t="s">
        <v>945</v>
      </c>
      <c r="C658" s="109"/>
      <c r="D658" s="109"/>
      <c r="E658" s="109"/>
      <c r="F658" s="110">
        <v>0</v>
      </c>
      <c r="G658" s="109">
        <v>0</v>
      </c>
      <c r="H658" s="111" t="s">
        <v>45</v>
      </c>
      <c r="I658" s="109">
        <v>17</v>
      </c>
      <c r="J658" s="109">
        <v>0</v>
      </c>
      <c r="K658" s="116" t="s">
        <v>46</v>
      </c>
      <c r="L658" s="117" t="s">
        <v>47</v>
      </c>
      <c r="M658" s="109" t="s">
        <v>365</v>
      </c>
      <c r="N658" s="109">
        <v>0</v>
      </c>
      <c r="O658" s="117" t="s">
        <v>48</v>
      </c>
      <c r="P658" s="109">
        <v>1801</v>
      </c>
      <c r="Q658" s="109"/>
      <c r="R658" s="109"/>
      <c r="S658" s="109">
        <v>0</v>
      </c>
      <c r="T658" s="109">
        <v>0</v>
      </c>
      <c r="U658" s="109"/>
      <c r="V658" s="109"/>
      <c r="W658" s="117" t="s">
        <v>47</v>
      </c>
      <c r="X658" s="117"/>
      <c r="Y658" s="117"/>
      <c r="Z658" s="110"/>
      <c r="AA658" s="110"/>
      <c r="AB658" s="109" t="s">
        <v>930</v>
      </c>
      <c r="AC658" s="119">
        <v>2141</v>
      </c>
      <c r="AD658" s="116" t="s">
        <v>51</v>
      </c>
      <c r="AE658" s="116" t="s">
        <v>51</v>
      </c>
      <c r="AF658" s="116" t="s">
        <v>51</v>
      </c>
      <c r="AG658" s="116"/>
      <c r="AH658" s="117" t="s">
        <v>52</v>
      </c>
      <c r="AI658" s="110">
        <v>1</v>
      </c>
      <c r="AJ658" s="110"/>
      <c r="AK658" s="110"/>
      <c r="AL658" s="110"/>
      <c r="AM658" s="110"/>
      <c r="AN658" s="117" t="s">
        <v>47</v>
      </c>
      <c r="AO658" s="116"/>
      <c r="AP658" s="110" t="s">
        <v>53</v>
      </c>
      <c r="AQ658" s="2">
        <v>0</v>
      </c>
    </row>
    <row r="659" s="21" customFormat="1" spans="1:43">
      <c r="A659" s="107">
        <v>180205</v>
      </c>
      <c r="B659" s="115" t="s">
        <v>945</v>
      </c>
      <c r="C659" s="109"/>
      <c r="D659" s="109"/>
      <c r="E659" s="109"/>
      <c r="F659" s="110">
        <v>0</v>
      </c>
      <c r="G659" s="109">
        <v>0</v>
      </c>
      <c r="H659" s="111" t="s">
        <v>45</v>
      </c>
      <c r="I659" s="109">
        <v>17</v>
      </c>
      <c r="J659" s="109">
        <v>0</v>
      </c>
      <c r="K659" s="116" t="s">
        <v>46</v>
      </c>
      <c r="L659" s="117" t="s">
        <v>47</v>
      </c>
      <c r="M659" s="109" t="s">
        <v>792</v>
      </c>
      <c r="N659" s="109">
        <v>0</v>
      </c>
      <c r="O659" s="117" t="s">
        <v>48</v>
      </c>
      <c r="P659" s="109">
        <v>1801</v>
      </c>
      <c r="Q659" s="109"/>
      <c r="R659" s="109"/>
      <c r="S659" s="109">
        <v>0</v>
      </c>
      <c r="T659" s="109">
        <v>0</v>
      </c>
      <c r="U659" s="109"/>
      <c r="V659" s="109"/>
      <c r="W659" s="117" t="s">
        <v>47</v>
      </c>
      <c r="X659" s="117"/>
      <c r="Y659" s="117"/>
      <c r="Z659" s="110"/>
      <c r="AA659" s="110"/>
      <c r="AB659" s="109" t="s">
        <v>916</v>
      </c>
      <c r="AC659" s="119">
        <v>2141</v>
      </c>
      <c r="AD659" s="116" t="s">
        <v>51</v>
      </c>
      <c r="AE659" s="116" t="s">
        <v>51</v>
      </c>
      <c r="AF659" s="116" t="s">
        <v>51</v>
      </c>
      <c r="AG659" s="116"/>
      <c r="AH659" s="117" t="s">
        <v>52</v>
      </c>
      <c r="AI659" s="110">
        <v>1</v>
      </c>
      <c r="AJ659" s="110"/>
      <c r="AK659" s="110"/>
      <c r="AL659" s="110"/>
      <c r="AM659" s="110"/>
      <c r="AN659" s="117" t="s">
        <v>47</v>
      </c>
      <c r="AO659" s="116"/>
      <c r="AP659" s="110" t="s">
        <v>53</v>
      </c>
      <c r="AQ659" s="2">
        <v>0</v>
      </c>
    </row>
    <row r="660" s="21" customFormat="1" spans="1:43">
      <c r="A660" s="107">
        <v>180211</v>
      </c>
      <c r="B660" s="115" t="s">
        <v>945</v>
      </c>
      <c r="C660" s="109"/>
      <c r="D660" s="109"/>
      <c r="E660" s="109"/>
      <c r="F660" s="110">
        <v>0</v>
      </c>
      <c r="G660" s="109">
        <v>0</v>
      </c>
      <c r="H660" s="111" t="s">
        <v>45</v>
      </c>
      <c r="I660" s="109">
        <v>17</v>
      </c>
      <c r="J660" s="109">
        <v>0</v>
      </c>
      <c r="K660" s="116" t="s">
        <v>46</v>
      </c>
      <c r="L660" s="117" t="s">
        <v>47</v>
      </c>
      <c r="M660" s="109" t="s">
        <v>794</v>
      </c>
      <c r="N660" s="109">
        <v>0</v>
      </c>
      <c r="O660" s="117" t="s">
        <v>48</v>
      </c>
      <c r="P660" s="109">
        <v>1801</v>
      </c>
      <c r="Q660" s="109"/>
      <c r="R660" s="109"/>
      <c r="S660" s="109">
        <v>0</v>
      </c>
      <c r="T660" s="109">
        <v>0</v>
      </c>
      <c r="U660" s="109"/>
      <c r="V660" s="109"/>
      <c r="W660" s="117" t="s">
        <v>47</v>
      </c>
      <c r="X660" s="117"/>
      <c r="Y660" s="117"/>
      <c r="Z660" s="110"/>
      <c r="AA660" s="110"/>
      <c r="AB660" s="109" t="s">
        <v>928</v>
      </c>
      <c r="AC660" s="119">
        <v>2141</v>
      </c>
      <c r="AD660" s="116" t="s">
        <v>51</v>
      </c>
      <c r="AE660" s="116" t="s">
        <v>51</v>
      </c>
      <c r="AF660" s="116" t="s">
        <v>51</v>
      </c>
      <c r="AG660" s="116"/>
      <c r="AH660" s="117" t="s">
        <v>52</v>
      </c>
      <c r="AI660" s="110">
        <v>1</v>
      </c>
      <c r="AJ660" s="110"/>
      <c r="AK660" s="110"/>
      <c r="AL660" s="110"/>
      <c r="AM660" s="110"/>
      <c r="AN660" s="117" t="s">
        <v>47</v>
      </c>
      <c r="AO660" s="116"/>
      <c r="AP660" s="110" t="s">
        <v>53</v>
      </c>
      <c r="AQ660" s="2">
        <v>0</v>
      </c>
    </row>
    <row r="661" s="21" customFormat="1" spans="1:43">
      <c r="A661" s="107">
        <v>180212</v>
      </c>
      <c r="B661" s="115" t="s">
        <v>945</v>
      </c>
      <c r="C661" s="109"/>
      <c r="D661" s="109"/>
      <c r="E661" s="109"/>
      <c r="F661" s="110">
        <v>0</v>
      </c>
      <c r="G661" s="109">
        <v>0</v>
      </c>
      <c r="H661" s="111" t="s">
        <v>45</v>
      </c>
      <c r="I661" s="109">
        <v>17</v>
      </c>
      <c r="J661" s="109">
        <v>0</v>
      </c>
      <c r="K661" s="116" t="s">
        <v>46</v>
      </c>
      <c r="L661" s="117" t="s">
        <v>47</v>
      </c>
      <c r="M661" s="109" t="s">
        <v>686</v>
      </c>
      <c r="N661" s="109">
        <v>0</v>
      </c>
      <c r="O661" s="117" t="s">
        <v>48</v>
      </c>
      <c r="P661" s="109">
        <v>1801</v>
      </c>
      <c r="Q661" s="109"/>
      <c r="R661" s="109"/>
      <c r="S661" s="109">
        <v>0</v>
      </c>
      <c r="T661" s="109">
        <v>0</v>
      </c>
      <c r="U661" s="109"/>
      <c r="V661" s="109"/>
      <c r="W661" s="117" t="s">
        <v>47</v>
      </c>
      <c r="X661" s="117"/>
      <c r="Y661" s="117"/>
      <c r="Z661" s="110"/>
      <c r="AA661" s="110"/>
      <c r="AB661" s="109" t="s">
        <v>930</v>
      </c>
      <c r="AC661" s="119">
        <v>2141</v>
      </c>
      <c r="AD661" s="116" t="s">
        <v>51</v>
      </c>
      <c r="AE661" s="116" t="s">
        <v>51</v>
      </c>
      <c r="AF661" s="116" t="s">
        <v>51</v>
      </c>
      <c r="AG661" s="116"/>
      <c r="AH661" s="117" t="s">
        <v>52</v>
      </c>
      <c r="AI661" s="110">
        <v>1</v>
      </c>
      <c r="AJ661" s="110"/>
      <c r="AK661" s="110"/>
      <c r="AL661" s="110"/>
      <c r="AM661" s="110"/>
      <c r="AN661" s="117" t="s">
        <v>47</v>
      </c>
      <c r="AO661" s="116"/>
      <c r="AP661" s="110" t="s">
        <v>53</v>
      </c>
      <c r="AQ661" s="2">
        <v>0</v>
      </c>
    </row>
    <row r="662" s="21" customFormat="1" spans="1:43">
      <c r="A662" s="107">
        <v>180213</v>
      </c>
      <c r="B662" s="115" t="s">
        <v>945</v>
      </c>
      <c r="C662" s="109"/>
      <c r="D662" s="109"/>
      <c r="E662" s="109"/>
      <c r="F662" s="110">
        <v>0</v>
      </c>
      <c r="G662" s="109">
        <v>0</v>
      </c>
      <c r="H662" s="111" t="s">
        <v>45</v>
      </c>
      <c r="I662" s="109">
        <v>17</v>
      </c>
      <c r="J662" s="109">
        <v>0</v>
      </c>
      <c r="K662" s="116" t="s">
        <v>46</v>
      </c>
      <c r="L662" s="117" t="s">
        <v>47</v>
      </c>
      <c r="M662" s="109">
        <v>1010128</v>
      </c>
      <c r="N662" s="109">
        <v>0</v>
      </c>
      <c r="O662" s="117" t="s">
        <v>48</v>
      </c>
      <c r="P662" s="109">
        <v>1801</v>
      </c>
      <c r="Q662" s="109"/>
      <c r="R662" s="109"/>
      <c r="S662" s="109">
        <v>0</v>
      </c>
      <c r="T662" s="109">
        <v>0</v>
      </c>
      <c r="U662" s="109"/>
      <c r="V662" s="109"/>
      <c r="W662" s="117" t="s">
        <v>47</v>
      </c>
      <c r="X662" s="117"/>
      <c r="Y662" s="117"/>
      <c r="Z662" s="110"/>
      <c r="AA662" s="110"/>
      <c r="AB662" s="109" t="s">
        <v>918</v>
      </c>
      <c r="AC662" s="119">
        <v>2141</v>
      </c>
      <c r="AD662" s="116" t="s">
        <v>51</v>
      </c>
      <c r="AE662" s="116" t="s">
        <v>51</v>
      </c>
      <c r="AF662" s="116" t="s">
        <v>51</v>
      </c>
      <c r="AG662" s="116"/>
      <c r="AH662" s="117" t="s">
        <v>52</v>
      </c>
      <c r="AI662" s="110">
        <v>1</v>
      </c>
      <c r="AJ662" s="110"/>
      <c r="AK662" s="110"/>
      <c r="AL662" s="110"/>
      <c r="AM662" s="110"/>
      <c r="AN662" s="117" t="s">
        <v>47</v>
      </c>
      <c r="AO662" s="116"/>
      <c r="AP662" s="110" t="s">
        <v>53</v>
      </c>
      <c r="AQ662" s="2">
        <v>0</v>
      </c>
    </row>
    <row r="663" s="21" customFormat="1" spans="1:43">
      <c r="A663" s="107">
        <v>180214</v>
      </c>
      <c r="B663" s="115" t="s">
        <v>945</v>
      </c>
      <c r="C663" s="109"/>
      <c r="D663" s="109"/>
      <c r="E663" s="109"/>
      <c r="F663" s="110">
        <v>0</v>
      </c>
      <c r="G663" s="109">
        <v>0</v>
      </c>
      <c r="H663" s="111" t="s">
        <v>45</v>
      </c>
      <c r="I663" s="109">
        <v>17</v>
      </c>
      <c r="J663" s="109">
        <v>0</v>
      </c>
      <c r="K663" s="116" t="s">
        <v>46</v>
      </c>
      <c r="L663" s="117" t="s">
        <v>47</v>
      </c>
      <c r="M663" s="109" t="s">
        <v>799</v>
      </c>
      <c r="N663" s="109">
        <v>0</v>
      </c>
      <c r="O663" s="117" t="s">
        <v>48</v>
      </c>
      <c r="P663" s="109">
        <v>1801</v>
      </c>
      <c r="Q663" s="109"/>
      <c r="R663" s="109"/>
      <c r="S663" s="109">
        <v>0</v>
      </c>
      <c r="T663" s="109">
        <v>0</v>
      </c>
      <c r="U663" s="109"/>
      <c r="V663" s="109"/>
      <c r="W663" s="117" t="s">
        <v>47</v>
      </c>
      <c r="X663" s="117"/>
      <c r="Y663" s="117"/>
      <c r="Z663" s="110"/>
      <c r="AA663" s="110"/>
      <c r="AB663" s="109" t="s">
        <v>920</v>
      </c>
      <c r="AC663" s="119">
        <v>2141</v>
      </c>
      <c r="AD663" s="116" t="s">
        <v>51</v>
      </c>
      <c r="AE663" s="116" t="s">
        <v>51</v>
      </c>
      <c r="AF663" s="116" t="s">
        <v>51</v>
      </c>
      <c r="AG663" s="116"/>
      <c r="AH663" s="117" t="s">
        <v>52</v>
      </c>
      <c r="AI663" s="110">
        <v>1</v>
      </c>
      <c r="AJ663" s="110"/>
      <c r="AK663" s="110"/>
      <c r="AL663" s="110"/>
      <c r="AM663" s="110"/>
      <c r="AN663" s="117" t="s">
        <v>47</v>
      </c>
      <c r="AO663" s="116"/>
      <c r="AP663" s="110" t="s">
        <v>53</v>
      </c>
      <c r="AQ663" s="2">
        <v>0</v>
      </c>
    </row>
    <row r="664" s="21" customFormat="1" spans="1:43">
      <c r="A664" s="107">
        <v>180215</v>
      </c>
      <c r="B664" s="115" t="s">
        <v>945</v>
      </c>
      <c r="C664" s="109"/>
      <c r="D664" s="109"/>
      <c r="E664" s="109"/>
      <c r="F664" s="110">
        <v>0</v>
      </c>
      <c r="G664" s="109">
        <v>0</v>
      </c>
      <c r="H664" s="111" t="s">
        <v>45</v>
      </c>
      <c r="I664" s="109">
        <v>17</v>
      </c>
      <c r="J664" s="109">
        <v>0</v>
      </c>
      <c r="K664" s="116" t="s">
        <v>46</v>
      </c>
      <c r="L664" s="117" t="s">
        <v>47</v>
      </c>
      <c r="M664" s="109" t="s">
        <v>781</v>
      </c>
      <c r="N664" s="109">
        <v>0</v>
      </c>
      <c r="O664" s="117" t="s">
        <v>48</v>
      </c>
      <c r="P664" s="109">
        <v>1801</v>
      </c>
      <c r="Q664" s="109"/>
      <c r="R664" s="109"/>
      <c r="S664" s="109">
        <v>0</v>
      </c>
      <c r="T664" s="109">
        <v>0</v>
      </c>
      <c r="U664" s="109"/>
      <c r="V664" s="109"/>
      <c r="W664" s="117" t="s">
        <v>47</v>
      </c>
      <c r="X664" s="117"/>
      <c r="Y664" s="117"/>
      <c r="Z664" s="110"/>
      <c r="AA664" s="110"/>
      <c r="AB664" s="109" t="s">
        <v>928</v>
      </c>
      <c r="AC664" s="119">
        <v>2141</v>
      </c>
      <c r="AD664" s="116" t="s">
        <v>51</v>
      </c>
      <c r="AE664" s="116" t="s">
        <v>51</v>
      </c>
      <c r="AF664" s="116" t="s">
        <v>51</v>
      </c>
      <c r="AG664" s="116"/>
      <c r="AH664" s="117" t="s">
        <v>52</v>
      </c>
      <c r="AI664" s="110">
        <v>1</v>
      </c>
      <c r="AJ664" s="110"/>
      <c r="AK664" s="110"/>
      <c r="AL664" s="110"/>
      <c r="AM664" s="110"/>
      <c r="AN664" s="117" t="s">
        <v>47</v>
      </c>
      <c r="AO664" s="116"/>
      <c r="AP664" s="110" t="s">
        <v>53</v>
      </c>
      <c r="AQ664" s="2">
        <v>0</v>
      </c>
    </row>
    <row r="665" s="2" customFormat="1" ht="12.75" spans="1:43">
      <c r="A665" s="107">
        <v>180216</v>
      </c>
      <c r="B665" s="11" t="s">
        <v>951</v>
      </c>
      <c r="C665" s="11"/>
      <c r="D665" s="11"/>
      <c r="E665" s="11"/>
      <c r="F665" s="11">
        <v>0</v>
      </c>
      <c r="G665" s="11">
        <v>0</v>
      </c>
      <c r="H665" s="11" t="s">
        <v>45</v>
      </c>
      <c r="I665" s="11">
        <v>7</v>
      </c>
      <c r="J665" s="11">
        <v>0</v>
      </c>
      <c r="K665" s="11" t="s">
        <v>46</v>
      </c>
      <c r="L665" s="47" t="s">
        <v>47</v>
      </c>
      <c r="M665" s="11" t="s">
        <v>316</v>
      </c>
      <c r="N665" s="11">
        <v>0</v>
      </c>
      <c r="O665" s="47" t="s">
        <v>48</v>
      </c>
      <c r="P665" s="11">
        <v>1801</v>
      </c>
      <c r="Q665" s="11"/>
      <c r="R665" s="11"/>
      <c r="S665" s="11">
        <v>0</v>
      </c>
      <c r="T665" s="11">
        <v>0</v>
      </c>
      <c r="U665" s="11"/>
      <c r="V665" s="11"/>
      <c r="W665" s="47" t="s">
        <v>47</v>
      </c>
      <c r="X665" s="47"/>
      <c r="Y665" s="47"/>
      <c r="Z665" s="11"/>
      <c r="AA665" s="11"/>
      <c r="AB665" s="11" t="s">
        <v>952</v>
      </c>
      <c r="AC665" s="11">
        <v>2141</v>
      </c>
      <c r="AD665" s="11" t="s">
        <v>51</v>
      </c>
      <c r="AE665" s="11" t="s">
        <v>51</v>
      </c>
      <c r="AF665" s="11" t="s">
        <v>51</v>
      </c>
      <c r="AG665" s="11"/>
      <c r="AH665" s="47" t="s">
        <v>52</v>
      </c>
      <c r="AI665" s="11">
        <v>1</v>
      </c>
      <c r="AJ665" s="11"/>
      <c r="AK665" s="11"/>
      <c r="AL665" s="11"/>
      <c r="AM665" s="11"/>
      <c r="AN665" s="47" t="s">
        <v>47</v>
      </c>
      <c r="AO665" s="11">
        <v>2809</v>
      </c>
      <c r="AP665" s="11" t="s">
        <v>53</v>
      </c>
      <c r="AQ665" s="2">
        <v>0</v>
      </c>
    </row>
    <row r="666" s="3" customFormat="1" ht="12.75" spans="1:43">
      <c r="A666" s="107">
        <v>180217</v>
      </c>
      <c r="B666" s="12" t="s">
        <v>951</v>
      </c>
      <c r="C666" s="12"/>
      <c r="D666" s="12"/>
      <c r="E666" s="12"/>
      <c r="F666" s="12">
        <v>0</v>
      </c>
      <c r="G666" s="12">
        <v>0</v>
      </c>
      <c r="H666" s="12" t="s">
        <v>45</v>
      </c>
      <c r="I666" s="12">
        <v>7</v>
      </c>
      <c r="J666" s="12">
        <v>0</v>
      </c>
      <c r="K666" s="12" t="s">
        <v>46</v>
      </c>
      <c r="L666" s="47" t="s">
        <v>47</v>
      </c>
      <c r="M666" s="12" t="s">
        <v>802</v>
      </c>
      <c r="N666" s="12">
        <v>0</v>
      </c>
      <c r="O666" s="47" t="s">
        <v>48</v>
      </c>
      <c r="P666" s="12">
        <v>1801</v>
      </c>
      <c r="Q666" s="12"/>
      <c r="R666" s="12"/>
      <c r="S666" s="12">
        <v>0</v>
      </c>
      <c r="T666" s="12">
        <v>0</v>
      </c>
      <c r="U666" s="12"/>
      <c r="V666" s="12"/>
      <c r="W666" s="47" t="s">
        <v>47</v>
      </c>
      <c r="X666" s="47"/>
      <c r="Y666" s="47"/>
      <c r="Z666" s="12"/>
      <c r="AA666" s="12"/>
      <c r="AB666" s="12" t="s">
        <v>953</v>
      </c>
      <c r="AC666" s="12">
        <v>2141</v>
      </c>
      <c r="AD666" s="12" t="s">
        <v>51</v>
      </c>
      <c r="AE666" s="12" t="s">
        <v>51</v>
      </c>
      <c r="AF666" s="12" t="s">
        <v>51</v>
      </c>
      <c r="AG666" s="12"/>
      <c r="AH666" s="47" t="s">
        <v>52</v>
      </c>
      <c r="AI666" s="12">
        <v>1</v>
      </c>
      <c r="AJ666" s="12"/>
      <c r="AK666" s="12"/>
      <c r="AL666" s="12"/>
      <c r="AM666" s="12"/>
      <c r="AN666" s="47" t="s">
        <v>47</v>
      </c>
      <c r="AO666" s="12">
        <v>2810</v>
      </c>
      <c r="AP666" s="12" t="s">
        <v>53</v>
      </c>
      <c r="AQ666" s="2">
        <v>0</v>
      </c>
    </row>
    <row r="667" s="2" customFormat="1" ht="12.75" spans="1:43">
      <c r="A667" s="107">
        <v>180218</v>
      </c>
      <c r="B667" s="11" t="s">
        <v>951</v>
      </c>
      <c r="C667" s="11"/>
      <c r="D667" s="11"/>
      <c r="E667" s="11"/>
      <c r="F667" s="11">
        <v>0</v>
      </c>
      <c r="G667" s="11">
        <v>0</v>
      </c>
      <c r="H667" s="11" t="s">
        <v>45</v>
      </c>
      <c r="I667" s="11">
        <v>7</v>
      </c>
      <c r="J667" s="11">
        <v>0</v>
      </c>
      <c r="K667" s="11" t="s">
        <v>46</v>
      </c>
      <c r="L667" s="47" t="s">
        <v>47</v>
      </c>
      <c r="M667" s="11" t="s">
        <v>781</v>
      </c>
      <c r="N667" s="11">
        <v>0</v>
      </c>
      <c r="O667" s="47" t="s">
        <v>48</v>
      </c>
      <c r="P667" s="11">
        <v>1801</v>
      </c>
      <c r="Q667" s="11"/>
      <c r="R667" s="11"/>
      <c r="S667" s="11">
        <v>0</v>
      </c>
      <c r="T667" s="11">
        <v>0</v>
      </c>
      <c r="U667" s="11"/>
      <c r="V667" s="11"/>
      <c r="W667" s="47" t="s">
        <v>47</v>
      </c>
      <c r="X667" s="47"/>
      <c r="Y667" s="47"/>
      <c r="Z667" s="11"/>
      <c r="AA667" s="11"/>
      <c r="AB667" s="11" t="s">
        <v>954</v>
      </c>
      <c r="AC667" s="11">
        <v>2141</v>
      </c>
      <c r="AD667" s="11" t="s">
        <v>51</v>
      </c>
      <c r="AE667" s="11" t="s">
        <v>51</v>
      </c>
      <c r="AF667" s="11" t="s">
        <v>51</v>
      </c>
      <c r="AG667" s="11"/>
      <c r="AH667" s="47" t="s">
        <v>52</v>
      </c>
      <c r="AI667" s="11">
        <v>1</v>
      </c>
      <c r="AJ667" s="11"/>
      <c r="AK667" s="11"/>
      <c r="AL667" s="11"/>
      <c r="AM667" s="11"/>
      <c r="AN667" s="47" t="s">
        <v>47</v>
      </c>
      <c r="AO667" s="11">
        <v>2811</v>
      </c>
      <c r="AP667" s="11" t="s">
        <v>53</v>
      </c>
      <c r="AQ667" s="2">
        <v>0</v>
      </c>
    </row>
    <row r="668" s="3" customFormat="1" ht="12.75" spans="1:43">
      <c r="A668" s="107">
        <v>180219</v>
      </c>
      <c r="B668" s="12" t="s">
        <v>951</v>
      </c>
      <c r="C668" s="12"/>
      <c r="D668" s="12"/>
      <c r="E668" s="12"/>
      <c r="F668" s="12">
        <v>0</v>
      </c>
      <c r="G668" s="12">
        <v>0</v>
      </c>
      <c r="H668" s="12" t="s">
        <v>45</v>
      </c>
      <c r="I668" s="12">
        <v>7</v>
      </c>
      <c r="J668" s="12">
        <v>0</v>
      </c>
      <c r="K668" s="12" t="s">
        <v>46</v>
      </c>
      <c r="L668" s="47" t="s">
        <v>47</v>
      </c>
      <c r="M668" s="12">
        <v>1010117</v>
      </c>
      <c r="N668" s="12">
        <v>0</v>
      </c>
      <c r="O668" s="47" t="s">
        <v>48</v>
      </c>
      <c r="P668" s="12">
        <v>1801</v>
      </c>
      <c r="Q668" s="12"/>
      <c r="R668" s="12"/>
      <c r="S668" s="12">
        <v>0</v>
      </c>
      <c r="T668" s="12">
        <v>0</v>
      </c>
      <c r="U668" s="12"/>
      <c r="V668" s="12"/>
      <c r="W668" s="47" t="s">
        <v>47</v>
      </c>
      <c r="X668" s="47"/>
      <c r="Y668" s="47"/>
      <c r="Z668" s="12"/>
      <c r="AA668" s="12"/>
      <c r="AB668" s="12" t="s">
        <v>955</v>
      </c>
      <c r="AC668" s="12">
        <v>2141</v>
      </c>
      <c r="AD668" s="12" t="s">
        <v>51</v>
      </c>
      <c r="AE668" s="12" t="s">
        <v>51</v>
      </c>
      <c r="AF668" s="12" t="s">
        <v>51</v>
      </c>
      <c r="AG668" s="12"/>
      <c r="AH668" s="47" t="s">
        <v>52</v>
      </c>
      <c r="AI668" s="12">
        <v>1</v>
      </c>
      <c r="AJ668" s="12"/>
      <c r="AK668" s="12"/>
      <c r="AL668" s="12"/>
      <c r="AM668" s="12"/>
      <c r="AN668" s="47" t="s">
        <v>47</v>
      </c>
      <c r="AO668" s="12">
        <v>2812</v>
      </c>
      <c r="AP668" s="12" t="s">
        <v>53</v>
      </c>
      <c r="AQ668" s="2">
        <v>0</v>
      </c>
    </row>
    <row r="669" s="2" customFormat="1" ht="12.75" spans="1:43">
      <c r="A669" s="107">
        <v>180220</v>
      </c>
      <c r="B669" s="11" t="s">
        <v>951</v>
      </c>
      <c r="C669" s="11"/>
      <c r="D669" s="11"/>
      <c r="E669" s="11"/>
      <c r="F669" s="11">
        <v>0</v>
      </c>
      <c r="G669" s="11">
        <v>0</v>
      </c>
      <c r="H669" s="11" t="s">
        <v>45</v>
      </c>
      <c r="I669" s="11">
        <v>7</v>
      </c>
      <c r="J669" s="11">
        <v>0</v>
      </c>
      <c r="K669" s="11" t="s">
        <v>46</v>
      </c>
      <c r="L669" s="47" t="s">
        <v>47</v>
      </c>
      <c r="M669" s="11">
        <v>1010129</v>
      </c>
      <c r="N669" s="11">
        <v>0</v>
      </c>
      <c r="O669" s="47" t="s">
        <v>48</v>
      </c>
      <c r="P669" s="11">
        <v>1801</v>
      </c>
      <c r="Q669" s="11"/>
      <c r="R669" s="11"/>
      <c r="S669" s="11">
        <v>0</v>
      </c>
      <c r="T669" s="11">
        <v>0</v>
      </c>
      <c r="U669" s="11"/>
      <c r="V669" s="11"/>
      <c r="W669" s="47" t="s">
        <v>47</v>
      </c>
      <c r="X669" s="47"/>
      <c r="Y669" s="47"/>
      <c r="Z669" s="11"/>
      <c r="AA669" s="11"/>
      <c r="AB669" s="11" t="s">
        <v>956</v>
      </c>
      <c r="AC669" s="11">
        <v>2141</v>
      </c>
      <c r="AD669" s="11" t="s">
        <v>51</v>
      </c>
      <c r="AE669" s="11" t="s">
        <v>51</v>
      </c>
      <c r="AF669" s="11" t="s">
        <v>51</v>
      </c>
      <c r="AG669" s="11"/>
      <c r="AH669" s="47" t="s">
        <v>52</v>
      </c>
      <c r="AI669" s="11">
        <v>1</v>
      </c>
      <c r="AJ669" s="11"/>
      <c r="AK669" s="11"/>
      <c r="AL669" s="11"/>
      <c r="AM669" s="11"/>
      <c r="AN669" s="47" t="s">
        <v>47</v>
      </c>
      <c r="AO669" s="11">
        <v>2813</v>
      </c>
      <c r="AP669" s="11" t="s">
        <v>53</v>
      </c>
      <c r="AQ669" s="2">
        <v>0</v>
      </c>
    </row>
    <row r="670" s="3" customFormat="1" ht="12.75" spans="1:43">
      <c r="A670" s="107">
        <v>180221</v>
      </c>
      <c r="B670" s="12" t="s">
        <v>951</v>
      </c>
      <c r="C670" s="12"/>
      <c r="D670" s="12"/>
      <c r="E670" s="12"/>
      <c r="F670" s="12">
        <v>0</v>
      </c>
      <c r="G670" s="12">
        <v>0</v>
      </c>
      <c r="H670" s="12" t="s">
        <v>45</v>
      </c>
      <c r="I670" s="12">
        <v>7</v>
      </c>
      <c r="J670" s="12">
        <v>0</v>
      </c>
      <c r="K670" s="12" t="s">
        <v>46</v>
      </c>
      <c r="L670" s="47" t="s">
        <v>47</v>
      </c>
      <c r="M670" s="12" t="s">
        <v>412</v>
      </c>
      <c r="N670" s="12">
        <v>0</v>
      </c>
      <c r="O670" s="47" t="s">
        <v>48</v>
      </c>
      <c r="P670" s="12">
        <v>1801</v>
      </c>
      <c r="Q670" s="12"/>
      <c r="R670" s="12"/>
      <c r="S670" s="12">
        <v>0</v>
      </c>
      <c r="T670" s="12">
        <v>0</v>
      </c>
      <c r="U670" s="12"/>
      <c r="V670" s="12"/>
      <c r="W670" s="47" t="s">
        <v>47</v>
      </c>
      <c r="X670" s="47"/>
      <c r="Y670" s="47"/>
      <c r="Z670" s="12"/>
      <c r="AA670" s="12"/>
      <c r="AB670" s="12" t="s">
        <v>957</v>
      </c>
      <c r="AC670" s="12">
        <v>2141</v>
      </c>
      <c r="AD670" s="12" t="s">
        <v>51</v>
      </c>
      <c r="AE670" s="12" t="s">
        <v>51</v>
      </c>
      <c r="AF670" s="12" t="s">
        <v>51</v>
      </c>
      <c r="AG670" s="12"/>
      <c r="AH670" s="47" t="s">
        <v>52</v>
      </c>
      <c r="AI670" s="12">
        <v>1</v>
      </c>
      <c r="AJ670" s="12"/>
      <c r="AK670" s="12"/>
      <c r="AL670" s="12"/>
      <c r="AM670" s="12"/>
      <c r="AN670" s="47" t="s">
        <v>47</v>
      </c>
      <c r="AO670" s="12">
        <v>2814</v>
      </c>
      <c r="AP670" s="12" t="s">
        <v>53</v>
      </c>
      <c r="AQ670" s="2">
        <v>0</v>
      </c>
    </row>
    <row r="671" s="2" customFormat="1" ht="12.75" spans="1:43">
      <c r="A671" s="107">
        <v>180222</v>
      </c>
      <c r="B671" s="11" t="s">
        <v>951</v>
      </c>
      <c r="C671" s="11"/>
      <c r="D671" s="11"/>
      <c r="E671" s="11"/>
      <c r="F671" s="11">
        <v>0</v>
      </c>
      <c r="G671" s="11">
        <v>0</v>
      </c>
      <c r="H671" s="11" t="s">
        <v>45</v>
      </c>
      <c r="I671" s="11">
        <v>7</v>
      </c>
      <c r="J671" s="11">
        <v>0</v>
      </c>
      <c r="K671" s="11" t="s">
        <v>46</v>
      </c>
      <c r="L671" s="47" t="s">
        <v>47</v>
      </c>
      <c r="M671" s="11">
        <v>1010133</v>
      </c>
      <c r="N671" s="11">
        <v>0</v>
      </c>
      <c r="O671" s="47" t="s">
        <v>48</v>
      </c>
      <c r="P671" s="11">
        <v>1801</v>
      </c>
      <c r="Q671" s="11"/>
      <c r="R671" s="11"/>
      <c r="S671" s="11">
        <v>0</v>
      </c>
      <c r="T671" s="11">
        <v>0</v>
      </c>
      <c r="U671" s="11"/>
      <c r="V671" s="11"/>
      <c r="W671" s="47" t="s">
        <v>47</v>
      </c>
      <c r="X671" s="47"/>
      <c r="Y671" s="47"/>
      <c r="Z671" s="11"/>
      <c r="AA671" s="11"/>
      <c r="AB671" s="11" t="s">
        <v>958</v>
      </c>
      <c r="AC671" s="11">
        <v>2141</v>
      </c>
      <c r="AD671" s="11" t="s">
        <v>51</v>
      </c>
      <c r="AE671" s="11" t="s">
        <v>51</v>
      </c>
      <c r="AF671" s="11" t="s">
        <v>51</v>
      </c>
      <c r="AG671" s="11"/>
      <c r="AH671" s="47" t="s">
        <v>52</v>
      </c>
      <c r="AI671" s="11">
        <v>1</v>
      </c>
      <c r="AJ671" s="11"/>
      <c r="AK671" s="11"/>
      <c r="AL671" s="11"/>
      <c r="AM671" s="11"/>
      <c r="AN671" s="47" t="s">
        <v>47</v>
      </c>
      <c r="AO671" s="11">
        <v>2815</v>
      </c>
      <c r="AP671" s="11" t="s">
        <v>53</v>
      </c>
      <c r="AQ671" s="2">
        <v>0</v>
      </c>
    </row>
    <row r="672" s="3" customFormat="1" ht="12.75" spans="1:43">
      <c r="A672" s="107">
        <v>180223</v>
      </c>
      <c r="B672" s="12" t="s">
        <v>951</v>
      </c>
      <c r="C672" s="12"/>
      <c r="D672" s="12"/>
      <c r="E672" s="12"/>
      <c r="F672" s="12">
        <v>0</v>
      </c>
      <c r="G672" s="12">
        <v>0</v>
      </c>
      <c r="H672" s="12" t="s">
        <v>45</v>
      </c>
      <c r="I672" s="12">
        <v>7</v>
      </c>
      <c r="J672" s="12">
        <v>0</v>
      </c>
      <c r="K672" s="12" t="s">
        <v>46</v>
      </c>
      <c r="L672" s="47" t="s">
        <v>47</v>
      </c>
      <c r="M672" s="12" t="s">
        <v>959</v>
      </c>
      <c r="N672" s="12">
        <v>0</v>
      </c>
      <c r="O672" s="47" t="s">
        <v>48</v>
      </c>
      <c r="P672" s="12">
        <v>1801</v>
      </c>
      <c r="Q672" s="12"/>
      <c r="R672" s="12"/>
      <c r="S672" s="12">
        <v>0</v>
      </c>
      <c r="T672" s="12">
        <v>0</v>
      </c>
      <c r="U672" s="12"/>
      <c r="V672" s="12"/>
      <c r="W672" s="47" t="s">
        <v>47</v>
      </c>
      <c r="X672" s="47"/>
      <c r="Y672" s="47"/>
      <c r="Z672" s="12"/>
      <c r="AA672" s="12"/>
      <c r="AB672" s="12" t="s">
        <v>960</v>
      </c>
      <c r="AC672" s="12">
        <v>2141</v>
      </c>
      <c r="AD672" s="12" t="s">
        <v>51</v>
      </c>
      <c r="AE672" s="12" t="s">
        <v>51</v>
      </c>
      <c r="AF672" s="12" t="s">
        <v>51</v>
      </c>
      <c r="AG672" s="12"/>
      <c r="AH672" s="47" t="s">
        <v>52</v>
      </c>
      <c r="AI672" s="12">
        <v>1</v>
      </c>
      <c r="AJ672" s="12"/>
      <c r="AK672" s="12"/>
      <c r="AL672" s="12"/>
      <c r="AM672" s="12"/>
      <c r="AN672" s="47" t="s">
        <v>47</v>
      </c>
      <c r="AO672" s="12">
        <v>2816</v>
      </c>
      <c r="AP672" s="12" t="s">
        <v>53</v>
      </c>
      <c r="AQ672" s="2">
        <v>0</v>
      </c>
    </row>
    <row r="673" s="2" customFormat="1" ht="12" spans="1:43">
      <c r="A673" s="11">
        <v>180301</v>
      </c>
      <c r="B673" s="11" t="s">
        <v>952</v>
      </c>
      <c r="C673" s="11"/>
      <c r="D673" s="11"/>
      <c r="E673" s="11"/>
      <c r="F673" s="11">
        <v>0</v>
      </c>
      <c r="G673" s="11">
        <v>0</v>
      </c>
      <c r="H673" s="11" t="s">
        <v>45</v>
      </c>
      <c r="I673" s="11">
        <v>7</v>
      </c>
      <c r="J673" s="11">
        <v>0</v>
      </c>
      <c r="K673" s="11" t="s">
        <v>46</v>
      </c>
      <c r="L673" s="47" t="s">
        <v>47</v>
      </c>
      <c r="M673" s="11" t="s">
        <v>316</v>
      </c>
      <c r="N673" s="11">
        <v>0</v>
      </c>
      <c r="O673" s="47" t="s">
        <v>48</v>
      </c>
      <c r="P673" s="11">
        <v>1801</v>
      </c>
      <c r="Q673" s="11"/>
      <c r="R673" s="11"/>
      <c r="S673" s="11">
        <v>0</v>
      </c>
      <c r="T673" s="11">
        <v>0</v>
      </c>
      <c r="U673" s="11"/>
      <c r="V673" s="11"/>
      <c r="W673" s="47" t="s">
        <v>47</v>
      </c>
      <c r="X673" s="47"/>
      <c r="Y673" s="47"/>
      <c r="Z673" s="11"/>
      <c r="AA673" s="11"/>
      <c r="AB673" s="11" t="s">
        <v>952</v>
      </c>
      <c r="AC673" s="11">
        <v>2141</v>
      </c>
      <c r="AD673" s="11" t="s">
        <v>51</v>
      </c>
      <c r="AE673" s="11" t="s">
        <v>51</v>
      </c>
      <c r="AF673" s="11" t="s">
        <v>51</v>
      </c>
      <c r="AG673" s="11"/>
      <c r="AH673" s="47" t="s">
        <v>52</v>
      </c>
      <c r="AI673" s="11">
        <v>1</v>
      </c>
      <c r="AJ673" s="11"/>
      <c r="AK673" s="11"/>
      <c r="AL673" s="11"/>
      <c r="AM673" s="11"/>
      <c r="AN673" s="47" t="s">
        <v>47</v>
      </c>
      <c r="AO673" s="11">
        <v>2471</v>
      </c>
      <c r="AP673" s="11" t="s">
        <v>53</v>
      </c>
      <c r="AQ673" s="2">
        <v>0</v>
      </c>
    </row>
    <row r="674" s="3" customFormat="1" ht="12" spans="1:43">
      <c r="A674" s="12">
        <v>180302</v>
      </c>
      <c r="B674" s="12" t="s">
        <v>953</v>
      </c>
      <c r="C674" s="12"/>
      <c r="D674" s="12"/>
      <c r="E674" s="12"/>
      <c r="F674" s="12">
        <v>0</v>
      </c>
      <c r="G674" s="12">
        <v>0</v>
      </c>
      <c r="H674" s="12" t="s">
        <v>45</v>
      </c>
      <c r="I674" s="12">
        <v>7</v>
      </c>
      <c r="J674" s="12">
        <v>0</v>
      </c>
      <c r="K674" s="12" t="s">
        <v>46</v>
      </c>
      <c r="L674" s="47" t="s">
        <v>47</v>
      </c>
      <c r="M674" s="12" t="s">
        <v>802</v>
      </c>
      <c r="N674" s="12">
        <v>0</v>
      </c>
      <c r="O674" s="47" t="s">
        <v>48</v>
      </c>
      <c r="P674" s="12">
        <v>1801</v>
      </c>
      <c r="Q674" s="12"/>
      <c r="R674" s="12"/>
      <c r="S674" s="12">
        <v>0</v>
      </c>
      <c r="T674" s="12">
        <v>0</v>
      </c>
      <c r="U674" s="12"/>
      <c r="V674" s="12"/>
      <c r="W674" s="47" t="s">
        <v>47</v>
      </c>
      <c r="X674" s="47"/>
      <c r="Y674" s="47"/>
      <c r="Z674" s="12"/>
      <c r="AA674" s="12"/>
      <c r="AB674" s="12" t="s">
        <v>953</v>
      </c>
      <c r="AC674" s="12">
        <v>2141</v>
      </c>
      <c r="AD674" s="12" t="s">
        <v>51</v>
      </c>
      <c r="AE674" s="12" t="s">
        <v>51</v>
      </c>
      <c r="AF674" s="12" t="s">
        <v>51</v>
      </c>
      <c r="AG674" s="12"/>
      <c r="AH674" s="47" t="s">
        <v>52</v>
      </c>
      <c r="AI674" s="12">
        <v>1</v>
      </c>
      <c r="AJ674" s="12"/>
      <c r="AK674" s="12"/>
      <c r="AL674" s="12"/>
      <c r="AM674" s="12"/>
      <c r="AN674" s="47" t="s">
        <v>47</v>
      </c>
      <c r="AO674" s="12">
        <v>2472</v>
      </c>
      <c r="AP674" s="12" t="s">
        <v>53</v>
      </c>
      <c r="AQ674" s="2">
        <v>0</v>
      </c>
    </row>
    <row r="675" s="2" customFormat="1" ht="12" spans="1:43">
      <c r="A675" s="11">
        <v>180303</v>
      </c>
      <c r="B675" s="11" t="s">
        <v>954</v>
      </c>
      <c r="C675" s="11"/>
      <c r="D675" s="11"/>
      <c r="E675" s="11"/>
      <c r="F675" s="11">
        <v>0</v>
      </c>
      <c r="G675" s="11">
        <v>0</v>
      </c>
      <c r="H675" s="11" t="s">
        <v>45</v>
      </c>
      <c r="I675" s="11">
        <v>7</v>
      </c>
      <c r="J675" s="11">
        <v>0</v>
      </c>
      <c r="K675" s="11" t="s">
        <v>46</v>
      </c>
      <c r="L675" s="47" t="s">
        <v>47</v>
      </c>
      <c r="M675" s="11" t="s">
        <v>781</v>
      </c>
      <c r="N675" s="11">
        <v>0</v>
      </c>
      <c r="O675" s="47" t="s">
        <v>48</v>
      </c>
      <c r="P675" s="11">
        <v>1801</v>
      </c>
      <c r="Q675" s="11"/>
      <c r="R675" s="11"/>
      <c r="S675" s="11">
        <v>0</v>
      </c>
      <c r="T675" s="11">
        <v>0</v>
      </c>
      <c r="U675" s="11"/>
      <c r="V675" s="11"/>
      <c r="W675" s="47" t="s">
        <v>47</v>
      </c>
      <c r="X675" s="47"/>
      <c r="Y675" s="47"/>
      <c r="Z675" s="11"/>
      <c r="AA675" s="11"/>
      <c r="AB675" s="11" t="s">
        <v>954</v>
      </c>
      <c r="AC675" s="11">
        <v>2141</v>
      </c>
      <c r="AD675" s="11" t="s">
        <v>51</v>
      </c>
      <c r="AE675" s="11" t="s">
        <v>51</v>
      </c>
      <c r="AF675" s="11" t="s">
        <v>51</v>
      </c>
      <c r="AG675" s="11"/>
      <c r="AH675" s="47" t="s">
        <v>52</v>
      </c>
      <c r="AI675" s="11">
        <v>1</v>
      </c>
      <c r="AJ675" s="11"/>
      <c r="AK675" s="11"/>
      <c r="AL675" s="11"/>
      <c r="AM675" s="11"/>
      <c r="AN675" s="47" t="s">
        <v>47</v>
      </c>
      <c r="AO675" s="11">
        <v>2473</v>
      </c>
      <c r="AP675" s="11" t="s">
        <v>53</v>
      </c>
      <c r="AQ675" s="2">
        <v>0</v>
      </c>
    </row>
    <row r="676" s="3" customFormat="1" ht="12" spans="1:43">
      <c r="A676" s="12">
        <v>180304</v>
      </c>
      <c r="B676" s="12" t="s">
        <v>955</v>
      </c>
      <c r="C676" s="12"/>
      <c r="D676" s="12"/>
      <c r="E676" s="12"/>
      <c r="F676" s="12">
        <v>0</v>
      </c>
      <c r="G676" s="12">
        <v>0</v>
      </c>
      <c r="H676" s="12" t="s">
        <v>45</v>
      </c>
      <c r="I676" s="12">
        <v>7</v>
      </c>
      <c r="J676" s="12">
        <v>0</v>
      </c>
      <c r="K676" s="12" t="s">
        <v>46</v>
      </c>
      <c r="L676" s="47" t="s">
        <v>47</v>
      </c>
      <c r="M676" s="12">
        <v>1010117</v>
      </c>
      <c r="N676" s="12">
        <v>0</v>
      </c>
      <c r="O676" s="47" t="s">
        <v>48</v>
      </c>
      <c r="P676" s="12">
        <v>1801</v>
      </c>
      <c r="Q676" s="12"/>
      <c r="R676" s="12"/>
      <c r="S676" s="12">
        <v>0</v>
      </c>
      <c r="T676" s="12">
        <v>0</v>
      </c>
      <c r="U676" s="12"/>
      <c r="V676" s="12"/>
      <c r="W676" s="47" t="s">
        <v>47</v>
      </c>
      <c r="X676" s="47"/>
      <c r="Y676" s="47"/>
      <c r="Z676" s="12"/>
      <c r="AA676" s="12"/>
      <c r="AB676" s="12" t="s">
        <v>955</v>
      </c>
      <c r="AC676" s="12">
        <v>2141</v>
      </c>
      <c r="AD676" s="12" t="s">
        <v>51</v>
      </c>
      <c r="AE676" s="12" t="s">
        <v>51</v>
      </c>
      <c r="AF676" s="12" t="s">
        <v>51</v>
      </c>
      <c r="AG676" s="12"/>
      <c r="AH676" s="47" t="s">
        <v>52</v>
      </c>
      <c r="AI676" s="12">
        <v>1</v>
      </c>
      <c r="AJ676" s="12"/>
      <c r="AK676" s="12"/>
      <c r="AL676" s="12"/>
      <c r="AM676" s="12"/>
      <c r="AN676" s="47" t="s">
        <v>47</v>
      </c>
      <c r="AO676" s="12">
        <v>2474</v>
      </c>
      <c r="AP676" s="12" t="s">
        <v>53</v>
      </c>
      <c r="AQ676" s="2">
        <v>0</v>
      </c>
    </row>
    <row r="677" s="2" customFormat="1" ht="12" spans="1:43">
      <c r="A677" s="11">
        <v>180305</v>
      </c>
      <c r="B677" s="11" t="s">
        <v>956</v>
      </c>
      <c r="C677" s="11"/>
      <c r="D677" s="11"/>
      <c r="E677" s="11"/>
      <c r="F677" s="11">
        <v>0</v>
      </c>
      <c r="G677" s="11">
        <v>0</v>
      </c>
      <c r="H677" s="11" t="s">
        <v>45</v>
      </c>
      <c r="I677" s="11">
        <v>7</v>
      </c>
      <c r="J677" s="11">
        <v>0</v>
      </c>
      <c r="K677" s="11" t="s">
        <v>46</v>
      </c>
      <c r="L677" s="47" t="s">
        <v>47</v>
      </c>
      <c r="M677" s="11">
        <v>1010129</v>
      </c>
      <c r="N677" s="11">
        <v>0</v>
      </c>
      <c r="O677" s="47" t="s">
        <v>48</v>
      </c>
      <c r="P677" s="11">
        <v>1801</v>
      </c>
      <c r="Q677" s="11"/>
      <c r="R677" s="11"/>
      <c r="S677" s="11">
        <v>0</v>
      </c>
      <c r="T677" s="11">
        <v>0</v>
      </c>
      <c r="U677" s="11"/>
      <c r="V677" s="11"/>
      <c r="W677" s="47" t="s">
        <v>47</v>
      </c>
      <c r="X677" s="47"/>
      <c r="Y677" s="47"/>
      <c r="Z677" s="11"/>
      <c r="AA677" s="11"/>
      <c r="AB677" s="11" t="s">
        <v>956</v>
      </c>
      <c r="AC677" s="11">
        <v>2141</v>
      </c>
      <c r="AD677" s="11" t="s">
        <v>51</v>
      </c>
      <c r="AE677" s="11" t="s">
        <v>51</v>
      </c>
      <c r="AF677" s="11" t="s">
        <v>51</v>
      </c>
      <c r="AG677" s="11"/>
      <c r="AH677" s="47" t="s">
        <v>52</v>
      </c>
      <c r="AI677" s="11">
        <v>1</v>
      </c>
      <c r="AJ677" s="11"/>
      <c r="AK677" s="11"/>
      <c r="AL677" s="11"/>
      <c r="AM677" s="11"/>
      <c r="AN677" s="47" t="s">
        <v>47</v>
      </c>
      <c r="AO677" s="11">
        <v>2475</v>
      </c>
      <c r="AP677" s="11" t="s">
        <v>53</v>
      </c>
      <c r="AQ677" s="2">
        <v>0</v>
      </c>
    </row>
    <row r="678" s="3" customFormat="1" ht="12" spans="1:43">
      <c r="A678" s="12">
        <v>180306</v>
      </c>
      <c r="B678" s="12" t="s">
        <v>957</v>
      </c>
      <c r="C678" s="12"/>
      <c r="D678" s="12"/>
      <c r="E678" s="12"/>
      <c r="F678" s="12">
        <v>0</v>
      </c>
      <c r="G678" s="12">
        <v>0</v>
      </c>
      <c r="H678" s="12" t="s">
        <v>45</v>
      </c>
      <c r="I678" s="12">
        <v>7</v>
      </c>
      <c r="J678" s="12">
        <v>0</v>
      </c>
      <c r="K678" s="12" t="s">
        <v>46</v>
      </c>
      <c r="L678" s="47" t="s">
        <v>47</v>
      </c>
      <c r="M678" s="12" t="s">
        <v>412</v>
      </c>
      <c r="N678" s="12">
        <v>0</v>
      </c>
      <c r="O678" s="47" t="s">
        <v>48</v>
      </c>
      <c r="P678" s="12">
        <v>1801</v>
      </c>
      <c r="Q678" s="12"/>
      <c r="R678" s="12"/>
      <c r="S678" s="12">
        <v>0</v>
      </c>
      <c r="T678" s="12">
        <v>0</v>
      </c>
      <c r="U678" s="12"/>
      <c r="V678" s="12"/>
      <c r="W678" s="47" t="s">
        <v>47</v>
      </c>
      <c r="X678" s="47"/>
      <c r="Y678" s="47"/>
      <c r="Z678" s="12"/>
      <c r="AA678" s="12"/>
      <c r="AB678" s="12" t="s">
        <v>957</v>
      </c>
      <c r="AC678" s="12">
        <v>2141</v>
      </c>
      <c r="AD678" s="12" t="s">
        <v>51</v>
      </c>
      <c r="AE678" s="12" t="s">
        <v>51</v>
      </c>
      <c r="AF678" s="12" t="s">
        <v>51</v>
      </c>
      <c r="AG678" s="12"/>
      <c r="AH678" s="47" t="s">
        <v>52</v>
      </c>
      <c r="AI678" s="12">
        <v>1</v>
      </c>
      <c r="AJ678" s="12"/>
      <c r="AK678" s="12"/>
      <c r="AL678" s="12"/>
      <c r="AM678" s="12"/>
      <c r="AN678" s="47" t="s">
        <v>47</v>
      </c>
      <c r="AO678" s="12">
        <v>2476</v>
      </c>
      <c r="AP678" s="12" t="s">
        <v>53</v>
      </c>
      <c r="AQ678" s="2">
        <v>0</v>
      </c>
    </row>
    <row r="679" s="2" customFormat="1" ht="12" spans="1:43">
      <c r="A679" s="11">
        <v>180307</v>
      </c>
      <c r="B679" s="11" t="s">
        <v>958</v>
      </c>
      <c r="C679" s="11"/>
      <c r="D679" s="11"/>
      <c r="E679" s="11"/>
      <c r="F679" s="11">
        <v>0</v>
      </c>
      <c r="G679" s="11">
        <v>0</v>
      </c>
      <c r="H679" s="11" t="s">
        <v>45</v>
      </c>
      <c r="I679" s="11">
        <v>7</v>
      </c>
      <c r="J679" s="11">
        <v>0</v>
      </c>
      <c r="K679" s="11" t="s">
        <v>46</v>
      </c>
      <c r="L679" s="47" t="s">
        <v>47</v>
      </c>
      <c r="M679" s="11">
        <v>1010133</v>
      </c>
      <c r="N679" s="11">
        <v>0</v>
      </c>
      <c r="O679" s="47" t="s">
        <v>48</v>
      </c>
      <c r="P679" s="11">
        <v>1801</v>
      </c>
      <c r="Q679" s="11"/>
      <c r="R679" s="11"/>
      <c r="S679" s="11">
        <v>0</v>
      </c>
      <c r="T679" s="11">
        <v>0</v>
      </c>
      <c r="U679" s="11"/>
      <c r="V679" s="11"/>
      <c r="W679" s="47" t="s">
        <v>47</v>
      </c>
      <c r="X679" s="47"/>
      <c r="Y679" s="47"/>
      <c r="Z679" s="11"/>
      <c r="AA679" s="11"/>
      <c r="AB679" s="11" t="s">
        <v>958</v>
      </c>
      <c r="AC679" s="11">
        <v>2141</v>
      </c>
      <c r="AD679" s="11" t="s">
        <v>51</v>
      </c>
      <c r="AE679" s="11" t="s">
        <v>51</v>
      </c>
      <c r="AF679" s="11" t="s">
        <v>51</v>
      </c>
      <c r="AG679" s="11"/>
      <c r="AH679" s="47" t="s">
        <v>52</v>
      </c>
      <c r="AI679" s="11">
        <v>1</v>
      </c>
      <c r="AJ679" s="11"/>
      <c r="AK679" s="11"/>
      <c r="AL679" s="11"/>
      <c r="AM679" s="11"/>
      <c r="AN679" s="47" t="s">
        <v>47</v>
      </c>
      <c r="AO679" s="11">
        <v>2477</v>
      </c>
      <c r="AP679" s="11" t="s">
        <v>53</v>
      </c>
      <c r="AQ679" s="2">
        <v>0</v>
      </c>
    </row>
    <row r="680" s="3" customFormat="1" ht="12" spans="1:43">
      <c r="A680" s="12">
        <v>180308</v>
      </c>
      <c r="B680" s="12" t="s">
        <v>960</v>
      </c>
      <c r="C680" s="12"/>
      <c r="D680" s="12"/>
      <c r="E680" s="12"/>
      <c r="F680" s="12">
        <v>0</v>
      </c>
      <c r="G680" s="12">
        <v>0</v>
      </c>
      <c r="H680" s="12" t="s">
        <v>45</v>
      </c>
      <c r="I680" s="12">
        <v>7</v>
      </c>
      <c r="J680" s="12">
        <v>0</v>
      </c>
      <c r="K680" s="12" t="s">
        <v>46</v>
      </c>
      <c r="L680" s="47" t="s">
        <v>47</v>
      </c>
      <c r="M680" s="12" t="s">
        <v>959</v>
      </c>
      <c r="N680" s="12">
        <v>0</v>
      </c>
      <c r="O680" s="47" t="s">
        <v>48</v>
      </c>
      <c r="P680" s="12">
        <v>1801</v>
      </c>
      <c r="Q680" s="12"/>
      <c r="R680" s="12"/>
      <c r="S680" s="12">
        <v>0</v>
      </c>
      <c r="T680" s="12">
        <v>0</v>
      </c>
      <c r="U680" s="12"/>
      <c r="V680" s="12"/>
      <c r="W680" s="47" t="s">
        <v>47</v>
      </c>
      <c r="X680" s="47"/>
      <c r="Y680" s="47"/>
      <c r="Z680" s="12"/>
      <c r="AA680" s="12"/>
      <c r="AB680" s="12" t="s">
        <v>960</v>
      </c>
      <c r="AC680" s="12">
        <v>2141</v>
      </c>
      <c r="AD680" s="12" t="s">
        <v>51</v>
      </c>
      <c r="AE680" s="12" t="s">
        <v>51</v>
      </c>
      <c r="AF680" s="12" t="s">
        <v>51</v>
      </c>
      <c r="AG680" s="12"/>
      <c r="AH680" s="47" t="s">
        <v>52</v>
      </c>
      <c r="AI680" s="12">
        <v>1</v>
      </c>
      <c r="AJ680" s="12"/>
      <c r="AK680" s="12"/>
      <c r="AL680" s="12"/>
      <c r="AM680" s="12"/>
      <c r="AN680" s="47" t="s">
        <v>47</v>
      </c>
      <c r="AO680" s="12">
        <v>2478</v>
      </c>
      <c r="AP680" s="12" t="s">
        <v>53</v>
      </c>
      <c r="AQ680" s="2">
        <v>0</v>
      </c>
    </row>
    <row r="681" s="2" customFormat="1" ht="12" spans="1:43">
      <c r="A681" s="11">
        <v>180309</v>
      </c>
      <c r="B681" s="11" t="s">
        <v>961</v>
      </c>
      <c r="C681" s="11"/>
      <c r="D681" s="11"/>
      <c r="E681" s="11"/>
      <c r="F681" s="11">
        <v>0</v>
      </c>
      <c r="G681" s="11">
        <v>0</v>
      </c>
      <c r="H681" s="11" t="s">
        <v>45</v>
      </c>
      <c r="I681" s="11">
        <v>7</v>
      </c>
      <c r="J681" s="11">
        <v>0</v>
      </c>
      <c r="K681" s="11" t="s">
        <v>46</v>
      </c>
      <c r="L681" s="47" t="s">
        <v>47</v>
      </c>
      <c r="M681" s="11">
        <v>1010129</v>
      </c>
      <c r="N681" s="11">
        <v>0</v>
      </c>
      <c r="O681" s="47" t="s">
        <v>48</v>
      </c>
      <c r="P681" s="11">
        <v>1801</v>
      </c>
      <c r="Q681" s="11"/>
      <c r="R681" s="11"/>
      <c r="S681" s="11">
        <v>0</v>
      </c>
      <c r="T681" s="11">
        <v>0</v>
      </c>
      <c r="U681" s="11"/>
      <c r="V681" s="11"/>
      <c r="W681" s="47" t="s">
        <v>47</v>
      </c>
      <c r="X681" s="47"/>
      <c r="Y681" s="47"/>
      <c r="Z681" s="11"/>
      <c r="AA681" s="11"/>
      <c r="AB681" s="11" t="s">
        <v>952</v>
      </c>
      <c r="AC681" s="11">
        <v>2141</v>
      </c>
      <c r="AD681" s="11" t="s">
        <v>51</v>
      </c>
      <c r="AE681" s="11" t="s">
        <v>51</v>
      </c>
      <c r="AF681" s="11" t="s">
        <v>51</v>
      </c>
      <c r="AG681" s="11"/>
      <c r="AH681" s="47" t="s">
        <v>52</v>
      </c>
      <c r="AI681" s="11">
        <v>1</v>
      </c>
      <c r="AJ681" s="11"/>
      <c r="AK681" s="11"/>
      <c r="AL681" s="11"/>
      <c r="AM681" s="11"/>
      <c r="AN681" s="47" t="s">
        <v>47</v>
      </c>
      <c r="AO681" s="11">
        <v>2471</v>
      </c>
      <c r="AP681" s="11" t="s">
        <v>53</v>
      </c>
      <c r="AQ681" s="2">
        <v>0</v>
      </c>
    </row>
    <row r="682" s="3" customFormat="1" ht="12" spans="1:43">
      <c r="A682" s="11">
        <v>180310</v>
      </c>
      <c r="B682" s="11" t="s">
        <v>962</v>
      </c>
      <c r="C682" s="12"/>
      <c r="D682" s="12"/>
      <c r="E682" s="12"/>
      <c r="F682" s="12">
        <v>0</v>
      </c>
      <c r="G682" s="12">
        <v>0</v>
      </c>
      <c r="H682" s="12" t="s">
        <v>45</v>
      </c>
      <c r="I682" s="12">
        <v>7</v>
      </c>
      <c r="J682" s="12">
        <v>0</v>
      </c>
      <c r="K682" s="12" t="s">
        <v>46</v>
      </c>
      <c r="L682" s="47" t="s">
        <v>47</v>
      </c>
      <c r="M682" s="12">
        <v>1010122</v>
      </c>
      <c r="N682" s="12">
        <v>0</v>
      </c>
      <c r="O682" s="47" t="s">
        <v>48</v>
      </c>
      <c r="P682" s="12">
        <v>1801</v>
      </c>
      <c r="Q682" s="12"/>
      <c r="R682" s="12"/>
      <c r="S682" s="12">
        <v>0</v>
      </c>
      <c r="T682" s="12">
        <v>0</v>
      </c>
      <c r="U682" s="12"/>
      <c r="V682" s="12"/>
      <c r="W682" s="47" t="s">
        <v>47</v>
      </c>
      <c r="X682" s="47"/>
      <c r="Y682" s="47"/>
      <c r="Z682" s="12"/>
      <c r="AA682" s="12"/>
      <c r="AB682" s="12" t="s">
        <v>953</v>
      </c>
      <c r="AC682" s="12">
        <v>2141</v>
      </c>
      <c r="AD682" s="12" t="s">
        <v>51</v>
      </c>
      <c r="AE682" s="12" t="s">
        <v>51</v>
      </c>
      <c r="AF682" s="12" t="s">
        <v>51</v>
      </c>
      <c r="AG682" s="12"/>
      <c r="AH682" s="47" t="s">
        <v>52</v>
      </c>
      <c r="AI682" s="12">
        <v>1</v>
      </c>
      <c r="AJ682" s="12"/>
      <c r="AK682" s="12"/>
      <c r="AL682" s="12"/>
      <c r="AM682" s="12"/>
      <c r="AN682" s="47" t="s">
        <v>47</v>
      </c>
      <c r="AO682" s="12">
        <v>2472</v>
      </c>
      <c r="AP682" s="12" t="s">
        <v>53</v>
      </c>
      <c r="AQ682" s="2">
        <v>0</v>
      </c>
    </row>
    <row r="683" s="2" customFormat="1" ht="12" spans="1:43">
      <c r="A683" s="11">
        <v>180311</v>
      </c>
      <c r="B683" s="11" t="s">
        <v>963</v>
      </c>
      <c r="C683" s="11"/>
      <c r="D683" s="11"/>
      <c r="E683" s="11"/>
      <c r="F683" s="11">
        <v>0</v>
      </c>
      <c r="G683" s="11">
        <v>0</v>
      </c>
      <c r="H683" s="11" t="s">
        <v>45</v>
      </c>
      <c r="I683" s="11">
        <v>7</v>
      </c>
      <c r="J683" s="11">
        <v>0</v>
      </c>
      <c r="K683" s="11" t="s">
        <v>46</v>
      </c>
      <c r="L683" s="47" t="s">
        <v>47</v>
      </c>
      <c r="M683" s="11">
        <v>1010145</v>
      </c>
      <c r="N683" s="11">
        <v>0</v>
      </c>
      <c r="O683" s="47" t="s">
        <v>48</v>
      </c>
      <c r="P683" s="11">
        <v>1801</v>
      </c>
      <c r="Q683" s="11"/>
      <c r="R683" s="11"/>
      <c r="S683" s="11">
        <v>0</v>
      </c>
      <c r="T683" s="11">
        <v>0</v>
      </c>
      <c r="U683" s="11"/>
      <c r="V683" s="11"/>
      <c r="W683" s="47" t="s">
        <v>47</v>
      </c>
      <c r="X683" s="47"/>
      <c r="Y683" s="47"/>
      <c r="Z683" s="11"/>
      <c r="AA683" s="11"/>
      <c r="AB683" s="11" t="s">
        <v>954</v>
      </c>
      <c r="AC683" s="11">
        <v>2141</v>
      </c>
      <c r="AD683" s="11" t="s">
        <v>51</v>
      </c>
      <c r="AE683" s="11" t="s">
        <v>51</v>
      </c>
      <c r="AF683" s="11" t="s">
        <v>51</v>
      </c>
      <c r="AG683" s="11"/>
      <c r="AH683" s="47" t="s">
        <v>52</v>
      </c>
      <c r="AI683" s="11">
        <v>1</v>
      </c>
      <c r="AJ683" s="11"/>
      <c r="AK683" s="11"/>
      <c r="AL683" s="11"/>
      <c r="AM683" s="11"/>
      <c r="AN683" s="47" t="s">
        <v>47</v>
      </c>
      <c r="AO683" s="11">
        <v>2473</v>
      </c>
      <c r="AP683" s="11" t="s">
        <v>53</v>
      </c>
      <c r="AQ683" s="2">
        <v>0</v>
      </c>
    </row>
    <row r="684" s="3" customFormat="1" ht="12" spans="1:43">
      <c r="A684" s="11">
        <v>180312</v>
      </c>
      <c r="B684" s="11" t="s">
        <v>964</v>
      </c>
      <c r="C684" s="12"/>
      <c r="D684" s="12"/>
      <c r="E684" s="12"/>
      <c r="F684" s="12">
        <v>0</v>
      </c>
      <c r="G684" s="12">
        <v>0</v>
      </c>
      <c r="H684" s="12" t="s">
        <v>45</v>
      </c>
      <c r="I684" s="12">
        <v>7</v>
      </c>
      <c r="J684" s="12">
        <v>0</v>
      </c>
      <c r="K684" s="12" t="s">
        <v>46</v>
      </c>
      <c r="L684" s="47" t="s">
        <v>47</v>
      </c>
      <c r="M684" s="12">
        <v>1010139</v>
      </c>
      <c r="N684" s="12">
        <v>0</v>
      </c>
      <c r="O684" s="47" t="s">
        <v>48</v>
      </c>
      <c r="P684" s="12">
        <v>1801</v>
      </c>
      <c r="Q684" s="12"/>
      <c r="R684" s="12"/>
      <c r="S684" s="12">
        <v>0</v>
      </c>
      <c r="T684" s="12">
        <v>0</v>
      </c>
      <c r="U684" s="12"/>
      <c r="V684" s="12"/>
      <c r="W684" s="47" t="s">
        <v>47</v>
      </c>
      <c r="X684" s="47"/>
      <c r="Y684" s="47"/>
      <c r="Z684" s="12"/>
      <c r="AA684" s="12"/>
      <c r="AB684" s="12" t="s">
        <v>955</v>
      </c>
      <c r="AC684" s="12">
        <v>2141</v>
      </c>
      <c r="AD684" s="12" t="s">
        <v>51</v>
      </c>
      <c r="AE684" s="12" t="s">
        <v>51</v>
      </c>
      <c r="AF684" s="12" t="s">
        <v>51</v>
      </c>
      <c r="AG684" s="12"/>
      <c r="AH684" s="47" t="s">
        <v>52</v>
      </c>
      <c r="AI684" s="12">
        <v>1</v>
      </c>
      <c r="AJ684" s="12"/>
      <c r="AK684" s="12"/>
      <c r="AL684" s="12"/>
      <c r="AM684" s="12"/>
      <c r="AN684" s="47" t="s">
        <v>47</v>
      </c>
      <c r="AO684" s="12">
        <v>2474</v>
      </c>
      <c r="AP684" s="12" t="s">
        <v>53</v>
      </c>
      <c r="AQ684" s="2">
        <v>0</v>
      </c>
    </row>
    <row r="685" s="2" customFormat="1" ht="12" spans="1:43">
      <c r="A685" s="11">
        <v>180313</v>
      </c>
      <c r="B685" s="11" t="s">
        <v>965</v>
      </c>
      <c r="C685" s="11"/>
      <c r="D685" s="11"/>
      <c r="E685" s="11"/>
      <c r="F685" s="11">
        <v>0</v>
      </c>
      <c r="G685" s="11">
        <v>0</v>
      </c>
      <c r="H685" s="11" t="s">
        <v>45</v>
      </c>
      <c r="I685" s="11">
        <v>7</v>
      </c>
      <c r="J685" s="11">
        <v>0</v>
      </c>
      <c r="K685" s="11" t="s">
        <v>46</v>
      </c>
      <c r="L685" s="47" t="s">
        <v>47</v>
      </c>
      <c r="M685" s="11">
        <v>1010133</v>
      </c>
      <c r="N685" s="11">
        <v>0</v>
      </c>
      <c r="O685" s="47" t="s">
        <v>48</v>
      </c>
      <c r="P685" s="11">
        <v>1801</v>
      </c>
      <c r="Q685" s="11"/>
      <c r="R685" s="11"/>
      <c r="S685" s="11">
        <v>0</v>
      </c>
      <c r="T685" s="11">
        <v>0</v>
      </c>
      <c r="U685" s="11"/>
      <c r="V685" s="11"/>
      <c r="W685" s="47" t="s">
        <v>47</v>
      </c>
      <c r="X685" s="47"/>
      <c r="Y685" s="47"/>
      <c r="Z685" s="11"/>
      <c r="AA685" s="11"/>
      <c r="AB685" s="11" t="s">
        <v>956</v>
      </c>
      <c r="AC685" s="11">
        <v>2141</v>
      </c>
      <c r="AD685" s="11" t="s">
        <v>51</v>
      </c>
      <c r="AE685" s="11" t="s">
        <v>51</v>
      </c>
      <c r="AF685" s="11" t="s">
        <v>51</v>
      </c>
      <c r="AG685" s="11"/>
      <c r="AH685" s="47" t="s">
        <v>52</v>
      </c>
      <c r="AI685" s="11">
        <v>1</v>
      </c>
      <c r="AJ685" s="11"/>
      <c r="AK685" s="11"/>
      <c r="AL685" s="11"/>
      <c r="AM685" s="11"/>
      <c r="AN685" s="47" t="s">
        <v>47</v>
      </c>
      <c r="AO685" s="11">
        <v>2475</v>
      </c>
      <c r="AP685" s="11" t="s">
        <v>53</v>
      </c>
      <c r="AQ685" s="2">
        <v>0</v>
      </c>
    </row>
    <row r="686" s="3" customFormat="1" ht="12" spans="1:43">
      <c r="A686" s="11">
        <v>180314</v>
      </c>
      <c r="B686" s="11" t="s">
        <v>966</v>
      </c>
      <c r="C686" s="12"/>
      <c r="D686" s="12"/>
      <c r="E686" s="12"/>
      <c r="F686" s="12">
        <v>0</v>
      </c>
      <c r="G686" s="12">
        <v>0</v>
      </c>
      <c r="H686" s="12" t="s">
        <v>45</v>
      </c>
      <c r="I686" s="12">
        <v>7</v>
      </c>
      <c r="J686" s="12">
        <v>0</v>
      </c>
      <c r="K686" s="12" t="s">
        <v>46</v>
      </c>
      <c r="L686" s="47" t="s">
        <v>47</v>
      </c>
      <c r="M686" s="12">
        <v>1010117</v>
      </c>
      <c r="N686" s="12">
        <v>0</v>
      </c>
      <c r="O686" s="47" t="s">
        <v>48</v>
      </c>
      <c r="P686" s="12">
        <v>1801</v>
      </c>
      <c r="Q686" s="12"/>
      <c r="R686" s="12"/>
      <c r="S686" s="12">
        <v>0</v>
      </c>
      <c r="T686" s="12">
        <v>0</v>
      </c>
      <c r="U686" s="12"/>
      <c r="V686" s="12"/>
      <c r="W686" s="47" t="s">
        <v>47</v>
      </c>
      <c r="X686" s="47"/>
      <c r="Y686" s="47"/>
      <c r="Z686" s="12"/>
      <c r="AA686" s="12"/>
      <c r="AB686" s="12" t="s">
        <v>957</v>
      </c>
      <c r="AC686" s="12">
        <v>2141</v>
      </c>
      <c r="AD686" s="12" t="s">
        <v>51</v>
      </c>
      <c r="AE686" s="12" t="s">
        <v>51</v>
      </c>
      <c r="AF686" s="12" t="s">
        <v>51</v>
      </c>
      <c r="AG686" s="12"/>
      <c r="AH686" s="47" t="s">
        <v>52</v>
      </c>
      <c r="AI686" s="12">
        <v>1</v>
      </c>
      <c r="AJ686" s="12"/>
      <c r="AK686" s="12"/>
      <c r="AL686" s="12"/>
      <c r="AM686" s="12"/>
      <c r="AN686" s="47" t="s">
        <v>47</v>
      </c>
      <c r="AO686" s="12">
        <v>2476</v>
      </c>
      <c r="AP686" s="12" t="s">
        <v>53</v>
      </c>
      <c r="AQ686" s="2">
        <v>0</v>
      </c>
    </row>
    <row r="687" s="2" customFormat="1" ht="12" spans="1:43">
      <c r="A687" s="11">
        <v>180315</v>
      </c>
      <c r="B687" s="11" t="s">
        <v>967</v>
      </c>
      <c r="C687" s="11"/>
      <c r="D687" s="11"/>
      <c r="E687" s="11"/>
      <c r="F687" s="11">
        <v>0</v>
      </c>
      <c r="G687" s="11">
        <v>0</v>
      </c>
      <c r="H687" s="11" t="s">
        <v>45</v>
      </c>
      <c r="I687" s="11">
        <v>7</v>
      </c>
      <c r="J687" s="11">
        <v>0</v>
      </c>
      <c r="K687" s="11" t="s">
        <v>46</v>
      </c>
      <c r="L687" s="47" t="s">
        <v>47</v>
      </c>
      <c r="M687" s="11" t="s">
        <v>968</v>
      </c>
      <c r="N687" s="11">
        <v>0</v>
      </c>
      <c r="O687" s="47" t="s">
        <v>48</v>
      </c>
      <c r="P687" s="11">
        <v>1801</v>
      </c>
      <c r="Q687" s="11"/>
      <c r="R687" s="11"/>
      <c r="S687" s="11">
        <v>0</v>
      </c>
      <c r="T687" s="11">
        <v>0</v>
      </c>
      <c r="U687" s="11"/>
      <c r="V687" s="11"/>
      <c r="W687" s="47" t="s">
        <v>47</v>
      </c>
      <c r="X687" s="47"/>
      <c r="Y687" s="47"/>
      <c r="Z687" s="11"/>
      <c r="AA687" s="11"/>
      <c r="AB687" s="11" t="s">
        <v>958</v>
      </c>
      <c r="AC687" s="11">
        <v>2141</v>
      </c>
      <c r="AD687" s="11" t="s">
        <v>51</v>
      </c>
      <c r="AE687" s="11" t="s">
        <v>51</v>
      </c>
      <c r="AF687" s="11" t="s">
        <v>51</v>
      </c>
      <c r="AG687" s="11"/>
      <c r="AH687" s="47" t="s">
        <v>52</v>
      </c>
      <c r="AI687" s="11">
        <v>1</v>
      </c>
      <c r="AJ687" s="11"/>
      <c r="AK687" s="11"/>
      <c r="AL687" s="11"/>
      <c r="AM687" s="11"/>
      <c r="AN687" s="47" t="s">
        <v>47</v>
      </c>
      <c r="AO687" s="11">
        <v>2477</v>
      </c>
      <c r="AP687" s="11" t="s">
        <v>53</v>
      </c>
      <c r="AQ687" s="2">
        <v>0</v>
      </c>
    </row>
    <row r="688" s="3" customFormat="1" ht="12" spans="1:43">
      <c r="A688" s="11">
        <v>180316</v>
      </c>
      <c r="B688" s="11" t="s">
        <v>969</v>
      </c>
      <c r="C688" s="12"/>
      <c r="D688" s="12"/>
      <c r="E688" s="12"/>
      <c r="F688" s="12">
        <v>0</v>
      </c>
      <c r="G688" s="12">
        <v>0</v>
      </c>
      <c r="H688" s="12" t="s">
        <v>45</v>
      </c>
      <c r="I688" s="12">
        <v>7</v>
      </c>
      <c r="J688" s="12">
        <v>0</v>
      </c>
      <c r="K688" s="12" t="s">
        <v>46</v>
      </c>
      <c r="L688" s="47" t="s">
        <v>47</v>
      </c>
      <c r="M688" s="12" t="s">
        <v>785</v>
      </c>
      <c r="N688" s="12">
        <v>0</v>
      </c>
      <c r="O688" s="47" t="s">
        <v>48</v>
      </c>
      <c r="P688" s="12">
        <v>1801</v>
      </c>
      <c r="Q688" s="12"/>
      <c r="R688" s="12"/>
      <c r="S688" s="12">
        <v>0</v>
      </c>
      <c r="T688" s="12">
        <v>0</v>
      </c>
      <c r="U688" s="12"/>
      <c r="V688" s="12"/>
      <c r="W688" s="47" t="s">
        <v>47</v>
      </c>
      <c r="X688" s="47"/>
      <c r="Y688" s="47"/>
      <c r="Z688" s="12"/>
      <c r="AA688" s="12"/>
      <c r="AB688" s="12" t="s">
        <v>960</v>
      </c>
      <c r="AC688" s="12">
        <v>2141</v>
      </c>
      <c r="AD688" s="12" t="s">
        <v>51</v>
      </c>
      <c r="AE688" s="12" t="s">
        <v>51</v>
      </c>
      <c r="AF688" s="12" t="s">
        <v>51</v>
      </c>
      <c r="AG688" s="12"/>
      <c r="AH688" s="47" t="s">
        <v>52</v>
      </c>
      <c r="AI688" s="12">
        <v>1</v>
      </c>
      <c r="AJ688" s="12"/>
      <c r="AK688" s="12"/>
      <c r="AL688" s="12"/>
      <c r="AM688" s="12"/>
      <c r="AN688" s="47" t="s">
        <v>47</v>
      </c>
      <c r="AO688" s="12">
        <v>2478</v>
      </c>
      <c r="AP688" s="12" t="s">
        <v>53</v>
      </c>
      <c r="AQ688" s="2">
        <v>0</v>
      </c>
    </row>
    <row r="689" s="10" customFormat="1" ht="12" spans="1:43">
      <c r="A689" s="63">
        <v>180320</v>
      </c>
      <c r="B689" s="63" t="s">
        <v>970</v>
      </c>
      <c r="C689" s="63"/>
      <c r="D689" s="63"/>
      <c r="E689" s="63"/>
      <c r="F689" s="63">
        <v>0</v>
      </c>
      <c r="G689" s="63">
        <v>0</v>
      </c>
      <c r="H689" s="63" t="s">
        <v>45</v>
      </c>
      <c r="I689" s="63">
        <v>18</v>
      </c>
      <c r="J689" s="63">
        <v>0</v>
      </c>
      <c r="K689" s="63" t="s">
        <v>46</v>
      </c>
      <c r="L689" s="63" t="s">
        <v>47</v>
      </c>
      <c r="M689" s="63">
        <v>1030013</v>
      </c>
      <c r="N689" s="63">
        <v>0</v>
      </c>
      <c r="O689" s="63" t="s">
        <v>48</v>
      </c>
      <c r="P689" s="63">
        <v>1901</v>
      </c>
      <c r="Q689" s="63"/>
      <c r="R689" s="63"/>
      <c r="S689" s="63">
        <v>0</v>
      </c>
      <c r="T689" s="63">
        <v>0</v>
      </c>
      <c r="U689" s="63"/>
      <c r="V689" s="63"/>
      <c r="W689" s="63" t="s">
        <v>47</v>
      </c>
      <c r="X689" s="63"/>
      <c r="Y689" s="63"/>
      <c r="Z689" s="63" t="s">
        <v>639</v>
      </c>
      <c r="AA689" s="63"/>
      <c r="AB689" s="63" t="s">
        <v>639</v>
      </c>
      <c r="AC689" s="63" t="s">
        <v>51</v>
      </c>
      <c r="AD689" s="63" t="s">
        <v>51</v>
      </c>
      <c r="AE689" s="63" t="s">
        <v>51</v>
      </c>
      <c r="AF689" s="63" t="s">
        <v>51</v>
      </c>
      <c r="AG689" s="63"/>
      <c r="AH689" s="63" t="s">
        <v>52</v>
      </c>
      <c r="AI689" s="63">
        <v>0</v>
      </c>
      <c r="AJ689" s="63"/>
      <c r="AK689" s="63"/>
      <c r="AL689" s="63"/>
      <c r="AM689" s="63"/>
      <c r="AN689" s="63" t="s">
        <v>47</v>
      </c>
      <c r="AO689" s="63"/>
      <c r="AP689" s="63" t="s">
        <v>53</v>
      </c>
      <c r="AQ689" s="10">
        <v>0</v>
      </c>
    </row>
    <row r="690" s="22" customFormat="1" ht="12" spans="1:43">
      <c r="A690" s="121">
        <v>180351</v>
      </c>
      <c r="B690" s="121" t="s">
        <v>971</v>
      </c>
      <c r="C690" s="121"/>
      <c r="D690" s="121"/>
      <c r="E690" s="121"/>
      <c r="F690" s="121">
        <v>0</v>
      </c>
      <c r="G690" s="121">
        <v>0</v>
      </c>
      <c r="H690" s="121" t="s">
        <v>45</v>
      </c>
      <c r="I690" s="121">
        <v>16</v>
      </c>
      <c r="J690" s="121">
        <v>0</v>
      </c>
      <c r="K690" s="121" t="s">
        <v>46</v>
      </c>
      <c r="L690" s="121" t="s">
        <v>47</v>
      </c>
      <c r="M690" s="121">
        <v>1010146</v>
      </c>
      <c r="N690" s="121">
        <v>0</v>
      </c>
      <c r="O690" s="121" t="s">
        <v>48</v>
      </c>
      <c r="P690" s="121">
        <v>1901</v>
      </c>
      <c r="Q690" s="121"/>
      <c r="R690" s="121"/>
      <c r="S690" s="121">
        <v>0</v>
      </c>
      <c r="T690" s="121">
        <v>0</v>
      </c>
      <c r="U690" s="121"/>
      <c r="V690" s="121"/>
      <c r="W690" s="121" t="s">
        <v>47</v>
      </c>
      <c r="X690" s="121"/>
      <c r="Y690" s="121"/>
      <c r="Z690" s="121" t="s">
        <v>972</v>
      </c>
      <c r="AA690" s="121"/>
      <c r="AB690" s="121" t="s">
        <v>972</v>
      </c>
      <c r="AC690" s="121">
        <v>2197</v>
      </c>
      <c r="AD690" s="121" t="s">
        <v>51</v>
      </c>
      <c r="AE690" s="121" t="s">
        <v>51</v>
      </c>
      <c r="AF690" s="121" t="s">
        <v>51</v>
      </c>
      <c r="AG690" s="121"/>
      <c r="AH690" s="121" t="s">
        <v>52</v>
      </c>
      <c r="AI690" s="121">
        <v>0</v>
      </c>
      <c r="AJ690" s="121"/>
      <c r="AK690" s="121"/>
      <c r="AL690" s="121"/>
      <c r="AM690" s="121"/>
      <c r="AN690" s="121" t="s">
        <v>47</v>
      </c>
      <c r="AO690" s="121"/>
      <c r="AP690" s="121" t="s">
        <v>53</v>
      </c>
      <c r="AQ690" s="22">
        <v>0</v>
      </c>
    </row>
    <row r="691" s="22" customFormat="1" ht="12" spans="1:43">
      <c r="A691" s="121">
        <v>180352</v>
      </c>
      <c r="B691" s="121" t="s">
        <v>973</v>
      </c>
      <c r="C691" s="121"/>
      <c r="D691" s="121"/>
      <c r="E691" s="121"/>
      <c r="F691" s="121">
        <v>0</v>
      </c>
      <c r="G691" s="121">
        <v>0</v>
      </c>
      <c r="H691" s="121" t="s">
        <v>45</v>
      </c>
      <c r="I691" s="121">
        <v>16</v>
      </c>
      <c r="J691" s="121">
        <v>0</v>
      </c>
      <c r="K691" s="121" t="s">
        <v>46</v>
      </c>
      <c r="L691" s="121" t="s">
        <v>47</v>
      </c>
      <c r="M691" s="121">
        <v>1010147</v>
      </c>
      <c r="N691" s="121">
        <v>0</v>
      </c>
      <c r="O691" s="121" t="s">
        <v>48</v>
      </c>
      <c r="P691" s="121">
        <v>1901</v>
      </c>
      <c r="Q691" s="121"/>
      <c r="R691" s="121"/>
      <c r="S691" s="121">
        <v>0</v>
      </c>
      <c r="T691" s="121">
        <v>0</v>
      </c>
      <c r="U691" s="121"/>
      <c r="V691" s="121"/>
      <c r="W691" s="121" t="s">
        <v>47</v>
      </c>
      <c r="X691" s="121"/>
      <c r="Y691" s="121"/>
      <c r="Z691" s="121" t="s">
        <v>974</v>
      </c>
      <c r="AA691" s="121"/>
      <c r="AB691" s="121" t="s">
        <v>974</v>
      </c>
      <c r="AC691" s="121">
        <v>2196</v>
      </c>
      <c r="AD691" s="121" t="s">
        <v>51</v>
      </c>
      <c r="AE691" s="121" t="s">
        <v>51</v>
      </c>
      <c r="AF691" s="121" t="s">
        <v>51</v>
      </c>
      <c r="AG691" s="121"/>
      <c r="AH691" s="121" t="s">
        <v>52</v>
      </c>
      <c r="AI691" s="121">
        <v>0</v>
      </c>
      <c r="AJ691" s="121"/>
      <c r="AK691" s="121"/>
      <c r="AL691" s="121"/>
      <c r="AM691" s="121"/>
      <c r="AN691" s="121" t="s">
        <v>47</v>
      </c>
      <c r="AO691" s="121"/>
      <c r="AP691" s="121" t="s">
        <v>53</v>
      </c>
      <c r="AQ691" s="22">
        <v>0</v>
      </c>
    </row>
    <row r="692" s="22" customFormat="1" ht="12" spans="1:43">
      <c r="A692" s="121">
        <v>180353</v>
      </c>
      <c r="B692" s="121" t="s">
        <v>975</v>
      </c>
      <c r="C692" s="121"/>
      <c r="D692" s="121"/>
      <c r="E692" s="121"/>
      <c r="F692" s="121">
        <v>0</v>
      </c>
      <c r="G692" s="121">
        <v>0</v>
      </c>
      <c r="H692" s="121" t="s">
        <v>45</v>
      </c>
      <c r="I692" s="121">
        <v>16</v>
      </c>
      <c r="J692" s="121">
        <v>0</v>
      </c>
      <c r="K692" s="121" t="s">
        <v>46</v>
      </c>
      <c r="L692" s="121" t="s">
        <v>47</v>
      </c>
      <c r="M692" s="121">
        <v>1010115</v>
      </c>
      <c r="N692" s="121">
        <v>0</v>
      </c>
      <c r="O692" s="121" t="s">
        <v>48</v>
      </c>
      <c r="P692" s="121">
        <v>1901</v>
      </c>
      <c r="Q692" s="121"/>
      <c r="R692" s="121"/>
      <c r="S692" s="121">
        <v>0</v>
      </c>
      <c r="T692" s="121">
        <v>0</v>
      </c>
      <c r="U692" s="121"/>
      <c r="V692" s="121"/>
      <c r="W692" s="121" t="s">
        <v>47</v>
      </c>
      <c r="X692" s="121"/>
      <c r="Y692" s="121"/>
      <c r="Z692" s="121" t="s">
        <v>976</v>
      </c>
      <c r="AA692" s="121"/>
      <c r="AB692" s="121" t="s">
        <v>976</v>
      </c>
      <c r="AC692" s="121">
        <v>2198</v>
      </c>
      <c r="AD692" s="121" t="s">
        <v>51</v>
      </c>
      <c r="AE692" s="121" t="s">
        <v>51</v>
      </c>
      <c r="AF692" s="121" t="s">
        <v>51</v>
      </c>
      <c r="AG692" s="121"/>
      <c r="AH692" s="121" t="s">
        <v>52</v>
      </c>
      <c r="AI692" s="121">
        <v>0</v>
      </c>
      <c r="AJ692" s="121"/>
      <c r="AK692" s="121"/>
      <c r="AL692" s="121"/>
      <c r="AM692" s="121"/>
      <c r="AN692" s="121" t="s">
        <v>47</v>
      </c>
      <c r="AO692" s="121"/>
      <c r="AP692" s="121" t="s">
        <v>53</v>
      </c>
      <c r="AQ692" s="22">
        <v>0</v>
      </c>
    </row>
    <row r="693" s="22" customFormat="1" ht="12" spans="1:43">
      <c r="A693" s="121">
        <v>180354</v>
      </c>
      <c r="B693" s="121" t="s">
        <v>639</v>
      </c>
      <c r="C693" s="121"/>
      <c r="D693" s="121"/>
      <c r="E693" s="121"/>
      <c r="F693" s="121">
        <v>0</v>
      </c>
      <c r="G693" s="121">
        <v>0</v>
      </c>
      <c r="H693" s="121" t="s">
        <v>45</v>
      </c>
      <c r="I693" s="121">
        <v>18</v>
      </c>
      <c r="J693" s="121">
        <v>0</v>
      </c>
      <c r="K693" s="121" t="s">
        <v>46</v>
      </c>
      <c r="L693" s="121" t="s">
        <v>47</v>
      </c>
      <c r="M693" s="121">
        <v>1030013</v>
      </c>
      <c r="N693" s="121">
        <v>0</v>
      </c>
      <c r="O693" s="121" t="s">
        <v>48</v>
      </c>
      <c r="P693" s="121">
        <v>1901</v>
      </c>
      <c r="Q693" s="121"/>
      <c r="R693" s="121"/>
      <c r="S693" s="121">
        <v>0</v>
      </c>
      <c r="T693" s="121">
        <v>0</v>
      </c>
      <c r="U693" s="121"/>
      <c r="V693" s="121"/>
      <c r="W693" s="121" t="s">
        <v>47</v>
      </c>
      <c r="X693" s="121"/>
      <c r="Y693" s="121"/>
      <c r="Z693" s="121" t="s">
        <v>639</v>
      </c>
      <c r="AA693" s="121"/>
      <c r="AB693" s="121" t="s">
        <v>639</v>
      </c>
      <c r="AC693" s="121" t="s">
        <v>51</v>
      </c>
      <c r="AD693" s="121" t="s">
        <v>51</v>
      </c>
      <c r="AE693" s="121" t="s">
        <v>51</v>
      </c>
      <c r="AF693" s="121" t="s">
        <v>51</v>
      </c>
      <c r="AG693" s="121"/>
      <c r="AH693" s="121" t="s">
        <v>52</v>
      </c>
      <c r="AI693" s="121">
        <v>0</v>
      </c>
      <c r="AJ693" s="121"/>
      <c r="AK693" s="121"/>
      <c r="AL693" s="121"/>
      <c r="AM693" s="121"/>
      <c r="AN693" s="121" t="s">
        <v>47</v>
      </c>
      <c r="AO693" s="121"/>
      <c r="AP693" s="121" t="s">
        <v>53</v>
      </c>
      <c r="AQ693" s="22">
        <v>0</v>
      </c>
    </row>
    <row r="694" s="22" customFormat="1" spans="1:43">
      <c r="A694" s="121">
        <v>180355</v>
      </c>
      <c r="B694" s="121" t="s">
        <v>977</v>
      </c>
      <c r="C694" s="121"/>
      <c r="D694" s="121"/>
      <c r="E694" s="121"/>
      <c r="F694" s="121">
        <v>1</v>
      </c>
      <c r="G694" s="121">
        <v>0</v>
      </c>
      <c r="H694" s="121" t="s">
        <v>45</v>
      </c>
      <c r="I694" s="121">
        <v>16</v>
      </c>
      <c r="J694" s="121">
        <v>0</v>
      </c>
      <c r="K694" s="121" t="s">
        <v>46</v>
      </c>
      <c r="L694" s="121" t="s">
        <v>47</v>
      </c>
      <c r="M694" s="122">
        <v>1010130</v>
      </c>
      <c r="N694" s="121">
        <v>0</v>
      </c>
      <c r="O694" s="121" t="s">
        <v>48</v>
      </c>
      <c r="P694" s="121">
        <v>1901</v>
      </c>
      <c r="Q694" s="121"/>
      <c r="R694" s="121"/>
      <c r="S694" s="121">
        <v>0</v>
      </c>
      <c r="T694" s="121">
        <v>0</v>
      </c>
      <c r="U694" s="121"/>
      <c r="V694" s="121"/>
      <c r="W694" s="121" t="s">
        <v>47</v>
      </c>
      <c r="X694" s="121"/>
      <c r="Y694" s="121"/>
      <c r="Z694" s="121" t="s">
        <v>978</v>
      </c>
      <c r="AA694" s="121"/>
      <c r="AB694" s="121" t="s">
        <v>978</v>
      </c>
      <c r="AC694" s="121">
        <v>2195</v>
      </c>
      <c r="AD694" s="121" t="s">
        <v>51</v>
      </c>
      <c r="AE694" s="121" t="s">
        <v>51</v>
      </c>
      <c r="AF694" s="121" t="s">
        <v>51</v>
      </c>
      <c r="AG694" s="121"/>
      <c r="AH694" s="121" t="s">
        <v>52</v>
      </c>
      <c r="AI694" s="121">
        <v>0</v>
      </c>
      <c r="AJ694" s="121"/>
      <c r="AK694" s="121"/>
      <c r="AL694" s="121"/>
      <c r="AM694" s="121"/>
      <c r="AN694" s="121" t="s">
        <v>47</v>
      </c>
      <c r="AO694" s="121"/>
      <c r="AP694" s="121" t="s">
        <v>53</v>
      </c>
      <c r="AQ694" s="22">
        <v>0</v>
      </c>
    </row>
    <row r="695" s="22" customFormat="1" spans="1:43">
      <c r="A695" s="121">
        <v>180356</v>
      </c>
      <c r="B695" s="121" t="s">
        <v>979</v>
      </c>
      <c r="C695" s="121"/>
      <c r="D695" s="121"/>
      <c r="E695" s="121"/>
      <c r="F695" s="121">
        <v>1</v>
      </c>
      <c r="G695" s="121">
        <v>0</v>
      </c>
      <c r="H695" s="121" t="s">
        <v>45</v>
      </c>
      <c r="I695" s="121">
        <v>16</v>
      </c>
      <c r="J695" s="121">
        <v>0</v>
      </c>
      <c r="K695" s="121" t="s">
        <v>46</v>
      </c>
      <c r="L695" s="121" t="s">
        <v>47</v>
      </c>
      <c r="M695" s="122">
        <v>1030006</v>
      </c>
      <c r="N695" s="121">
        <v>0</v>
      </c>
      <c r="O695" s="121" t="s">
        <v>48</v>
      </c>
      <c r="P695" s="121">
        <v>1901</v>
      </c>
      <c r="Q695" s="121"/>
      <c r="R695" s="121"/>
      <c r="S695" s="121">
        <v>0</v>
      </c>
      <c r="T695" s="121">
        <v>0</v>
      </c>
      <c r="U695" s="121"/>
      <c r="V695" s="121"/>
      <c r="W695" s="121" t="s">
        <v>47</v>
      </c>
      <c r="X695" s="121"/>
      <c r="Y695" s="121"/>
      <c r="Z695" s="121" t="s">
        <v>980</v>
      </c>
      <c r="AA695" s="121"/>
      <c r="AB695" s="121" t="s">
        <v>980</v>
      </c>
      <c r="AC695" s="121">
        <v>2195</v>
      </c>
      <c r="AD695" s="121" t="s">
        <v>51</v>
      </c>
      <c r="AE695" s="121" t="s">
        <v>51</v>
      </c>
      <c r="AF695" s="121" t="s">
        <v>51</v>
      </c>
      <c r="AG695" s="121"/>
      <c r="AH695" s="121" t="s">
        <v>52</v>
      </c>
      <c r="AI695" s="121">
        <v>0</v>
      </c>
      <c r="AJ695" s="121"/>
      <c r="AK695" s="121"/>
      <c r="AL695" s="121"/>
      <c r="AM695" s="121"/>
      <c r="AN695" s="121" t="s">
        <v>47</v>
      </c>
      <c r="AO695" s="121"/>
      <c r="AP695" s="121" t="s">
        <v>53</v>
      </c>
      <c r="AQ695" s="22">
        <v>0</v>
      </c>
    </row>
    <row r="696" s="22" customFormat="1" spans="1:43">
      <c r="A696" s="121">
        <v>180357</v>
      </c>
      <c r="B696" s="121" t="s">
        <v>981</v>
      </c>
      <c r="C696" s="121"/>
      <c r="D696" s="121"/>
      <c r="E696" s="121"/>
      <c r="F696" s="121">
        <v>1</v>
      </c>
      <c r="G696" s="121">
        <v>0</v>
      </c>
      <c r="H696" s="121" t="s">
        <v>45</v>
      </c>
      <c r="I696" s="121">
        <v>16</v>
      </c>
      <c r="J696" s="121">
        <v>0</v>
      </c>
      <c r="K696" s="121" t="s">
        <v>46</v>
      </c>
      <c r="L696" s="121" t="s">
        <v>47</v>
      </c>
      <c r="M696" s="122" t="s">
        <v>412</v>
      </c>
      <c r="N696" s="121">
        <v>0</v>
      </c>
      <c r="O696" s="121" t="s">
        <v>48</v>
      </c>
      <c r="P696" s="121">
        <v>1901</v>
      </c>
      <c r="Q696" s="121"/>
      <c r="R696" s="121"/>
      <c r="S696" s="121">
        <v>0</v>
      </c>
      <c r="T696" s="121">
        <v>0</v>
      </c>
      <c r="U696" s="121"/>
      <c r="V696" s="121"/>
      <c r="W696" s="121" t="s">
        <v>47</v>
      </c>
      <c r="X696" s="121"/>
      <c r="Y696" s="121"/>
      <c r="Z696" s="121" t="s">
        <v>982</v>
      </c>
      <c r="AA696" s="121"/>
      <c r="AB696" s="121" t="s">
        <v>982</v>
      </c>
      <c r="AC696" s="121">
        <v>2195</v>
      </c>
      <c r="AD696" s="121" t="s">
        <v>51</v>
      </c>
      <c r="AE696" s="121" t="s">
        <v>51</v>
      </c>
      <c r="AF696" s="121" t="s">
        <v>51</v>
      </c>
      <c r="AG696" s="121"/>
      <c r="AH696" s="121" t="s">
        <v>52</v>
      </c>
      <c r="AI696" s="121">
        <v>0</v>
      </c>
      <c r="AJ696" s="121"/>
      <c r="AK696" s="121"/>
      <c r="AL696" s="121"/>
      <c r="AM696" s="121"/>
      <c r="AN696" s="121" t="s">
        <v>47</v>
      </c>
      <c r="AO696" s="121"/>
      <c r="AP696" s="121" t="s">
        <v>53</v>
      </c>
      <c r="AQ696" s="22">
        <v>0</v>
      </c>
    </row>
    <row r="697" s="22" customFormat="1" spans="1:43">
      <c r="A697" s="121">
        <v>180358</v>
      </c>
      <c r="B697" s="121" t="s">
        <v>977</v>
      </c>
      <c r="C697" s="121"/>
      <c r="D697" s="121"/>
      <c r="E697" s="121"/>
      <c r="F697" s="121">
        <v>2</v>
      </c>
      <c r="G697" s="121">
        <v>0</v>
      </c>
      <c r="H697" s="121" t="s">
        <v>45</v>
      </c>
      <c r="I697" s="121">
        <v>16</v>
      </c>
      <c r="J697" s="121">
        <v>0</v>
      </c>
      <c r="K697" s="121" t="s">
        <v>46</v>
      </c>
      <c r="L697" s="121" t="s">
        <v>47</v>
      </c>
      <c r="M697" s="122">
        <v>1010130</v>
      </c>
      <c r="N697" s="121">
        <v>0</v>
      </c>
      <c r="O697" s="121" t="s">
        <v>48</v>
      </c>
      <c r="P697" s="121">
        <v>1901</v>
      </c>
      <c r="Q697" s="121"/>
      <c r="R697" s="121"/>
      <c r="S697" s="121">
        <v>0</v>
      </c>
      <c r="T697" s="121">
        <v>0</v>
      </c>
      <c r="U697" s="121"/>
      <c r="V697" s="121"/>
      <c r="W697" s="121" t="s">
        <v>47</v>
      </c>
      <c r="X697" s="121"/>
      <c r="Y697" s="121"/>
      <c r="Z697" s="121" t="s">
        <v>978</v>
      </c>
      <c r="AA697" s="121"/>
      <c r="AB697" s="121" t="s">
        <v>978</v>
      </c>
      <c r="AC697" s="121">
        <v>2195</v>
      </c>
      <c r="AD697" s="121" t="s">
        <v>51</v>
      </c>
      <c r="AE697" s="121" t="s">
        <v>51</v>
      </c>
      <c r="AF697" s="121" t="s">
        <v>51</v>
      </c>
      <c r="AG697" s="121"/>
      <c r="AH697" s="121" t="s">
        <v>52</v>
      </c>
      <c r="AI697" s="121">
        <v>0</v>
      </c>
      <c r="AJ697" s="121"/>
      <c r="AK697" s="121"/>
      <c r="AL697" s="121"/>
      <c r="AM697" s="121"/>
      <c r="AN697" s="121" t="s">
        <v>47</v>
      </c>
      <c r="AO697" s="121"/>
      <c r="AP697" s="121" t="s">
        <v>53</v>
      </c>
      <c r="AQ697" s="22">
        <v>0</v>
      </c>
    </row>
    <row r="698" s="22" customFormat="1" spans="1:43">
      <c r="A698" s="121">
        <v>180359</v>
      </c>
      <c r="B698" s="121" t="s">
        <v>979</v>
      </c>
      <c r="C698" s="121"/>
      <c r="D698" s="121"/>
      <c r="E698" s="121"/>
      <c r="F698" s="121">
        <v>2</v>
      </c>
      <c r="G698" s="121">
        <v>0</v>
      </c>
      <c r="H698" s="121" t="s">
        <v>45</v>
      </c>
      <c r="I698" s="121">
        <v>16</v>
      </c>
      <c r="J698" s="121">
        <v>0</v>
      </c>
      <c r="K698" s="121" t="s">
        <v>46</v>
      </c>
      <c r="L698" s="121" t="s">
        <v>47</v>
      </c>
      <c r="M698" s="122">
        <v>1030006</v>
      </c>
      <c r="N698" s="121">
        <v>0</v>
      </c>
      <c r="O698" s="121" t="s">
        <v>48</v>
      </c>
      <c r="P698" s="121">
        <v>1901</v>
      </c>
      <c r="Q698" s="121"/>
      <c r="R698" s="121"/>
      <c r="S698" s="121">
        <v>0</v>
      </c>
      <c r="T698" s="121">
        <v>0</v>
      </c>
      <c r="U698" s="121"/>
      <c r="V698" s="121"/>
      <c r="W698" s="121" t="s">
        <v>47</v>
      </c>
      <c r="X698" s="121"/>
      <c r="Y698" s="121"/>
      <c r="Z698" s="121" t="s">
        <v>980</v>
      </c>
      <c r="AA698" s="121"/>
      <c r="AB698" s="121" t="s">
        <v>980</v>
      </c>
      <c r="AC698" s="121">
        <v>2195</v>
      </c>
      <c r="AD698" s="121" t="s">
        <v>51</v>
      </c>
      <c r="AE698" s="121" t="s">
        <v>51</v>
      </c>
      <c r="AF698" s="121" t="s">
        <v>51</v>
      </c>
      <c r="AG698" s="121"/>
      <c r="AH698" s="121" t="s">
        <v>52</v>
      </c>
      <c r="AI698" s="121">
        <v>0</v>
      </c>
      <c r="AJ698" s="121"/>
      <c r="AK698" s="121"/>
      <c r="AL698" s="121"/>
      <c r="AM698" s="121"/>
      <c r="AN698" s="121" t="s">
        <v>47</v>
      </c>
      <c r="AO698" s="121"/>
      <c r="AP698" s="121" t="s">
        <v>53</v>
      </c>
      <c r="AQ698" s="22">
        <v>0</v>
      </c>
    </row>
    <row r="699" s="22" customFormat="1" spans="1:43">
      <c r="A699" s="121">
        <v>180360</v>
      </c>
      <c r="B699" s="121" t="s">
        <v>981</v>
      </c>
      <c r="C699" s="121"/>
      <c r="D699" s="121"/>
      <c r="E699" s="121"/>
      <c r="F699" s="121">
        <v>2</v>
      </c>
      <c r="G699" s="121">
        <v>0</v>
      </c>
      <c r="H699" s="121" t="s">
        <v>45</v>
      </c>
      <c r="I699" s="121">
        <v>16</v>
      </c>
      <c r="J699" s="121">
        <v>0</v>
      </c>
      <c r="K699" s="121" t="s">
        <v>46</v>
      </c>
      <c r="L699" s="121" t="s">
        <v>47</v>
      </c>
      <c r="M699" s="122" t="s">
        <v>412</v>
      </c>
      <c r="N699" s="121">
        <v>0</v>
      </c>
      <c r="O699" s="121" t="s">
        <v>48</v>
      </c>
      <c r="P699" s="121">
        <v>1901</v>
      </c>
      <c r="Q699" s="121"/>
      <c r="R699" s="121"/>
      <c r="S699" s="121">
        <v>0</v>
      </c>
      <c r="T699" s="121">
        <v>0</v>
      </c>
      <c r="U699" s="121"/>
      <c r="V699" s="121"/>
      <c r="W699" s="121" t="s">
        <v>47</v>
      </c>
      <c r="X699" s="121"/>
      <c r="Y699" s="121"/>
      <c r="Z699" s="121" t="s">
        <v>982</v>
      </c>
      <c r="AA699" s="121"/>
      <c r="AB699" s="121" t="s">
        <v>982</v>
      </c>
      <c r="AC699" s="121">
        <v>2195</v>
      </c>
      <c r="AD699" s="121" t="s">
        <v>51</v>
      </c>
      <c r="AE699" s="121" t="s">
        <v>51</v>
      </c>
      <c r="AF699" s="121" t="s">
        <v>51</v>
      </c>
      <c r="AG699" s="121"/>
      <c r="AH699" s="121" t="s">
        <v>52</v>
      </c>
      <c r="AI699" s="121">
        <v>0</v>
      </c>
      <c r="AJ699" s="121"/>
      <c r="AK699" s="121"/>
      <c r="AL699" s="121"/>
      <c r="AM699" s="121"/>
      <c r="AN699" s="121" t="s">
        <v>47</v>
      </c>
      <c r="AO699" s="121"/>
      <c r="AP699" s="121" t="s">
        <v>53</v>
      </c>
      <c r="AQ699" s="22">
        <v>0</v>
      </c>
    </row>
    <row r="700" s="22" customFormat="1" spans="1:43">
      <c r="A700" s="121">
        <v>180361</v>
      </c>
      <c r="B700" s="121" t="s">
        <v>977</v>
      </c>
      <c r="C700" s="121"/>
      <c r="D700" s="121"/>
      <c r="E700" s="121"/>
      <c r="F700" s="121">
        <v>1</v>
      </c>
      <c r="G700" s="121">
        <v>0</v>
      </c>
      <c r="H700" s="121" t="s">
        <v>45</v>
      </c>
      <c r="I700" s="121">
        <v>16</v>
      </c>
      <c r="J700" s="121">
        <v>0</v>
      </c>
      <c r="K700" s="121" t="s">
        <v>46</v>
      </c>
      <c r="L700" s="121" t="s">
        <v>47</v>
      </c>
      <c r="M700" s="122">
        <v>1010130</v>
      </c>
      <c r="N700" s="121">
        <v>0</v>
      </c>
      <c r="O700" s="121" t="s">
        <v>48</v>
      </c>
      <c r="P700" s="121">
        <v>1901</v>
      </c>
      <c r="Q700" s="121"/>
      <c r="R700" s="121"/>
      <c r="S700" s="121">
        <v>0</v>
      </c>
      <c r="T700" s="121">
        <v>0</v>
      </c>
      <c r="U700" s="121"/>
      <c r="V700" s="121"/>
      <c r="W700" s="121" t="s">
        <v>47</v>
      </c>
      <c r="X700" s="121"/>
      <c r="Y700" s="121"/>
      <c r="Z700" s="121" t="s">
        <v>978</v>
      </c>
      <c r="AA700" s="121"/>
      <c r="AB700" s="121" t="s">
        <v>978</v>
      </c>
      <c r="AC700" s="121">
        <v>2195</v>
      </c>
      <c r="AD700" s="121" t="s">
        <v>51</v>
      </c>
      <c r="AE700" s="121" t="s">
        <v>51</v>
      </c>
      <c r="AF700" s="121" t="s">
        <v>51</v>
      </c>
      <c r="AG700" s="121"/>
      <c r="AH700" s="121" t="s">
        <v>52</v>
      </c>
      <c r="AI700" s="121">
        <v>0</v>
      </c>
      <c r="AJ700" s="121"/>
      <c r="AK700" s="121"/>
      <c r="AL700" s="121"/>
      <c r="AM700" s="121"/>
      <c r="AN700" s="121" t="s">
        <v>47</v>
      </c>
      <c r="AO700" s="121"/>
      <c r="AP700" s="121" t="s">
        <v>53</v>
      </c>
      <c r="AQ700" s="22">
        <v>0</v>
      </c>
    </row>
    <row r="701" s="22" customFormat="1" spans="1:43">
      <c r="A701" s="121">
        <v>180362</v>
      </c>
      <c r="B701" s="121" t="s">
        <v>979</v>
      </c>
      <c r="C701" s="121"/>
      <c r="D701" s="121"/>
      <c r="E701" s="121"/>
      <c r="F701" s="121">
        <v>1</v>
      </c>
      <c r="G701" s="121">
        <v>0</v>
      </c>
      <c r="H701" s="121" t="s">
        <v>45</v>
      </c>
      <c r="I701" s="121">
        <v>16</v>
      </c>
      <c r="J701" s="121">
        <v>0</v>
      </c>
      <c r="K701" s="121" t="s">
        <v>46</v>
      </c>
      <c r="L701" s="121" t="s">
        <v>47</v>
      </c>
      <c r="M701" s="122">
        <v>1030006</v>
      </c>
      <c r="N701" s="121">
        <v>0</v>
      </c>
      <c r="O701" s="121" t="s">
        <v>48</v>
      </c>
      <c r="P701" s="121">
        <v>1901</v>
      </c>
      <c r="Q701" s="121"/>
      <c r="R701" s="121"/>
      <c r="S701" s="121">
        <v>0</v>
      </c>
      <c r="T701" s="121">
        <v>0</v>
      </c>
      <c r="U701" s="121"/>
      <c r="V701" s="121"/>
      <c r="W701" s="121" t="s">
        <v>47</v>
      </c>
      <c r="X701" s="121"/>
      <c r="Y701" s="121"/>
      <c r="Z701" s="121" t="s">
        <v>980</v>
      </c>
      <c r="AA701" s="121"/>
      <c r="AB701" s="121" t="s">
        <v>980</v>
      </c>
      <c r="AC701" s="121">
        <v>2195</v>
      </c>
      <c r="AD701" s="121" t="s">
        <v>51</v>
      </c>
      <c r="AE701" s="121" t="s">
        <v>51</v>
      </c>
      <c r="AF701" s="121" t="s">
        <v>51</v>
      </c>
      <c r="AG701" s="121"/>
      <c r="AH701" s="121" t="s">
        <v>52</v>
      </c>
      <c r="AI701" s="121">
        <v>0</v>
      </c>
      <c r="AJ701" s="121"/>
      <c r="AK701" s="121"/>
      <c r="AL701" s="121"/>
      <c r="AM701" s="121"/>
      <c r="AN701" s="121" t="s">
        <v>47</v>
      </c>
      <c r="AO701" s="121"/>
      <c r="AP701" s="121" t="s">
        <v>53</v>
      </c>
      <c r="AQ701" s="22">
        <v>0</v>
      </c>
    </row>
    <row r="702" s="22" customFormat="1" spans="1:43">
      <c r="A702" s="121">
        <v>180363</v>
      </c>
      <c r="B702" s="121" t="s">
        <v>981</v>
      </c>
      <c r="C702" s="121"/>
      <c r="D702" s="121"/>
      <c r="E702" s="121"/>
      <c r="F702" s="121">
        <v>1</v>
      </c>
      <c r="G702" s="121">
        <v>0</v>
      </c>
      <c r="H702" s="121" t="s">
        <v>45</v>
      </c>
      <c r="I702" s="121">
        <v>16</v>
      </c>
      <c r="J702" s="121">
        <v>0</v>
      </c>
      <c r="K702" s="121" t="s">
        <v>46</v>
      </c>
      <c r="L702" s="121" t="s">
        <v>47</v>
      </c>
      <c r="M702" s="122" t="s">
        <v>412</v>
      </c>
      <c r="N702" s="121">
        <v>0</v>
      </c>
      <c r="O702" s="121" t="s">
        <v>48</v>
      </c>
      <c r="P702" s="121">
        <v>1901</v>
      </c>
      <c r="Q702" s="121"/>
      <c r="R702" s="121"/>
      <c r="S702" s="121">
        <v>0</v>
      </c>
      <c r="T702" s="121">
        <v>0</v>
      </c>
      <c r="U702" s="121"/>
      <c r="V702" s="121"/>
      <c r="W702" s="121" t="s">
        <v>47</v>
      </c>
      <c r="X702" s="121"/>
      <c r="Y702" s="121"/>
      <c r="Z702" s="121" t="s">
        <v>982</v>
      </c>
      <c r="AA702" s="121"/>
      <c r="AB702" s="121" t="s">
        <v>982</v>
      </c>
      <c r="AC702" s="121">
        <v>2195</v>
      </c>
      <c r="AD702" s="121" t="s">
        <v>51</v>
      </c>
      <c r="AE702" s="121" t="s">
        <v>51</v>
      </c>
      <c r="AF702" s="121" t="s">
        <v>51</v>
      </c>
      <c r="AG702" s="121"/>
      <c r="AH702" s="121" t="s">
        <v>52</v>
      </c>
      <c r="AI702" s="121">
        <v>0</v>
      </c>
      <c r="AJ702" s="121"/>
      <c r="AK702" s="121"/>
      <c r="AL702" s="121"/>
      <c r="AM702" s="121"/>
      <c r="AN702" s="121" t="s">
        <v>47</v>
      </c>
      <c r="AO702" s="121"/>
      <c r="AP702" s="121" t="s">
        <v>53</v>
      </c>
      <c r="AQ702" s="22">
        <v>0</v>
      </c>
    </row>
    <row r="703" s="22" customFormat="1" spans="1:43">
      <c r="A703" s="121">
        <v>180364</v>
      </c>
      <c r="B703" s="121" t="s">
        <v>977</v>
      </c>
      <c r="C703" s="121"/>
      <c r="D703" s="121"/>
      <c r="E703" s="121"/>
      <c r="F703" s="121">
        <v>2</v>
      </c>
      <c r="G703" s="121">
        <v>0</v>
      </c>
      <c r="H703" s="121" t="s">
        <v>45</v>
      </c>
      <c r="I703" s="121">
        <v>16</v>
      </c>
      <c r="J703" s="121">
        <v>0</v>
      </c>
      <c r="K703" s="121" t="s">
        <v>46</v>
      </c>
      <c r="L703" s="121" t="s">
        <v>47</v>
      </c>
      <c r="M703" s="122">
        <v>1010130</v>
      </c>
      <c r="N703" s="121">
        <v>0</v>
      </c>
      <c r="O703" s="121" t="s">
        <v>48</v>
      </c>
      <c r="P703" s="121">
        <v>1901</v>
      </c>
      <c r="Q703" s="121"/>
      <c r="R703" s="121"/>
      <c r="S703" s="121">
        <v>0</v>
      </c>
      <c r="T703" s="121">
        <v>0</v>
      </c>
      <c r="U703" s="121"/>
      <c r="V703" s="121"/>
      <c r="W703" s="121" t="s">
        <v>47</v>
      </c>
      <c r="X703" s="121"/>
      <c r="Y703" s="121"/>
      <c r="Z703" s="121" t="s">
        <v>978</v>
      </c>
      <c r="AA703" s="121"/>
      <c r="AB703" s="121" t="s">
        <v>978</v>
      </c>
      <c r="AC703" s="121">
        <v>2195</v>
      </c>
      <c r="AD703" s="121" t="s">
        <v>51</v>
      </c>
      <c r="AE703" s="121" t="s">
        <v>51</v>
      </c>
      <c r="AF703" s="121" t="s">
        <v>51</v>
      </c>
      <c r="AG703" s="121"/>
      <c r="AH703" s="121" t="s">
        <v>52</v>
      </c>
      <c r="AI703" s="121">
        <v>0</v>
      </c>
      <c r="AJ703" s="121"/>
      <c r="AK703" s="121"/>
      <c r="AL703" s="121"/>
      <c r="AM703" s="121"/>
      <c r="AN703" s="121" t="s">
        <v>47</v>
      </c>
      <c r="AO703" s="121"/>
      <c r="AP703" s="121" t="s">
        <v>53</v>
      </c>
      <c r="AQ703" s="22">
        <v>0</v>
      </c>
    </row>
    <row r="704" s="22" customFormat="1" spans="1:43">
      <c r="A704" s="121">
        <v>180365</v>
      </c>
      <c r="B704" s="121" t="s">
        <v>979</v>
      </c>
      <c r="C704" s="121"/>
      <c r="D704" s="121"/>
      <c r="E704" s="121"/>
      <c r="F704" s="121">
        <v>2</v>
      </c>
      <c r="G704" s="121">
        <v>0</v>
      </c>
      <c r="H704" s="121" t="s">
        <v>45</v>
      </c>
      <c r="I704" s="121">
        <v>16</v>
      </c>
      <c r="J704" s="121">
        <v>0</v>
      </c>
      <c r="K704" s="121" t="s">
        <v>46</v>
      </c>
      <c r="L704" s="121" t="s">
        <v>47</v>
      </c>
      <c r="M704" s="122">
        <v>1030006</v>
      </c>
      <c r="N704" s="121">
        <v>0</v>
      </c>
      <c r="O704" s="121" t="s">
        <v>48</v>
      </c>
      <c r="P704" s="121">
        <v>1901</v>
      </c>
      <c r="Q704" s="121"/>
      <c r="R704" s="121"/>
      <c r="S704" s="121">
        <v>0</v>
      </c>
      <c r="T704" s="121">
        <v>0</v>
      </c>
      <c r="U704" s="121"/>
      <c r="V704" s="121"/>
      <c r="W704" s="121" t="s">
        <v>47</v>
      </c>
      <c r="X704" s="121"/>
      <c r="Y704" s="121"/>
      <c r="Z704" s="121" t="s">
        <v>980</v>
      </c>
      <c r="AA704" s="121"/>
      <c r="AB704" s="121" t="s">
        <v>980</v>
      </c>
      <c r="AC704" s="121">
        <v>2195</v>
      </c>
      <c r="AD704" s="121" t="s">
        <v>51</v>
      </c>
      <c r="AE704" s="121" t="s">
        <v>51</v>
      </c>
      <c r="AF704" s="121" t="s">
        <v>51</v>
      </c>
      <c r="AG704" s="121"/>
      <c r="AH704" s="121" t="s">
        <v>52</v>
      </c>
      <c r="AI704" s="121">
        <v>0</v>
      </c>
      <c r="AJ704" s="121"/>
      <c r="AK704" s="121"/>
      <c r="AL704" s="121"/>
      <c r="AM704" s="121"/>
      <c r="AN704" s="121" t="s">
        <v>47</v>
      </c>
      <c r="AO704" s="121"/>
      <c r="AP704" s="121" t="s">
        <v>53</v>
      </c>
      <c r="AQ704" s="22">
        <v>0</v>
      </c>
    </row>
    <row r="705" s="22" customFormat="1" spans="1:43">
      <c r="A705" s="121">
        <v>180366</v>
      </c>
      <c r="B705" s="121" t="s">
        <v>981</v>
      </c>
      <c r="C705" s="121"/>
      <c r="D705" s="121"/>
      <c r="E705" s="121"/>
      <c r="F705" s="121">
        <v>2</v>
      </c>
      <c r="G705" s="121">
        <v>0</v>
      </c>
      <c r="H705" s="121" t="s">
        <v>45</v>
      </c>
      <c r="I705" s="121">
        <v>16</v>
      </c>
      <c r="J705" s="121">
        <v>0</v>
      </c>
      <c r="K705" s="121" t="s">
        <v>46</v>
      </c>
      <c r="L705" s="121" t="s">
        <v>47</v>
      </c>
      <c r="M705" s="122" t="s">
        <v>412</v>
      </c>
      <c r="N705" s="121">
        <v>0</v>
      </c>
      <c r="O705" s="121" t="s">
        <v>48</v>
      </c>
      <c r="P705" s="121">
        <v>1901</v>
      </c>
      <c r="Q705" s="121"/>
      <c r="R705" s="121"/>
      <c r="S705" s="121">
        <v>0</v>
      </c>
      <c r="T705" s="121">
        <v>0</v>
      </c>
      <c r="U705" s="121"/>
      <c r="V705" s="121"/>
      <c r="W705" s="121" t="s">
        <v>47</v>
      </c>
      <c r="X705" s="121"/>
      <c r="Y705" s="121"/>
      <c r="Z705" s="121" t="s">
        <v>982</v>
      </c>
      <c r="AA705" s="121"/>
      <c r="AB705" s="121" t="s">
        <v>982</v>
      </c>
      <c r="AC705" s="121">
        <v>2195</v>
      </c>
      <c r="AD705" s="121" t="s">
        <v>51</v>
      </c>
      <c r="AE705" s="121" t="s">
        <v>51</v>
      </c>
      <c r="AF705" s="121" t="s">
        <v>51</v>
      </c>
      <c r="AG705" s="121"/>
      <c r="AH705" s="121" t="s">
        <v>52</v>
      </c>
      <c r="AI705" s="121">
        <v>0</v>
      </c>
      <c r="AJ705" s="121"/>
      <c r="AK705" s="121"/>
      <c r="AL705" s="121"/>
      <c r="AM705" s="121"/>
      <c r="AN705" s="121" t="s">
        <v>47</v>
      </c>
      <c r="AO705" s="121"/>
      <c r="AP705" s="121" t="s">
        <v>53</v>
      </c>
      <c r="AQ705" s="22">
        <v>0</v>
      </c>
    </row>
    <row r="706" s="22" customFormat="1" spans="1:43">
      <c r="A706" s="121">
        <v>180367</v>
      </c>
      <c r="B706" s="121" t="s">
        <v>977</v>
      </c>
      <c r="C706" s="121"/>
      <c r="D706" s="121"/>
      <c r="E706" s="121"/>
      <c r="F706" s="121">
        <v>1</v>
      </c>
      <c r="G706" s="121">
        <v>0</v>
      </c>
      <c r="H706" s="121" t="s">
        <v>45</v>
      </c>
      <c r="I706" s="121">
        <v>16</v>
      </c>
      <c r="J706" s="121">
        <v>0</v>
      </c>
      <c r="K706" s="121" t="s">
        <v>46</v>
      </c>
      <c r="L706" s="121" t="s">
        <v>47</v>
      </c>
      <c r="M706" s="122">
        <v>1010130</v>
      </c>
      <c r="N706" s="121">
        <v>0</v>
      </c>
      <c r="O706" s="121" t="s">
        <v>48</v>
      </c>
      <c r="P706" s="121">
        <v>1901</v>
      </c>
      <c r="Q706" s="121"/>
      <c r="R706" s="121"/>
      <c r="S706" s="121">
        <v>0</v>
      </c>
      <c r="T706" s="121">
        <v>0</v>
      </c>
      <c r="U706" s="121"/>
      <c r="V706" s="121"/>
      <c r="W706" s="121" t="s">
        <v>47</v>
      </c>
      <c r="X706" s="121"/>
      <c r="Y706" s="121"/>
      <c r="Z706" s="121" t="s">
        <v>978</v>
      </c>
      <c r="AA706" s="121"/>
      <c r="AB706" s="121" t="s">
        <v>978</v>
      </c>
      <c r="AC706" s="121">
        <v>2195</v>
      </c>
      <c r="AD706" s="121" t="s">
        <v>51</v>
      </c>
      <c r="AE706" s="121" t="s">
        <v>51</v>
      </c>
      <c r="AF706" s="121" t="s">
        <v>51</v>
      </c>
      <c r="AG706" s="121"/>
      <c r="AH706" s="121" t="s">
        <v>52</v>
      </c>
      <c r="AI706" s="121">
        <v>0</v>
      </c>
      <c r="AJ706" s="121"/>
      <c r="AK706" s="121"/>
      <c r="AL706" s="121"/>
      <c r="AM706" s="121"/>
      <c r="AN706" s="121" t="s">
        <v>47</v>
      </c>
      <c r="AO706" s="121"/>
      <c r="AP706" s="121" t="s">
        <v>53</v>
      </c>
      <c r="AQ706" s="22">
        <v>0</v>
      </c>
    </row>
    <row r="707" s="22" customFormat="1" spans="1:43">
      <c r="A707" s="121">
        <v>180368</v>
      </c>
      <c r="B707" s="121" t="s">
        <v>979</v>
      </c>
      <c r="C707" s="121"/>
      <c r="D707" s="121"/>
      <c r="E707" s="121"/>
      <c r="F707" s="121">
        <v>1</v>
      </c>
      <c r="G707" s="121">
        <v>0</v>
      </c>
      <c r="H707" s="121" t="s">
        <v>45</v>
      </c>
      <c r="I707" s="121">
        <v>16</v>
      </c>
      <c r="J707" s="121">
        <v>0</v>
      </c>
      <c r="K707" s="121" t="s">
        <v>46</v>
      </c>
      <c r="L707" s="121" t="s">
        <v>47</v>
      </c>
      <c r="M707" s="122">
        <v>1030006</v>
      </c>
      <c r="N707" s="121">
        <v>0</v>
      </c>
      <c r="O707" s="121" t="s">
        <v>48</v>
      </c>
      <c r="P707" s="121">
        <v>1901</v>
      </c>
      <c r="Q707" s="121"/>
      <c r="R707" s="121"/>
      <c r="S707" s="121">
        <v>0</v>
      </c>
      <c r="T707" s="121">
        <v>0</v>
      </c>
      <c r="U707" s="121"/>
      <c r="V707" s="121"/>
      <c r="W707" s="121" t="s">
        <v>47</v>
      </c>
      <c r="X707" s="121"/>
      <c r="Y707" s="121"/>
      <c r="Z707" s="121" t="s">
        <v>980</v>
      </c>
      <c r="AA707" s="121"/>
      <c r="AB707" s="121" t="s">
        <v>980</v>
      </c>
      <c r="AC707" s="121">
        <v>2195</v>
      </c>
      <c r="AD707" s="121" t="s">
        <v>51</v>
      </c>
      <c r="AE707" s="121" t="s">
        <v>51</v>
      </c>
      <c r="AF707" s="121" t="s">
        <v>51</v>
      </c>
      <c r="AG707" s="121"/>
      <c r="AH707" s="121" t="s">
        <v>52</v>
      </c>
      <c r="AI707" s="121">
        <v>0</v>
      </c>
      <c r="AJ707" s="121"/>
      <c r="AK707" s="121"/>
      <c r="AL707" s="121"/>
      <c r="AM707" s="121"/>
      <c r="AN707" s="121" t="s">
        <v>47</v>
      </c>
      <c r="AO707" s="121"/>
      <c r="AP707" s="121" t="s">
        <v>53</v>
      </c>
      <c r="AQ707" s="22">
        <v>0</v>
      </c>
    </row>
    <row r="708" s="22" customFormat="1" spans="1:43">
      <c r="A708" s="121">
        <v>180369</v>
      </c>
      <c r="B708" s="121" t="s">
        <v>981</v>
      </c>
      <c r="C708" s="121"/>
      <c r="D708" s="121"/>
      <c r="E708" s="121"/>
      <c r="F708" s="121">
        <v>1</v>
      </c>
      <c r="G708" s="121">
        <v>0</v>
      </c>
      <c r="H708" s="121" t="s">
        <v>45</v>
      </c>
      <c r="I708" s="121">
        <v>16</v>
      </c>
      <c r="J708" s="121">
        <v>0</v>
      </c>
      <c r="K708" s="121" t="s">
        <v>46</v>
      </c>
      <c r="L708" s="121" t="s">
        <v>47</v>
      </c>
      <c r="M708" s="122" t="s">
        <v>412</v>
      </c>
      <c r="N708" s="121">
        <v>0</v>
      </c>
      <c r="O708" s="121" t="s">
        <v>48</v>
      </c>
      <c r="P708" s="121">
        <v>1901</v>
      </c>
      <c r="Q708" s="121"/>
      <c r="R708" s="121"/>
      <c r="S708" s="121">
        <v>0</v>
      </c>
      <c r="T708" s="121">
        <v>0</v>
      </c>
      <c r="U708" s="121"/>
      <c r="V708" s="121"/>
      <c r="W708" s="121" t="s">
        <v>47</v>
      </c>
      <c r="X708" s="121"/>
      <c r="Y708" s="121"/>
      <c r="Z708" s="121" t="s">
        <v>982</v>
      </c>
      <c r="AA708" s="121"/>
      <c r="AB708" s="121" t="s">
        <v>982</v>
      </c>
      <c r="AC708" s="121">
        <v>2195</v>
      </c>
      <c r="AD708" s="121" t="s">
        <v>51</v>
      </c>
      <c r="AE708" s="121" t="s">
        <v>51</v>
      </c>
      <c r="AF708" s="121" t="s">
        <v>51</v>
      </c>
      <c r="AG708" s="121"/>
      <c r="AH708" s="121" t="s">
        <v>52</v>
      </c>
      <c r="AI708" s="121">
        <v>0</v>
      </c>
      <c r="AJ708" s="121"/>
      <c r="AK708" s="121"/>
      <c r="AL708" s="121"/>
      <c r="AM708" s="121"/>
      <c r="AN708" s="121" t="s">
        <v>47</v>
      </c>
      <c r="AO708" s="121"/>
      <c r="AP708" s="121" t="s">
        <v>53</v>
      </c>
      <c r="AQ708" s="22">
        <v>0</v>
      </c>
    </row>
    <row r="709" s="22" customFormat="1" spans="1:43">
      <c r="A709" s="121">
        <v>180370</v>
      </c>
      <c r="B709" s="121" t="s">
        <v>983</v>
      </c>
      <c r="C709" s="121"/>
      <c r="D709" s="121"/>
      <c r="E709" s="121"/>
      <c r="F709" s="121">
        <v>0</v>
      </c>
      <c r="G709" s="121">
        <v>0</v>
      </c>
      <c r="H709" s="121">
        <v>1.35</v>
      </c>
      <c r="I709" s="121">
        <v>16</v>
      </c>
      <c r="J709" s="121">
        <v>0</v>
      </c>
      <c r="K709" s="121" t="s">
        <v>46</v>
      </c>
      <c r="L709" s="121" t="s">
        <v>47</v>
      </c>
      <c r="M709" s="122">
        <v>1010169</v>
      </c>
      <c r="N709" s="121">
        <v>0</v>
      </c>
      <c r="O709" s="121" t="s">
        <v>48</v>
      </c>
      <c r="P709" s="121">
        <v>1901</v>
      </c>
      <c r="Q709" s="121"/>
      <c r="R709" s="121"/>
      <c r="S709" s="121">
        <v>0</v>
      </c>
      <c r="T709" s="121">
        <v>0</v>
      </c>
      <c r="U709" s="121"/>
      <c r="V709" s="121"/>
      <c r="W709" s="121" t="s">
        <v>47</v>
      </c>
      <c r="X709" s="121"/>
      <c r="Y709" s="121"/>
      <c r="Z709" s="121" t="s">
        <v>984</v>
      </c>
      <c r="AA709" s="121"/>
      <c r="AB709" s="121" t="s">
        <v>984</v>
      </c>
      <c r="AC709" s="121">
        <v>2195</v>
      </c>
      <c r="AD709" s="121" t="s">
        <v>51</v>
      </c>
      <c r="AE709" s="121" t="s">
        <v>51</v>
      </c>
      <c r="AF709" s="121" t="s">
        <v>51</v>
      </c>
      <c r="AG709" s="121"/>
      <c r="AH709" s="121" t="s">
        <v>52</v>
      </c>
      <c r="AI709" s="121">
        <v>0</v>
      </c>
      <c r="AJ709" s="121"/>
      <c r="AK709" s="121"/>
      <c r="AL709" s="121"/>
      <c r="AM709" s="121"/>
      <c r="AN709" s="121" t="s">
        <v>47</v>
      </c>
      <c r="AO709" s="121"/>
      <c r="AP709" s="121" t="s">
        <v>53</v>
      </c>
      <c r="AQ709" s="22">
        <v>0</v>
      </c>
    </row>
    <row r="710" s="22" customFormat="1" spans="1:43">
      <c r="A710" s="121">
        <v>180371</v>
      </c>
      <c r="B710" s="121" t="s">
        <v>985</v>
      </c>
      <c r="C710" s="121"/>
      <c r="D710" s="121"/>
      <c r="E710" s="121"/>
      <c r="F710" s="121">
        <v>3</v>
      </c>
      <c r="G710" s="121">
        <v>0</v>
      </c>
      <c r="H710" s="121">
        <v>1.35</v>
      </c>
      <c r="I710" s="121">
        <v>16</v>
      </c>
      <c r="J710" s="121">
        <v>0</v>
      </c>
      <c r="K710" s="121" t="s">
        <v>46</v>
      </c>
      <c r="L710" s="121" t="s">
        <v>47</v>
      </c>
      <c r="M710" s="122">
        <v>1010121</v>
      </c>
      <c r="N710" s="121">
        <v>0</v>
      </c>
      <c r="O710" s="121" t="s">
        <v>48</v>
      </c>
      <c r="P710" s="121">
        <v>1901</v>
      </c>
      <c r="Q710" s="121"/>
      <c r="R710" s="121"/>
      <c r="S710" s="121">
        <v>0</v>
      </c>
      <c r="T710" s="121">
        <v>0</v>
      </c>
      <c r="U710" s="121"/>
      <c r="V710" s="121"/>
      <c r="W710" s="121" t="s">
        <v>47</v>
      </c>
      <c r="X710" s="121"/>
      <c r="Y710" s="121"/>
      <c r="Z710" s="121" t="s">
        <v>986</v>
      </c>
      <c r="AA710" s="121"/>
      <c r="AB710" s="121" t="s">
        <v>986</v>
      </c>
      <c r="AC710" s="121">
        <v>2195</v>
      </c>
      <c r="AD710" s="121" t="s">
        <v>51</v>
      </c>
      <c r="AE710" s="121" t="s">
        <v>51</v>
      </c>
      <c r="AF710" s="121" t="s">
        <v>51</v>
      </c>
      <c r="AG710" s="121"/>
      <c r="AH710" s="121" t="s">
        <v>52</v>
      </c>
      <c r="AI710" s="121">
        <v>0</v>
      </c>
      <c r="AJ710" s="121"/>
      <c r="AK710" s="121"/>
      <c r="AL710" s="121"/>
      <c r="AM710" s="121"/>
      <c r="AN710" s="121" t="s">
        <v>47</v>
      </c>
      <c r="AO710" s="121"/>
      <c r="AP710" s="121" t="s">
        <v>53</v>
      </c>
      <c r="AQ710" s="22">
        <v>0</v>
      </c>
    </row>
    <row r="711" s="22" customFormat="1" spans="1:43">
      <c r="A711" s="121">
        <v>180372</v>
      </c>
      <c r="B711" s="121" t="s">
        <v>987</v>
      </c>
      <c r="C711" s="121"/>
      <c r="D711" s="121"/>
      <c r="E711" s="121"/>
      <c r="F711" s="121">
        <v>4</v>
      </c>
      <c r="G711" s="121">
        <v>0</v>
      </c>
      <c r="H711" s="121">
        <v>1.35</v>
      </c>
      <c r="I711" s="121">
        <v>16</v>
      </c>
      <c r="J711" s="121">
        <v>0</v>
      </c>
      <c r="K711" s="121" t="s">
        <v>46</v>
      </c>
      <c r="L711" s="121" t="s">
        <v>47</v>
      </c>
      <c r="M711" s="122">
        <v>1010169</v>
      </c>
      <c r="N711" s="121">
        <v>0</v>
      </c>
      <c r="O711" s="121" t="s">
        <v>48</v>
      </c>
      <c r="P711" s="121">
        <v>1901</v>
      </c>
      <c r="Q711" s="121"/>
      <c r="R711" s="121"/>
      <c r="S711" s="121">
        <v>0</v>
      </c>
      <c r="T711" s="121">
        <v>0</v>
      </c>
      <c r="U711" s="121"/>
      <c r="V711" s="121"/>
      <c r="W711" s="121" t="s">
        <v>47</v>
      </c>
      <c r="X711" s="121"/>
      <c r="Y711" s="121"/>
      <c r="Z711" s="121" t="s">
        <v>988</v>
      </c>
      <c r="AA711" s="121"/>
      <c r="AB711" s="121" t="s">
        <v>988</v>
      </c>
      <c r="AC711" s="121">
        <v>2195</v>
      </c>
      <c r="AD711" s="121" t="s">
        <v>51</v>
      </c>
      <c r="AE711" s="121" t="s">
        <v>51</v>
      </c>
      <c r="AF711" s="121" t="s">
        <v>51</v>
      </c>
      <c r="AG711" s="121"/>
      <c r="AH711" s="121" t="s">
        <v>52</v>
      </c>
      <c r="AI711" s="121">
        <v>0</v>
      </c>
      <c r="AJ711" s="121"/>
      <c r="AK711" s="121"/>
      <c r="AL711" s="121"/>
      <c r="AM711" s="121"/>
      <c r="AN711" s="121" t="s">
        <v>47</v>
      </c>
      <c r="AO711" s="121"/>
      <c r="AP711" s="121" t="s">
        <v>53</v>
      </c>
      <c r="AQ711" s="22">
        <v>0</v>
      </c>
    </row>
    <row r="712" s="22" customFormat="1" spans="1:43">
      <c r="A712" s="121">
        <v>180373</v>
      </c>
      <c r="B712" s="121" t="s">
        <v>989</v>
      </c>
      <c r="C712" s="121"/>
      <c r="D712" s="121"/>
      <c r="E712" s="121"/>
      <c r="F712" s="121">
        <v>2</v>
      </c>
      <c r="G712" s="121">
        <v>0</v>
      </c>
      <c r="H712" s="121">
        <v>1.35</v>
      </c>
      <c r="I712" s="121">
        <v>16</v>
      </c>
      <c r="J712" s="121">
        <v>0</v>
      </c>
      <c r="K712" s="121" t="s">
        <v>46</v>
      </c>
      <c r="L712" s="121" t="s">
        <v>47</v>
      </c>
      <c r="M712" s="122">
        <v>1010133</v>
      </c>
      <c r="N712" s="121">
        <v>0</v>
      </c>
      <c r="O712" s="121" t="s">
        <v>48</v>
      </c>
      <c r="P712" s="121">
        <v>1901</v>
      </c>
      <c r="Q712" s="121"/>
      <c r="R712" s="121"/>
      <c r="S712" s="121">
        <v>0</v>
      </c>
      <c r="T712" s="121">
        <v>0</v>
      </c>
      <c r="U712" s="121"/>
      <c r="V712" s="121"/>
      <c r="W712" s="121" t="s">
        <v>47</v>
      </c>
      <c r="X712" s="121"/>
      <c r="Y712" s="121"/>
      <c r="Z712" s="121" t="s">
        <v>984</v>
      </c>
      <c r="AA712" s="121"/>
      <c r="AB712" s="121" t="s">
        <v>984</v>
      </c>
      <c r="AC712" s="121">
        <v>2195</v>
      </c>
      <c r="AD712" s="121" t="s">
        <v>51</v>
      </c>
      <c r="AE712" s="121" t="s">
        <v>51</v>
      </c>
      <c r="AF712" s="121" t="s">
        <v>51</v>
      </c>
      <c r="AG712" s="121"/>
      <c r="AH712" s="121" t="s">
        <v>52</v>
      </c>
      <c r="AI712" s="121">
        <v>0</v>
      </c>
      <c r="AJ712" s="121"/>
      <c r="AK712" s="121"/>
      <c r="AL712" s="121"/>
      <c r="AM712" s="121"/>
      <c r="AN712" s="121" t="s">
        <v>47</v>
      </c>
      <c r="AO712" s="121"/>
      <c r="AP712" s="121" t="s">
        <v>53</v>
      </c>
      <c r="AQ712" s="22">
        <v>0</v>
      </c>
    </row>
    <row r="713" s="22" customFormat="1" spans="1:43">
      <c r="A713" s="121">
        <v>180374</v>
      </c>
      <c r="B713" s="121" t="s">
        <v>990</v>
      </c>
      <c r="C713" s="121"/>
      <c r="D713" s="121"/>
      <c r="E713" s="121"/>
      <c r="F713" s="121">
        <v>0</v>
      </c>
      <c r="G713" s="121">
        <v>0</v>
      </c>
      <c r="H713" s="121">
        <v>1.35</v>
      </c>
      <c r="I713" s="121">
        <v>16</v>
      </c>
      <c r="J713" s="121">
        <v>0</v>
      </c>
      <c r="K713" s="121" t="s">
        <v>46</v>
      </c>
      <c r="L713" s="121" t="s">
        <v>47</v>
      </c>
      <c r="M713" s="122" t="s">
        <v>991</v>
      </c>
      <c r="N713" s="121">
        <v>0</v>
      </c>
      <c r="O713" s="121" t="s">
        <v>48</v>
      </c>
      <c r="P713" s="121">
        <v>1901</v>
      </c>
      <c r="Q713" s="121"/>
      <c r="R713" s="121"/>
      <c r="S713" s="121">
        <v>0</v>
      </c>
      <c r="T713" s="121">
        <v>0</v>
      </c>
      <c r="U713" s="121"/>
      <c r="V713" s="121"/>
      <c r="W713" s="121" t="s">
        <v>47</v>
      </c>
      <c r="X713" s="121"/>
      <c r="Y713" s="121"/>
      <c r="Z713" s="121" t="s">
        <v>986</v>
      </c>
      <c r="AA713" s="121"/>
      <c r="AB713" s="121" t="s">
        <v>986</v>
      </c>
      <c r="AC713" s="121">
        <v>2195</v>
      </c>
      <c r="AD713" s="121" t="s">
        <v>51</v>
      </c>
      <c r="AE713" s="121" t="s">
        <v>51</v>
      </c>
      <c r="AF713" s="121" t="s">
        <v>51</v>
      </c>
      <c r="AG713" s="121"/>
      <c r="AH713" s="121" t="s">
        <v>52</v>
      </c>
      <c r="AI713" s="121">
        <v>0</v>
      </c>
      <c r="AJ713" s="121"/>
      <c r="AK713" s="121"/>
      <c r="AL713" s="121"/>
      <c r="AM713" s="121"/>
      <c r="AN713" s="121" t="s">
        <v>47</v>
      </c>
      <c r="AO713" s="121"/>
      <c r="AP713" s="121" t="s">
        <v>53</v>
      </c>
      <c r="AQ713" s="22">
        <v>0</v>
      </c>
    </row>
    <row r="714" s="22" customFormat="1" spans="1:43">
      <c r="A714" s="121">
        <v>180375</v>
      </c>
      <c r="B714" s="121" t="s">
        <v>992</v>
      </c>
      <c r="C714" s="121"/>
      <c r="D714" s="121"/>
      <c r="E714" s="121"/>
      <c r="F714" s="121">
        <v>3</v>
      </c>
      <c r="G714" s="121">
        <v>0</v>
      </c>
      <c r="H714" s="121">
        <v>1.35</v>
      </c>
      <c r="I714" s="121">
        <v>16</v>
      </c>
      <c r="J714" s="121">
        <v>0</v>
      </c>
      <c r="K714" s="121" t="s">
        <v>46</v>
      </c>
      <c r="L714" s="121" t="s">
        <v>47</v>
      </c>
      <c r="M714" s="122">
        <v>1010169</v>
      </c>
      <c r="N714" s="121">
        <v>0</v>
      </c>
      <c r="O714" s="121" t="s">
        <v>48</v>
      </c>
      <c r="P714" s="121">
        <v>1901</v>
      </c>
      <c r="Q714" s="121"/>
      <c r="R714" s="121"/>
      <c r="S714" s="121">
        <v>0</v>
      </c>
      <c r="T714" s="121">
        <v>0</v>
      </c>
      <c r="U714" s="121"/>
      <c r="V714" s="121"/>
      <c r="W714" s="121" t="s">
        <v>47</v>
      </c>
      <c r="X714" s="121"/>
      <c r="Y714" s="121"/>
      <c r="Z714" s="121" t="s">
        <v>988</v>
      </c>
      <c r="AA714" s="121"/>
      <c r="AB714" s="121" t="s">
        <v>988</v>
      </c>
      <c r="AC714" s="121">
        <v>2195</v>
      </c>
      <c r="AD714" s="121" t="s">
        <v>51</v>
      </c>
      <c r="AE714" s="121" t="s">
        <v>51</v>
      </c>
      <c r="AF714" s="121" t="s">
        <v>51</v>
      </c>
      <c r="AG714" s="121"/>
      <c r="AH714" s="121" t="s">
        <v>52</v>
      </c>
      <c r="AI714" s="121">
        <v>0</v>
      </c>
      <c r="AJ714" s="121"/>
      <c r="AK714" s="121"/>
      <c r="AL714" s="121"/>
      <c r="AM714" s="121"/>
      <c r="AN714" s="121" t="s">
        <v>47</v>
      </c>
      <c r="AO714" s="121"/>
      <c r="AP714" s="121" t="s">
        <v>53</v>
      </c>
      <c r="AQ714" s="22">
        <v>0</v>
      </c>
    </row>
    <row r="715" s="22" customFormat="1" spans="1:43">
      <c r="A715" s="121">
        <v>180376</v>
      </c>
      <c r="B715" s="121" t="s">
        <v>993</v>
      </c>
      <c r="C715" s="121"/>
      <c r="D715" s="121"/>
      <c r="E715" s="121"/>
      <c r="F715" s="121">
        <v>1</v>
      </c>
      <c r="G715" s="121">
        <v>0</v>
      </c>
      <c r="H715" s="121">
        <v>1.35</v>
      </c>
      <c r="I715" s="121">
        <v>16</v>
      </c>
      <c r="J715" s="121">
        <v>0</v>
      </c>
      <c r="K715" s="121" t="s">
        <v>46</v>
      </c>
      <c r="L715" s="121" t="s">
        <v>47</v>
      </c>
      <c r="M715" s="122">
        <v>1010169</v>
      </c>
      <c r="N715" s="121">
        <v>0</v>
      </c>
      <c r="O715" s="121" t="s">
        <v>48</v>
      </c>
      <c r="P715" s="121">
        <v>1901</v>
      </c>
      <c r="Q715" s="121"/>
      <c r="R715" s="121"/>
      <c r="S715" s="121">
        <v>0</v>
      </c>
      <c r="T715" s="121">
        <v>0</v>
      </c>
      <c r="U715" s="121"/>
      <c r="V715" s="121"/>
      <c r="W715" s="121" t="s">
        <v>47</v>
      </c>
      <c r="X715" s="121"/>
      <c r="Y715" s="121"/>
      <c r="Z715" s="121" t="s">
        <v>984</v>
      </c>
      <c r="AA715" s="121"/>
      <c r="AB715" s="121" t="s">
        <v>984</v>
      </c>
      <c r="AC715" s="121">
        <v>2195</v>
      </c>
      <c r="AD715" s="121" t="s">
        <v>51</v>
      </c>
      <c r="AE715" s="121" t="s">
        <v>51</v>
      </c>
      <c r="AF715" s="121" t="s">
        <v>51</v>
      </c>
      <c r="AG715" s="121"/>
      <c r="AH715" s="121" t="s">
        <v>52</v>
      </c>
      <c r="AI715" s="121">
        <v>0</v>
      </c>
      <c r="AJ715" s="121"/>
      <c r="AK715" s="121"/>
      <c r="AL715" s="121"/>
      <c r="AM715" s="121"/>
      <c r="AN715" s="121" t="s">
        <v>47</v>
      </c>
      <c r="AO715" s="121"/>
      <c r="AP715" s="121" t="s">
        <v>53</v>
      </c>
      <c r="AQ715" s="22">
        <v>0</v>
      </c>
    </row>
    <row r="716" s="22" customFormat="1" spans="1:43">
      <c r="A716" s="121">
        <v>180377</v>
      </c>
      <c r="B716" s="121" t="s">
        <v>994</v>
      </c>
      <c r="C716" s="121"/>
      <c r="D716" s="121"/>
      <c r="E716" s="121"/>
      <c r="F716" s="121">
        <v>3</v>
      </c>
      <c r="G716" s="121">
        <v>0</v>
      </c>
      <c r="H716" s="121">
        <v>1.35</v>
      </c>
      <c r="I716" s="121">
        <v>16</v>
      </c>
      <c r="J716" s="121">
        <v>0</v>
      </c>
      <c r="K716" s="121" t="s">
        <v>46</v>
      </c>
      <c r="L716" s="121" t="s">
        <v>47</v>
      </c>
      <c r="M716" s="122">
        <v>1010133</v>
      </c>
      <c r="N716" s="121">
        <v>0</v>
      </c>
      <c r="O716" s="121" t="s">
        <v>48</v>
      </c>
      <c r="P716" s="121">
        <v>1901</v>
      </c>
      <c r="Q716" s="121"/>
      <c r="R716" s="121"/>
      <c r="S716" s="121">
        <v>0</v>
      </c>
      <c r="T716" s="121">
        <v>0</v>
      </c>
      <c r="U716" s="121"/>
      <c r="V716" s="121"/>
      <c r="W716" s="121" t="s">
        <v>47</v>
      </c>
      <c r="X716" s="121"/>
      <c r="Y716" s="121"/>
      <c r="Z716" s="121" t="s">
        <v>986</v>
      </c>
      <c r="AA716" s="121"/>
      <c r="AB716" s="121" t="s">
        <v>986</v>
      </c>
      <c r="AC716" s="121">
        <v>2195</v>
      </c>
      <c r="AD716" s="121" t="s">
        <v>51</v>
      </c>
      <c r="AE716" s="121" t="s">
        <v>51</v>
      </c>
      <c r="AF716" s="121" t="s">
        <v>51</v>
      </c>
      <c r="AG716" s="121"/>
      <c r="AH716" s="121" t="s">
        <v>52</v>
      </c>
      <c r="AI716" s="121">
        <v>0</v>
      </c>
      <c r="AJ716" s="121"/>
      <c r="AK716" s="121"/>
      <c r="AL716" s="121"/>
      <c r="AM716" s="121"/>
      <c r="AN716" s="121" t="s">
        <v>47</v>
      </c>
      <c r="AO716" s="121"/>
      <c r="AP716" s="121" t="s">
        <v>53</v>
      </c>
      <c r="AQ716" s="22">
        <v>0</v>
      </c>
    </row>
    <row r="717" s="22" customFormat="1" spans="1:43">
      <c r="A717" s="121">
        <v>180378</v>
      </c>
      <c r="B717" s="121" t="s">
        <v>995</v>
      </c>
      <c r="C717" s="121"/>
      <c r="D717" s="121"/>
      <c r="E717" s="121"/>
      <c r="F717" s="121">
        <v>2</v>
      </c>
      <c r="G717" s="121">
        <v>0</v>
      </c>
      <c r="H717" s="121">
        <v>1.35</v>
      </c>
      <c r="I717" s="121">
        <v>16</v>
      </c>
      <c r="J717" s="121">
        <v>0</v>
      </c>
      <c r="K717" s="121" t="s">
        <v>46</v>
      </c>
      <c r="L717" s="121" t="s">
        <v>47</v>
      </c>
      <c r="M717" s="122">
        <v>1010169</v>
      </c>
      <c r="N717" s="121">
        <v>0</v>
      </c>
      <c r="O717" s="121" t="s">
        <v>48</v>
      </c>
      <c r="P717" s="121">
        <v>1901</v>
      </c>
      <c r="Q717" s="121"/>
      <c r="R717" s="121"/>
      <c r="S717" s="121">
        <v>0</v>
      </c>
      <c r="T717" s="121">
        <v>0</v>
      </c>
      <c r="U717" s="121"/>
      <c r="V717" s="121"/>
      <c r="W717" s="121" t="s">
        <v>47</v>
      </c>
      <c r="X717" s="121"/>
      <c r="Y717" s="121"/>
      <c r="Z717" s="121" t="s">
        <v>988</v>
      </c>
      <c r="AA717" s="121"/>
      <c r="AB717" s="121" t="s">
        <v>988</v>
      </c>
      <c r="AC717" s="121">
        <v>2195</v>
      </c>
      <c r="AD717" s="121" t="s">
        <v>51</v>
      </c>
      <c r="AE717" s="121" t="s">
        <v>51</v>
      </c>
      <c r="AF717" s="121" t="s">
        <v>51</v>
      </c>
      <c r="AG717" s="121"/>
      <c r="AH717" s="121" t="s">
        <v>52</v>
      </c>
      <c r="AI717" s="121">
        <v>0</v>
      </c>
      <c r="AJ717" s="121"/>
      <c r="AK717" s="121"/>
      <c r="AL717" s="121"/>
      <c r="AM717" s="121"/>
      <c r="AN717" s="121" t="s">
        <v>47</v>
      </c>
      <c r="AO717" s="121"/>
      <c r="AP717" s="121" t="s">
        <v>53</v>
      </c>
      <c r="AQ717" s="22">
        <v>0</v>
      </c>
    </row>
    <row r="718" s="22" customFormat="1" spans="1:43">
      <c r="A718" s="121">
        <v>180379</v>
      </c>
      <c r="B718" s="121" t="s">
        <v>996</v>
      </c>
      <c r="C718" s="121"/>
      <c r="D718" s="121"/>
      <c r="E718" s="121"/>
      <c r="F718" s="121">
        <v>0</v>
      </c>
      <c r="G718" s="121">
        <v>0</v>
      </c>
      <c r="H718" s="121">
        <v>1</v>
      </c>
      <c r="I718" s="121">
        <v>16</v>
      </c>
      <c r="J718" s="121">
        <v>0</v>
      </c>
      <c r="K718" s="121" t="s">
        <v>46</v>
      </c>
      <c r="L718" s="121" t="s">
        <v>47</v>
      </c>
      <c r="M718" s="123">
        <v>1060101</v>
      </c>
      <c r="N718" s="121">
        <v>0</v>
      </c>
      <c r="O718" s="121" t="s">
        <v>48</v>
      </c>
      <c r="P718" s="121">
        <v>1901</v>
      </c>
      <c r="Q718" s="121"/>
      <c r="R718" s="121"/>
      <c r="S718" s="121">
        <v>0</v>
      </c>
      <c r="T718" s="121">
        <v>0</v>
      </c>
      <c r="U718" s="121"/>
      <c r="V718" s="121"/>
      <c r="W718" s="121" t="s">
        <v>47</v>
      </c>
      <c r="X718" s="121"/>
      <c r="Y718" s="121"/>
      <c r="Z718" s="121" t="s">
        <v>997</v>
      </c>
      <c r="AA718" s="121"/>
      <c r="AB718" s="121" t="s">
        <v>997</v>
      </c>
      <c r="AC718" s="121">
        <v>2195</v>
      </c>
      <c r="AD718" s="121" t="s">
        <v>51</v>
      </c>
      <c r="AE718" s="121" t="s">
        <v>51</v>
      </c>
      <c r="AF718" s="121" t="s">
        <v>51</v>
      </c>
      <c r="AG718" s="121"/>
      <c r="AH718" s="121" t="s">
        <v>52</v>
      </c>
      <c r="AI718" s="121">
        <v>0</v>
      </c>
      <c r="AJ718" s="121"/>
      <c r="AK718" s="121"/>
      <c r="AL718" s="121"/>
      <c r="AM718" s="121"/>
      <c r="AN718" s="121" t="s">
        <v>47</v>
      </c>
      <c r="AO718" s="121"/>
      <c r="AP718" s="121" t="s">
        <v>53</v>
      </c>
      <c r="AQ718" s="22">
        <v>0</v>
      </c>
    </row>
    <row r="719" s="22" customFormat="1" ht="12" spans="1:43">
      <c r="A719" s="121">
        <v>180380</v>
      </c>
      <c r="B719" s="121" t="s">
        <v>971</v>
      </c>
      <c r="C719" s="121"/>
      <c r="D719" s="121"/>
      <c r="E719" s="121"/>
      <c r="F719" s="121">
        <v>0</v>
      </c>
      <c r="G719" s="121">
        <v>0</v>
      </c>
      <c r="H719" s="121" t="s">
        <v>45</v>
      </c>
      <c r="I719" s="121">
        <v>16</v>
      </c>
      <c r="J719" s="121">
        <v>0</v>
      </c>
      <c r="K719" s="121" t="s">
        <v>46</v>
      </c>
      <c r="L719" s="121" t="s">
        <v>47</v>
      </c>
      <c r="M719" s="121">
        <v>1010146</v>
      </c>
      <c r="N719" s="121">
        <v>0</v>
      </c>
      <c r="O719" s="121" t="s">
        <v>48</v>
      </c>
      <c r="P719" s="121">
        <v>1901</v>
      </c>
      <c r="Q719" s="121"/>
      <c r="R719" s="121"/>
      <c r="S719" s="121">
        <v>0</v>
      </c>
      <c r="T719" s="121">
        <v>0</v>
      </c>
      <c r="U719" s="121"/>
      <c r="V719" s="121"/>
      <c r="W719" s="121" t="s">
        <v>47</v>
      </c>
      <c r="X719" s="121"/>
      <c r="Y719" s="121"/>
      <c r="Z719" s="121" t="s">
        <v>972</v>
      </c>
      <c r="AA719" s="121"/>
      <c r="AB719" s="121" t="s">
        <v>972</v>
      </c>
      <c r="AC719" s="121">
        <v>2197</v>
      </c>
      <c r="AD719" s="121" t="s">
        <v>51</v>
      </c>
      <c r="AE719" s="121" t="s">
        <v>51</v>
      </c>
      <c r="AF719" s="121" t="s">
        <v>51</v>
      </c>
      <c r="AG719" s="121"/>
      <c r="AH719" s="121" t="s">
        <v>52</v>
      </c>
      <c r="AI719" s="121">
        <v>0</v>
      </c>
      <c r="AJ719" s="121"/>
      <c r="AK719" s="121"/>
      <c r="AL719" s="121"/>
      <c r="AM719" s="121"/>
      <c r="AN719" s="121" t="s">
        <v>47</v>
      </c>
      <c r="AO719" s="121"/>
      <c r="AP719" s="121" t="s">
        <v>53</v>
      </c>
      <c r="AQ719" s="22">
        <v>0</v>
      </c>
    </row>
    <row r="720" s="22" customFormat="1" ht="12" spans="1:43">
      <c r="A720" s="121">
        <v>180381</v>
      </c>
      <c r="B720" s="121" t="s">
        <v>971</v>
      </c>
      <c r="C720" s="121"/>
      <c r="D720" s="121"/>
      <c r="E720" s="121"/>
      <c r="F720" s="121">
        <v>0</v>
      </c>
      <c r="G720" s="121">
        <v>0</v>
      </c>
      <c r="H720" s="121" t="s">
        <v>45</v>
      </c>
      <c r="I720" s="121">
        <v>16</v>
      </c>
      <c r="J720" s="121">
        <v>0</v>
      </c>
      <c r="K720" s="121" t="s">
        <v>46</v>
      </c>
      <c r="L720" s="121" t="s">
        <v>47</v>
      </c>
      <c r="M720" s="121">
        <v>1010146</v>
      </c>
      <c r="N720" s="121">
        <v>0</v>
      </c>
      <c r="O720" s="121" t="s">
        <v>48</v>
      </c>
      <c r="P720" s="121">
        <v>1901</v>
      </c>
      <c r="Q720" s="121"/>
      <c r="R720" s="121"/>
      <c r="S720" s="121">
        <v>0</v>
      </c>
      <c r="T720" s="121">
        <v>0</v>
      </c>
      <c r="U720" s="121"/>
      <c r="V720" s="121"/>
      <c r="W720" s="121" t="s">
        <v>47</v>
      </c>
      <c r="X720" s="121"/>
      <c r="Y720" s="121"/>
      <c r="Z720" s="121" t="s">
        <v>972</v>
      </c>
      <c r="AA720" s="121"/>
      <c r="AB720" s="121" t="s">
        <v>972</v>
      </c>
      <c r="AC720" s="121">
        <v>2197</v>
      </c>
      <c r="AD720" s="121" t="s">
        <v>51</v>
      </c>
      <c r="AE720" s="121" t="s">
        <v>51</v>
      </c>
      <c r="AF720" s="121" t="s">
        <v>51</v>
      </c>
      <c r="AG720" s="121"/>
      <c r="AH720" s="121" t="s">
        <v>52</v>
      </c>
      <c r="AI720" s="121">
        <v>0</v>
      </c>
      <c r="AJ720" s="121"/>
      <c r="AK720" s="121"/>
      <c r="AL720" s="121"/>
      <c r="AM720" s="121"/>
      <c r="AN720" s="121" t="s">
        <v>47</v>
      </c>
      <c r="AO720" s="121"/>
      <c r="AP720" s="121" t="s">
        <v>53</v>
      </c>
      <c r="AQ720" s="22">
        <v>0</v>
      </c>
    </row>
    <row r="721" s="22" customFormat="1" ht="12" spans="1:43">
      <c r="A721" s="121">
        <v>180382</v>
      </c>
      <c r="B721" s="121" t="s">
        <v>973</v>
      </c>
      <c r="C721" s="121"/>
      <c r="D721" s="121"/>
      <c r="E721" s="121"/>
      <c r="F721" s="121">
        <v>0</v>
      </c>
      <c r="G721" s="121">
        <v>0</v>
      </c>
      <c r="H721" s="121" t="s">
        <v>45</v>
      </c>
      <c r="I721" s="121">
        <v>16</v>
      </c>
      <c r="J721" s="121">
        <v>0</v>
      </c>
      <c r="K721" s="121" t="s">
        <v>46</v>
      </c>
      <c r="L721" s="121" t="s">
        <v>47</v>
      </c>
      <c r="M721" s="121">
        <v>1010147</v>
      </c>
      <c r="N721" s="121">
        <v>0</v>
      </c>
      <c r="O721" s="121" t="s">
        <v>48</v>
      </c>
      <c r="P721" s="121">
        <v>1901</v>
      </c>
      <c r="Q721" s="121"/>
      <c r="R721" s="121"/>
      <c r="S721" s="121">
        <v>0</v>
      </c>
      <c r="T721" s="121">
        <v>0</v>
      </c>
      <c r="U721" s="121"/>
      <c r="V721" s="121"/>
      <c r="W721" s="121" t="s">
        <v>47</v>
      </c>
      <c r="X721" s="121"/>
      <c r="Y721" s="121"/>
      <c r="Z721" s="121" t="s">
        <v>974</v>
      </c>
      <c r="AA721" s="121"/>
      <c r="AB721" s="121" t="s">
        <v>974</v>
      </c>
      <c r="AC721" s="121">
        <v>2196</v>
      </c>
      <c r="AD721" s="121" t="s">
        <v>51</v>
      </c>
      <c r="AE721" s="121" t="s">
        <v>51</v>
      </c>
      <c r="AF721" s="121" t="s">
        <v>51</v>
      </c>
      <c r="AG721" s="121"/>
      <c r="AH721" s="121" t="s">
        <v>52</v>
      </c>
      <c r="AI721" s="121">
        <v>0</v>
      </c>
      <c r="AJ721" s="121"/>
      <c r="AK721" s="121"/>
      <c r="AL721" s="121"/>
      <c r="AM721" s="121"/>
      <c r="AN721" s="121" t="s">
        <v>47</v>
      </c>
      <c r="AO721" s="121"/>
      <c r="AP721" s="121" t="s">
        <v>53</v>
      </c>
      <c r="AQ721" s="22">
        <v>0</v>
      </c>
    </row>
    <row r="722" s="22" customFormat="1" ht="12" spans="1:43">
      <c r="A722" s="121">
        <v>180383</v>
      </c>
      <c r="B722" s="121" t="s">
        <v>973</v>
      </c>
      <c r="C722" s="121"/>
      <c r="D722" s="121"/>
      <c r="E722" s="121"/>
      <c r="F722" s="121">
        <v>0</v>
      </c>
      <c r="G722" s="121">
        <v>0</v>
      </c>
      <c r="H722" s="121" t="s">
        <v>45</v>
      </c>
      <c r="I722" s="121">
        <v>16</v>
      </c>
      <c r="J722" s="121">
        <v>0</v>
      </c>
      <c r="K722" s="121" t="s">
        <v>46</v>
      </c>
      <c r="L722" s="121" t="s">
        <v>47</v>
      </c>
      <c r="M722" s="121">
        <v>1010147</v>
      </c>
      <c r="N722" s="121">
        <v>0</v>
      </c>
      <c r="O722" s="121" t="s">
        <v>48</v>
      </c>
      <c r="P722" s="121">
        <v>1901</v>
      </c>
      <c r="Q722" s="121"/>
      <c r="R722" s="121"/>
      <c r="S722" s="121">
        <v>0</v>
      </c>
      <c r="T722" s="121">
        <v>0</v>
      </c>
      <c r="U722" s="121"/>
      <c r="V722" s="121"/>
      <c r="W722" s="121" t="s">
        <v>47</v>
      </c>
      <c r="X722" s="121"/>
      <c r="Y722" s="121"/>
      <c r="Z722" s="121" t="s">
        <v>974</v>
      </c>
      <c r="AA722" s="121"/>
      <c r="AB722" s="121" t="s">
        <v>974</v>
      </c>
      <c r="AC722" s="121">
        <v>2196</v>
      </c>
      <c r="AD722" s="121" t="s">
        <v>51</v>
      </c>
      <c r="AE722" s="121" t="s">
        <v>51</v>
      </c>
      <c r="AF722" s="121" t="s">
        <v>51</v>
      </c>
      <c r="AG722" s="121"/>
      <c r="AH722" s="121" t="s">
        <v>52</v>
      </c>
      <c r="AI722" s="121">
        <v>0</v>
      </c>
      <c r="AJ722" s="121"/>
      <c r="AK722" s="121"/>
      <c r="AL722" s="121"/>
      <c r="AM722" s="121"/>
      <c r="AN722" s="121" t="s">
        <v>47</v>
      </c>
      <c r="AO722" s="121"/>
      <c r="AP722" s="121" t="s">
        <v>53</v>
      </c>
      <c r="AQ722" s="22">
        <v>0</v>
      </c>
    </row>
    <row r="723" s="10" customFormat="1" spans="1:43">
      <c r="A723" s="63">
        <v>180401</v>
      </c>
      <c r="B723" s="63" t="s">
        <v>998</v>
      </c>
      <c r="C723" s="63"/>
      <c r="D723" s="63"/>
      <c r="E723" s="63"/>
      <c r="F723" s="63">
        <v>0</v>
      </c>
      <c r="G723" s="63">
        <v>0</v>
      </c>
      <c r="H723" s="63" t="s">
        <v>45</v>
      </c>
      <c r="I723" s="63">
        <v>16</v>
      </c>
      <c r="J723" s="63">
        <v>0</v>
      </c>
      <c r="K723" s="63" t="s">
        <v>46</v>
      </c>
      <c r="L723" s="63" t="s">
        <v>47</v>
      </c>
      <c r="M723" s="124">
        <v>1010154</v>
      </c>
      <c r="N723" s="63">
        <v>0</v>
      </c>
      <c r="O723" s="63" t="s">
        <v>48</v>
      </c>
      <c r="P723" s="63">
        <v>1901</v>
      </c>
      <c r="Q723" s="63"/>
      <c r="R723" s="63"/>
      <c r="S723" s="63">
        <v>0</v>
      </c>
      <c r="T723" s="63">
        <v>0</v>
      </c>
      <c r="U723" s="63"/>
      <c r="V723" s="63"/>
      <c r="W723" s="63" t="s">
        <v>47</v>
      </c>
      <c r="X723" s="63"/>
      <c r="Y723" s="63"/>
      <c r="Z723" s="63" t="s">
        <v>972</v>
      </c>
      <c r="AA723" s="63"/>
      <c r="AB723" s="63" t="s">
        <v>972</v>
      </c>
      <c r="AC723" s="63">
        <v>2197</v>
      </c>
      <c r="AD723" s="63" t="s">
        <v>51</v>
      </c>
      <c r="AE723" s="63" t="s">
        <v>51</v>
      </c>
      <c r="AF723" s="63" t="s">
        <v>51</v>
      </c>
      <c r="AG723" s="63"/>
      <c r="AH723" s="63" t="s">
        <v>52</v>
      </c>
      <c r="AI723" s="63">
        <v>0</v>
      </c>
      <c r="AJ723" s="63"/>
      <c r="AK723" s="63"/>
      <c r="AL723" s="63"/>
      <c r="AM723" s="63"/>
      <c r="AN723" s="63" t="s">
        <v>47</v>
      </c>
      <c r="AO723" s="63"/>
      <c r="AP723" s="63" t="s">
        <v>53</v>
      </c>
      <c r="AQ723" s="10">
        <v>0</v>
      </c>
    </row>
    <row r="724" s="10" customFormat="1" spans="1:43">
      <c r="A724" s="63">
        <v>180402</v>
      </c>
      <c r="B724" s="63" t="s">
        <v>999</v>
      </c>
      <c r="C724" s="63"/>
      <c r="D724" s="63"/>
      <c r="E724" s="63"/>
      <c r="F724" s="63">
        <v>0</v>
      </c>
      <c r="G724" s="63">
        <v>0</v>
      </c>
      <c r="H724" s="63" t="s">
        <v>45</v>
      </c>
      <c r="I724" s="63">
        <v>16</v>
      </c>
      <c r="J724" s="63">
        <v>0</v>
      </c>
      <c r="K724" s="63" t="s">
        <v>46</v>
      </c>
      <c r="L724" s="63" t="s">
        <v>47</v>
      </c>
      <c r="M724" s="124">
        <v>1010128</v>
      </c>
      <c r="N724" s="63">
        <v>0</v>
      </c>
      <c r="O724" s="63" t="s">
        <v>48</v>
      </c>
      <c r="P724" s="63">
        <v>1901</v>
      </c>
      <c r="Q724" s="63"/>
      <c r="R724" s="63"/>
      <c r="S724" s="63">
        <v>0</v>
      </c>
      <c r="T724" s="63">
        <v>0</v>
      </c>
      <c r="U724" s="63"/>
      <c r="V724" s="63"/>
      <c r="W724" s="63" t="s">
        <v>47</v>
      </c>
      <c r="X724" s="63"/>
      <c r="Y724" s="63"/>
      <c r="Z724" s="63" t="s">
        <v>974</v>
      </c>
      <c r="AA724" s="63"/>
      <c r="AB724" s="63" t="s">
        <v>974</v>
      </c>
      <c r="AC724" s="63">
        <v>2196</v>
      </c>
      <c r="AD724" s="63" t="s">
        <v>51</v>
      </c>
      <c r="AE724" s="63" t="s">
        <v>51</v>
      </c>
      <c r="AF724" s="63" t="s">
        <v>51</v>
      </c>
      <c r="AG724" s="63"/>
      <c r="AH724" s="63" t="s">
        <v>52</v>
      </c>
      <c r="AI724" s="63">
        <v>0</v>
      </c>
      <c r="AJ724" s="63"/>
      <c r="AK724" s="63"/>
      <c r="AL724" s="63"/>
      <c r="AM724" s="63"/>
      <c r="AN724" s="63" t="s">
        <v>47</v>
      </c>
      <c r="AO724" s="63"/>
      <c r="AP724" s="63" t="s">
        <v>53</v>
      </c>
      <c r="AQ724" s="10">
        <v>0</v>
      </c>
    </row>
    <row r="725" s="10" customFormat="1" spans="1:43">
      <c r="A725" s="63">
        <v>180403</v>
      </c>
      <c r="B725" s="63" t="s">
        <v>1000</v>
      </c>
      <c r="C725" s="63"/>
      <c r="D725" s="63"/>
      <c r="E725" s="63"/>
      <c r="F725" s="63">
        <v>0</v>
      </c>
      <c r="G725" s="63">
        <v>0</v>
      </c>
      <c r="H725" s="63" t="s">
        <v>45</v>
      </c>
      <c r="I725" s="63">
        <v>16</v>
      </c>
      <c r="J725" s="63">
        <v>0</v>
      </c>
      <c r="K725" s="63" t="s">
        <v>46</v>
      </c>
      <c r="L725" s="63" t="s">
        <v>47</v>
      </c>
      <c r="M725" s="124">
        <v>1010160</v>
      </c>
      <c r="N725" s="63">
        <v>0</v>
      </c>
      <c r="O725" s="63" t="s">
        <v>48</v>
      </c>
      <c r="P725" s="63">
        <v>1901</v>
      </c>
      <c r="Q725" s="63"/>
      <c r="R725" s="63"/>
      <c r="S725" s="63">
        <v>0</v>
      </c>
      <c r="T725" s="63">
        <v>0</v>
      </c>
      <c r="U725" s="63"/>
      <c r="V725" s="63"/>
      <c r="W725" s="63" t="s">
        <v>47</v>
      </c>
      <c r="X725" s="63"/>
      <c r="Y725" s="63"/>
      <c r="Z725" s="63" t="s">
        <v>976</v>
      </c>
      <c r="AA725" s="63"/>
      <c r="AB725" s="63" t="s">
        <v>976</v>
      </c>
      <c r="AC725" s="63">
        <v>2198</v>
      </c>
      <c r="AD725" s="63" t="s">
        <v>51</v>
      </c>
      <c r="AE725" s="63" t="s">
        <v>51</v>
      </c>
      <c r="AF725" s="63" t="s">
        <v>51</v>
      </c>
      <c r="AG725" s="63"/>
      <c r="AH725" s="63" t="s">
        <v>52</v>
      </c>
      <c r="AI725" s="63">
        <v>0</v>
      </c>
      <c r="AJ725" s="63"/>
      <c r="AK725" s="63"/>
      <c r="AL725" s="63"/>
      <c r="AM725" s="63"/>
      <c r="AN725" s="63" t="s">
        <v>47</v>
      </c>
      <c r="AO725" s="63"/>
      <c r="AP725" s="63" t="s">
        <v>53</v>
      </c>
      <c r="AQ725" s="10">
        <v>0</v>
      </c>
    </row>
    <row r="726" s="10" customFormat="1" ht="12" spans="1:43">
      <c r="A726" s="63">
        <v>180404</v>
      </c>
      <c r="B726" s="63" t="s">
        <v>639</v>
      </c>
      <c r="C726" s="63"/>
      <c r="D726" s="63"/>
      <c r="E726" s="63"/>
      <c r="F726" s="63">
        <v>0</v>
      </c>
      <c r="G726" s="63">
        <v>0</v>
      </c>
      <c r="H726" s="63" t="s">
        <v>45</v>
      </c>
      <c r="I726" s="63">
        <v>18</v>
      </c>
      <c r="J726" s="63">
        <v>0</v>
      </c>
      <c r="K726" s="63" t="s">
        <v>46</v>
      </c>
      <c r="L726" s="63" t="s">
        <v>47</v>
      </c>
      <c r="M726" s="63">
        <v>1030013</v>
      </c>
      <c r="N726" s="63">
        <v>0</v>
      </c>
      <c r="O726" s="63" t="s">
        <v>48</v>
      </c>
      <c r="P726" s="63">
        <v>1901</v>
      </c>
      <c r="Q726" s="63"/>
      <c r="R726" s="63"/>
      <c r="S726" s="63">
        <v>0</v>
      </c>
      <c r="T726" s="63">
        <v>0</v>
      </c>
      <c r="U726" s="63"/>
      <c r="V726" s="63"/>
      <c r="W726" s="63" t="s">
        <v>47</v>
      </c>
      <c r="X726" s="63"/>
      <c r="Y726" s="63"/>
      <c r="Z726" s="63" t="s">
        <v>639</v>
      </c>
      <c r="AA726" s="63"/>
      <c r="AB726" s="63" t="s">
        <v>639</v>
      </c>
      <c r="AC726" s="63" t="s">
        <v>51</v>
      </c>
      <c r="AD726" s="63" t="s">
        <v>51</v>
      </c>
      <c r="AE726" s="63" t="s">
        <v>51</v>
      </c>
      <c r="AF726" s="63" t="s">
        <v>51</v>
      </c>
      <c r="AG726" s="63"/>
      <c r="AH726" s="63" t="s">
        <v>52</v>
      </c>
      <c r="AI726" s="63">
        <v>0</v>
      </c>
      <c r="AJ726" s="63"/>
      <c r="AK726" s="63"/>
      <c r="AL726" s="63"/>
      <c r="AM726" s="63"/>
      <c r="AN726" s="63" t="s">
        <v>47</v>
      </c>
      <c r="AO726" s="63"/>
      <c r="AP726" s="63" t="s">
        <v>53</v>
      </c>
      <c r="AQ726" s="10">
        <v>0</v>
      </c>
    </row>
    <row r="727" s="10" customFormat="1" spans="1:43">
      <c r="A727" s="63">
        <v>180405</v>
      </c>
      <c r="B727" s="63" t="s">
        <v>1001</v>
      </c>
      <c r="C727" s="63"/>
      <c r="D727" s="63"/>
      <c r="E727" s="63"/>
      <c r="F727" s="63">
        <v>1</v>
      </c>
      <c r="G727" s="63">
        <v>0</v>
      </c>
      <c r="H727" s="63" t="s">
        <v>45</v>
      </c>
      <c r="I727" s="63">
        <v>16</v>
      </c>
      <c r="J727" s="63">
        <v>0</v>
      </c>
      <c r="K727" s="63" t="s">
        <v>46</v>
      </c>
      <c r="L727" s="63" t="s">
        <v>47</v>
      </c>
      <c r="M727" s="125" t="s">
        <v>409</v>
      </c>
      <c r="N727" s="63">
        <v>0</v>
      </c>
      <c r="O727" s="63" t="s">
        <v>48</v>
      </c>
      <c r="P727" s="63">
        <v>1901</v>
      </c>
      <c r="Q727" s="63"/>
      <c r="R727" s="63"/>
      <c r="S727" s="63">
        <v>0</v>
      </c>
      <c r="T727" s="63">
        <v>0</v>
      </c>
      <c r="U727" s="63"/>
      <c r="V727" s="63"/>
      <c r="W727" s="63" t="s">
        <v>47</v>
      </c>
      <c r="X727" s="63"/>
      <c r="Y727" s="63"/>
      <c r="Z727" s="63" t="s">
        <v>978</v>
      </c>
      <c r="AA727" s="63"/>
      <c r="AB727" s="63" t="s">
        <v>978</v>
      </c>
      <c r="AC727" s="63">
        <v>2195</v>
      </c>
      <c r="AD727" s="63" t="s">
        <v>51</v>
      </c>
      <c r="AE727" s="63" t="s">
        <v>51</v>
      </c>
      <c r="AF727" s="63" t="s">
        <v>51</v>
      </c>
      <c r="AG727" s="63"/>
      <c r="AH727" s="63" t="s">
        <v>52</v>
      </c>
      <c r="AI727" s="63">
        <v>0</v>
      </c>
      <c r="AJ727" s="63"/>
      <c r="AK727" s="63"/>
      <c r="AL727" s="63"/>
      <c r="AM727" s="63"/>
      <c r="AN727" s="63" t="s">
        <v>47</v>
      </c>
      <c r="AO727" s="63"/>
      <c r="AP727" s="63" t="s">
        <v>53</v>
      </c>
      <c r="AQ727" s="10">
        <v>0</v>
      </c>
    </row>
    <row r="728" s="10" customFormat="1" spans="1:43">
      <c r="A728" s="63">
        <v>180406</v>
      </c>
      <c r="B728" s="63" t="s">
        <v>1002</v>
      </c>
      <c r="C728" s="63"/>
      <c r="D728" s="63"/>
      <c r="E728" s="63"/>
      <c r="F728" s="63">
        <v>1</v>
      </c>
      <c r="G728" s="63">
        <v>0</v>
      </c>
      <c r="H728" s="63" t="s">
        <v>45</v>
      </c>
      <c r="I728" s="63">
        <v>16</v>
      </c>
      <c r="J728" s="63">
        <v>0</v>
      </c>
      <c r="K728" s="63" t="s">
        <v>46</v>
      </c>
      <c r="L728" s="63" t="s">
        <v>47</v>
      </c>
      <c r="M728" s="126" t="s">
        <v>296</v>
      </c>
      <c r="N728" s="63">
        <v>0</v>
      </c>
      <c r="O728" s="63" t="s">
        <v>48</v>
      </c>
      <c r="P728" s="63">
        <v>1901</v>
      </c>
      <c r="Q728" s="63"/>
      <c r="R728" s="63"/>
      <c r="S728" s="63">
        <v>0</v>
      </c>
      <c r="T728" s="63">
        <v>0</v>
      </c>
      <c r="U728" s="63"/>
      <c r="V728" s="63"/>
      <c r="W728" s="63" t="s">
        <v>47</v>
      </c>
      <c r="X728" s="63"/>
      <c r="Y728" s="63"/>
      <c r="Z728" s="63" t="s">
        <v>980</v>
      </c>
      <c r="AA728" s="63"/>
      <c r="AB728" s="63" t="s">
        <v>980</v>
      </c>
      <c r="AC728" s="63">
        <v>2195</v>
      </c>
      <c r="AD728" s="63" t="s">
        <v>51</v>
      </c>
      <c r="AE728" s="63" t="s">
        <v>51</v>
      </c>
      <c r="AF728" s="63" t="s">
        <v>51</v>
      </c>
      <c r="AG728" s="63"/>
      <c r="AH728" s="63" t="s">
        <v>52</v>
      </c>
      <c r="AI728" s="63">
        <v>0</v>
      </c>
      <c r="AJ728" s="63"/>
      <c r="AK728" s="63"/>
      <c r="AL728" s="63"/>
      <c r="AM728" s="63"/>
      <c r="AN728" s="63" t="s">
        <v>47</v>
      </c>
      <c r="AO728" s="63"/>
      <c r="AP728" s="63" t="s">
        <v>53</v>
      </c>
      <c r="AQ728" s="10">
        <v>0</v>
      </c>
    </row>
    <row r="729" s="10" customFormat="1" spans="1:43">
      <c r="A729" s="63">
        <v>180407</v>
      </c>
      <c r="B729" s="63" t="s">
        <v>1003</v>
      </c>
      <c r="C729" s="63"/>
      <c r="D729" s="63"/>
      <c r="E729" s="63"/>
      <c r="F729" s="63">
        <v>1</v>
      </c>
      <c r="G729" s="63">
        <v>0</v>
      </c>
      <c r="H729" s="63" t="s">
        <v>45</v>
      </c>
      <c r="I729" s="63">
        <v>16</v>
      </c>
      <c r="J729" s="63">
        <v>0</v>
      </c>
      <c r="K729" s="63" t="s">
        <v>46</v>
      </c>
      <c r="L729" s="63" t="s">
        <v>47</v>
      </c>
      <c r="M729" s="125" t="s">
        <v>815</v>
      </c>
      <c r="N729" s="63">
        <v>0</v>
      </c>
      <c r="O729" s="63" t="s">
        <v>48</v>
      </c>
      <c r="P729" s="63">
        <v>1901</v>
      </c>
      <c r="Q729" s="63"/>
      <c r="R729" s="63"/>
      <c r="S729" s="63">
        <v>0</v>
      </c>
      <c r="T729" s="63">
        <v>0</v>
      </c>
      <c r="U729" s="63"/>
      <c r="V729" s="63"/>
      <c r="W729" s="63" t="s">
        <v>47</v>
      </c>
      <c r="X729" s="63"/>
      <c r="Y729" s="63"/>
      <c r="Z729" s="63" t="s">
        <v>982</v>
      </c>
      <c r="AA729" s="63"/>
      <c r="AB729" s="63" t="s">
        <v>982</v>
      </c>
      <c r="AC729" s="63">
        <v>2195</v>
      </c>
      <c r="AD729" s="63" t="s">
        <v>51</v>
      </c>
      <c r="AE729" s="63" t="s">
        <v>51</v>
      </c>
      <c r="AF729" s="63" t="s">
        <v>51</v>
      </c>
      <c r="AG729" s="63"/>
      <c r="AH729" s="63" t="s">
        <v>52</v>
      </c>
      <c r="AI729" s="63">
        <v>0</v>
      </c>
      <c r="AJ729" s="63"/>
      <c r="AK729" s="63"/>
      <c r="AL729" s="63"/>
      <c r="AM729" s="63"/>
      <c r="AN729" s="63" t="s">
        <v>47</v>
      </c>
      <c r="AO729" s="63"/>
      <c r="AP729" s="63" t="s">
        <v>53</v>
      </c>
      <c r="AQ729" s="10">
        <v>0</v>
      </c>
    </row>
    <row r="730" s="10" customFormat="1" spans="1:43">
      <c r="A730" s="63">
        <v>180408</v>
      </c>
      <c r="B730" s="63" t="s">
        <v>1001</v>
      </c>
      <c r="C730" s="63"/>
      <c r="D730" s="63"/>
      <c r="E730" s="63"/>
      <c r="F730" s="63">
        <v>2</v>
      </c>
      <c r="G730" s="63">
        <v>0</v>
      </c>
      <c r="H730" s="63" t="s">
        <v>45</v>
      </c>
      <c r="I730" s="63">
        <v>16</v>
      </c>
      <c r="J730" s="63">
        <v>0</v>
      </c>
      <c r="K730" s="63" t="s">
        <v>46</v>
      </c>
      <c r="L730" s="63" t="s">
        <v>47</v>
      </c>
      <c r="M730" s="125" t="s">
        <v>409</v>
      </c>
      <c r="N730" s="63">
        <v>0</v>
      </c>
      <c r="O730" s="63" t="s">
        <v>48</v>
      </c>
      <c r="P730" s="63">
        <v>1901</v>
      </c>
      <c r="Q730" s="63"/>
      <c r="R730" s="63"/>
      <c r="S730" s="63">
        <v>0</v>
      </c>
      <c r="T730" s="63">
        <v>0</v>
      </c>
      <c r="U730" s="63"/>
      <c r="V730" s="63"/>
      <c r="W730" s="63" t="s">
        <v>47</v>
      </c>
      <c r="X730" s="63"/>
      <c r="Y730" s="63"/>
      <c r="Z730" s="63" t="s">
        <v>978</v>
      </c>
      <c r="AA730" s="63"/>
      <c r="AB730" s="63" t="s">
        <v>978</v>
      </c>
      <c r="AC730" s="63">
        <v>2195</v>
      </c>
      <c r="AD730" s="63" t="s">
        <v>51</v>
      </c>
      <c r="AE730" s="63" t="s">
        <v>51</v>
      </c>
      <c r="AF730" s="63" t="s">
        <v>51</v>
      </c>
      <c r="AG730" s="63"/>
      <c r="AH730" s="63" t="s">
        <v>52</v>
      </c>
      <c r="AI730" s="63">
        <v>0</v>
      </c>
      <c r="AJ730" s="63"/>
      <c r="AK730" s="63"/>
      <c r="AL730" s="63"/>
      <c r="AM730" s="63"/>
      <c r="AN730" s="63" t="s">
        <v>47</v>
      </c>
      <c r="AO730" s="63"/>
      <c r="AP730" s="63" t="s">
        <v>53</v>
      </c>
      <c r="AQ730" s="10">
        <v>0</v>
      </c>
    </row>
    <row r="731" s="10" customFormat="1" spans="1:43">
      <c r="A731" s="63">
        <v>180409</v>
      </c>
      <c r="B731" s="63" t="s">
        <v>1002</v>
      </c>
      <c r="C731" s="63"/>
      <c r="D731" s="63"/>
      <c r="E731" s="63"/>
      <c r="F731" s="63">
        <v>2</v>
      </c>
      <c r="G731" s="63">
        <v>0</v>
      </c>
      <c r="H731" s="63" t="s">
        <v>45</v>
      </c>
      <c r="I731" s="63">
        <v>16</v>
      </c>
      <c r="J731" s="63">
        <v>0</v>
      </c>
      <c r="K731" s="63" t="s">
        <v>46</v>
      </c>
      <c r="L731" s="63" t="s">
        <v>47</v>
      </c>
      <c r="M731" s="126" t="s">
        <v>296</v>
      </c>
      <c r="N731" s="63">
        <v>0</v>
      </c>
      <c r="O731" s="63" t="s">
        <v>48</v>
      </c>
      <c r="P731" s="63">
        <v>1901</v>
      </c>
      <c r="Q731" s="63"/>
      <c r="R731" s="63"/>
      <c r="S731" s="63">
        <v>0</v>
      </c>
      <c r="T731" s="63">
        <v>0</v>
      </c>
      <c r="U731" s="63"/>
      <c r="V731" s="63"/>
      <c r="W731" s="63" t="s">
        <v>47</v>
      </c>
      <c r="X731" s="63"/>
      <c r="Y731" s="63"/>
      <c r="Z731" s="63" t="s">
        <v>980</v>
      </c>
      <c r="AA731" s="63"/>
      <c r="AB731" s="63" t="s">
        <v>980</v>
      </c>
      <c r="AC731" s="63">
        <v>2195</v>
      </c>
      <c r="AD731" s="63" t="s">
        <v>51</v>
      </c>
      <c r="AE731" s="63" t="s">
        <v>51</v>
      </c>
      <c r="AF731" s="63" t="s">
        <v>51</v>
      </c>
      <c r="AG731" s="63"/>
      <c r="AH731" s="63" t="s">
        <v>52</v>
      </c>
      <c r="AI731" s="63">
        <v>0</v>
      </c>
      <c r="AJ731" s="63"/>
      <c r="AK731" s="63"/>
      <c r="AL731" s="63"/>
      <c r="AM731" s="63"/>
      <c r="AN731" s="63" t="s">
        <v>47</v>
      </c>
      <c r="AO731" s="63"/>
      <c r="AP731" s="63" t="s">
        <v>53</v>
      </c>
      <c r="AQ731" s="10">
        <v>0</v>
      </c>
    </row>
    <row r="732" s="10" customFormat="1" spans="1:43">
      <c r="A732" s="63">
        <v>180410</v>
      </c>
      <c r="B732" s="63" t="s">
        <v>1003</v>
      </c>
      <c r="C732" s="63"/>
      <c r="D732" s="63"/>
      <c r="E732" s="63"/>
      <c r="F732" s="63">
        <v>2</v>
      </c>
      <c r="G732" s="63">
        <v>0</v>
      </c>
      <c r="H732" s="63" t="s">
        <v>45</v>
      </c>
      <c r="I732" s="63">
        <v>16</v>
      </c>
      <c r="J732" s="63">
        <v>0</v>
      </c>
      <c r="K732" s="63" t="s">
        <v>46</v>
      </c>
      <c r="L732" s="63" t="s">
        <v>47</v>
      </c>
      <c r="M732" s="125" t="s">
        <v>815</v>
      </c>
      <c r="N732" s="63">
        <v>0</v>
      </c>
      <c r="O732" s="63" t="s">
        <v>48</v>
      </c>
      <c r="P732" s="63">
        <v>1901</v>
      </c>
      <c r="Q732" s="63"/>
      <c r="R732" s="63"/>
      <c r="S732" s="63">
        <v>0</v>
      </c>
      <c r="T732" s="63">
        <v>0</v>
      </c>
      <c r="U732" s="63"/>
      <c r="V732" s="63"/>
      <c r="W732" s="63" t="s">
        <v>47</v>
      </c>
      <c r="X732" s="63"/>
      <c r="Y732" s="63"/>
      <c r="Z732" s="63" t="s">
        <v>982</v>
      </c>
      <c r="AA732" s="63"/>
      <c r="AB732" s="63" t="s">
        <v>982</v>
      </c>
      <c r="AC732" s="63">
        <v>2195</v>
      </c>
      <c r="AD732" s="63" t="s">
        <v>51</v>
      </c>
      <c r="AE732" s="63" t="s">
        <v>51</v>
      </c>
      <c r="AF732" s="63" t="s">
        <v>51</v>
      </c>
      <c r="AG732" s="63"/>
      <c r="AH732" s="63" t="s">
        <v>52</v>
      </c>
      <c r="AI732" s="63">
        <v>0</v>
      </c>
      <c r="AJ732" s="63"/>
      <c r="AK732" s="63"/>
      <c r="AL732" s="63"/>
      <c r="AM732" s="63"/>
      <c r="AN732" s="63" t="s">
        <v>47</v>
      </c>
      <c r="AO732" s="63"/>
      <c r="AP732" s="63" t="s">
        <v>53</v>
      </c>
      <c r="AQ732" s="10">
        <v>0</v>
      </c>
    </row>
    <row r="733" s="10" customFormat="1" spans="1:43">
      <c r="A733" s="63">
        <v>180411</v>
      </c>
      <c r="B733" s="63" t="s">
        <v>1001</v>
      </c>
      <c r="C733" s="63"/>
      <c r="D733" s="63"/>
      <c r="E733" s="63"/>
      <c r="F733" s="63">
        <v>1</v>
      </c>
      <c r="G733" s="63">
        <v>0</v>
      </c>
      <c r="H733" s="63" t="s">
        <v>45</v>
      </c>
      <c r="I733" s="63">
        <v>16</v>
      </c>
      <c r="J733" s="63">
        <v>0</v>
      </c>
      <c r="K733" s="63" t="s">
        <v>46</v>
      </c>
      <c r="L733" s="63" t="s">
        <v>47</v>
      </c>
      <c r="M733" s="125" t="s">
        <v>409</v>
      </c>
      <c r="N733" s="63">
        <v>0</v>
      </c>
      <c r="O733" s="63" t="s">
        <v>48</v>
      </c>
      <c r="P733" s="63">
        <v>1901</v>
      </c>
      <c r="Q733" s="63"/>
      <c r="R733" s="63"/>
      <c r="S733" s="63">
        <v>0</v>
      </c>
      <c r="T733" s="63">
        <v>0</v>
      </c>
      <c r="U733" s="63"/>
      <c r="V733" s="63"/>
      <c r="W733" s="63" t="s">
        <v>47</v>
      </c>
      <c r="X733" s="63"/>
      <c r="Y733" s="63"/>
      <c r="Z733" s="63" t="s">
        <v>978</v>
      </c>
      <c r="AA733" s="63"/>
      <c r="AB733" s="63" t="s">
        <v>978</v>
      </c>
      <c r="AC733" s="63">
        <v>2195</v>
      </c>
      <c r="AD733" s="63" t="s">
        <v>51</v>
      </c>
      <c r="AE733" s="63" t="s">
        <v>51</v>
      </c>
      <c r="AF733" s="63" t="s">
        <v>51</v>
      </c>
      <c r="AG733" s="63"/>
      <c r="AH733" s="63" t="s">
        <v>52</v>
      </c>
      <c r="AI733" s="63">
        <v>0</v>
      </c>
      <c r="AJ733" s="63"/>
      <c r="AK733" s="63"/>
      <c r="AL733" s="63"/>
      <c r="AM733" s="63"/>
      <c r="AN733" s="63" t="s">
        <v>47</v>
      </c>
      <c r="AO733" s="63"/>
      <c r="AP733" s="63" t="s">
        <v>53</v>
      </c>
      <c r="AQ733" s="10">
        <v>0</v>
      </c>
    </row>
    <row r="734" s="10" customFormat="1" spans="1:43">
      <c r="A734" s="63">
        <v>180412</v>
      </c>
      <c r="B734" s="63" t="s">
        <v>1002</v>
      </c>
      <c r="C734" s="63"/>
      <c r="D734" s="63"/>
      <c r="E734" s="63"/>
      <c r="F734" s="63">
        <v>1</v>
      </c>
      <c r="G734" s="63">
        <v>0</v>
      </c>
      <c r="H734" s="63" t="s">
        <v>45</v>
      </c>
      <c r="I734" s="63">
        <v>16</v>
      </c>
      <c r="J734" s="63">
        <v>0</v>
      </c>
      <c r="K734" s="63" t="s">
        <v>46</v>
      </c>
      <c r="L734" s="63" t="s">
        <v>47</v>
      </c>
      <c r="M734" s="126" t="s">
        <v>296</v>
      </c>
      <c r="N734" s="63">
        <v>0</v>
      </c>
      <c r="O734" s="63" t="s">
        <v>48</v>
      </c>
      <c r="P734" s="63">
        <v>1901</v>
      </c>
      <c r="Q734" s="63"/>
      <c r="R734" s="63"/>
      <c r="S734" s="63">
        <v>0</v>
      </c>
      <c r="T734" s="63">
        <v>0</v>
      </c>
      <c r="U734" s="63"/>
      <c r="V734" s="63"/>
      <c r="W734" s="63" t="s">
        <v>47</v>
      </c>
      <c r="X734" s="63"/>
      <c r="Y734" s="63"/>
      <c r="Z734" s="63" t="s">
        <v>980</v>
      </c>
      <c r="AA734" s="63"/>
      <c r="AB734" s="63" t="s">
        <v>980</v>
      </c>
      <c r="AC734" s="63">
        <v>2195</v>
      </c>
      <c r="AD734" s="63" t="s">
        <v>51</v>
      </c>
      <c r="AE734" s="63" t="s">
        <v>51</v>
      </c>
      <c r="AF734" s="63" t="s">
        <v>51</v>
      </c>
      <c r="AG734" s="63"/>
      <c r="AH734" s="63" t="s">
        <v>52</v>
      </c>
      <c r="AI734" s="63">
        <v>0</v>
      </c>
      <c r="AJ734" s="63"/>
      <c r="AK734" s="63"/>
      <c r="AL734" s="63"/>
      <c r="AM734" s="63"/>
      <c r="AN734" s="63" t="s">
        <v>47</v>
      </c>
      <c r="AO734" s="63"/>
      <c r="AP734" s="63" t="s">
        <v>53</v>
      </c>
      <c r="AQ734" s="10">
        <v>0</v>
      </c>
    </row>
    <row r="735" s="10" customFormat="1" spans="1:43">
      <c r="A735" s="63">
        <v>180413</v>
      </c>
      <c r="B735" s="63" t="s">
        <v>1003</v>
      </c>
      <c r="C735" s="63"/>
      <c r="D735" s="63"/>
      <c r="E735" s="63"/>
      <c r="F735" s="63">
        <v>1</v>
      </c>
      <c r="G735" s="63">
        <v>0</v>
      </c>
      <c r="H735" s="63" t="s">
        <v>45</v>
      </c>
      <c r="I735" s="63">
        <v>16</v>
      </c>
      <c r="J735" s="63">
        <v>0</v>
      </c>
      <c r="K735" s="63" t="s">
        <v>46</v>
      </c>
      <c r="L735" s="63" t="s">
        <v>47</v>
      </c>
      <c r="M735" s="125" t="s">
        <v>815</v>
      </c>
      <c r="N735" s="63">
        <v>0</v>
      </c>
      <c r="O735" s="63" t="s">
        <v>48</v>
      </c>
      <c r="P735" s="63">
        <v>1901</v>
      </c>
      <c r="Q735" s="63"/>
      <c r="R735" s="63"/>
      <c r="S735" s="63">
        <v>0</v>
      </c>
      <c r="T735" s="63">
        <v>0</v>
      </c>
      <c r="U735" s="63"/>
      <c r="V735" s="63"/>
      <c r="W735" s="63" t="s">
        <v>47</v>
      </c>
      <c r="X735" s="63"/>
      <c r="Y735" s="63"/>
      <c r="Z735" s="63" t="s">
        <v>982</v>
      </c>
      <c r="AA735" s="63"/>
      <c r="AB735" s="63" t="s">
        <v>982</v>
      </c>
      <c r="AC735" s="63">
        <v>2195</v>
      </c>
      <c r="AD735" s="63" t="s">
        <v>51</v>
      </c>
      <c r="AE735" s="63" t="s">
        <v>51</v>
      </c>
      <c r="AF735" s="63" t="s">
        <v>51</v>
      </c>
      <c r="AG735" s="63"/>
      <c r="AH735" s="63" t="s">
        <v>52</v>
      </c>
      <c r="AI735" s="63">
        <v>0</v>
      </c>
      <c r="AJ735" s="63"/>
      <c r="AK735" s="63"/>
      <c r="AL735" s="63"/>
      <c r="AM735" s="63"/>
      <c r="AN735" s="63" t="s">
        <v>47</v>
      </c>
      <c r="AO735" s="63"/>
      <c r="AP735" s="63" t="s">
        <v>53</v>
      </c>
      <c r="AQ735" s="10">
        <v>0</v>
      </c>
    </row>
    <row r="736" s="10" customFormat="1" spans="1:43">
      <c r="A736" s="63">
        <v>180414</v>
      </c>
      <c r="B736" s="63" t="s">
        <v>1001</v>
      </c>
      <c r="C736" s="63"/>
      <c r="D736" s="63"/>
      <c r="E736" s="63"/>
      <c r="F736" s="63">
        <v>2</v>
      </c>
      <c r="G736" s="63">
        <v>0</v>
      </c>
      <c r="H736" s="63" t="s">
        <v>45</v>
      </c>
      <c r="I736" s="63">
        <v>16</v>
      </c>
      <c r="J736" s="63">
        <v>0</v>
      </c>
      <c r="K736" s="63" t="s">
        <v>46</v>
      </c>
      <c r="L736" s="63" t="s">
        <v>47</v>
      </c>
      <c r="M736" s="125" t="s">
        <v>409</v>
      </c>
      <c r="N736" s="63">
        <v>0</v>
      </c>
      <c r="O736" s="63" t="s">
        <v>48</v>
      </c>
      <c r="P736" s="63">
        <v>1901</v>
      </c>
      <c r="Q736" s="63"/>
      <c r="R736" s="63"/>
      <c r="S736" s="63">
        <v>0</v>
      </c>
      <c r="T736" s="63">
        <v>0</v>
      </c>
      <c r="U736" s="63"/>
      <c r="V736" s="63"/>
      <c r="W736" s="63" t="s">
        <v>47</v>
      </c>
      <c r="X736" s="63"/>
      <c r="Y736" s="63"/>
      <c r="Z736" s="63" t="s">
        <v>978</v>
      </c>
      <c r="AA736" s="63"/>
      <c r="AB736" s="63" t="s">
        <v>978</v>
      </c>
      <c r="AC736" s="63">
        <v>2195</v>
      </c>
      <c r="AD736" s="63" t="s">
        <v>51</v>
      </c>
      <c r="AE736" s="63" t="s">
        <v>51</v>
      </c>
      <c r="AF736" s="63" t="s">
        <v>51</v>
      </c>
      <c r="AG736" s="63"/>
      <c r="AH736" s="63" t="s">
        <v>52</v>
      </c>
      <c r="AI736" s="63">
        <v>0</v>
      </c>
      <c r="AJ736" s="63"/>
      <c r="AK736" s="63"/>
      <c r="AL736" s="63"/>
      <c r="AM736" s="63"/>
      <c r="AN736" s="63" t="s">
        <v>47</v>
      </c>
      <c r="AO736" s="63"/>
      <c r="AP736" s="63" t="s">
        <v>53</v>
      </c>
      <c r="AQ736" s="10">
        <v>0</v>
      </c>
    </row>
    <row r="737" s="10" customFormat="1" spans="1:43">
      <c r="A737" s="63">
        <v>180415</v>
      </c>
      <c r="B737" s="63" t="s">
        <v>1002</v>
      </c>
      <c r="C737" s="63"/>
      <c r="D737" s="63"/>
      <c r="E737" s="63"/>
      <c r="F737" s="63">
        <v>2</v>
      </c>
      <c r="G737" s="63">
        <v>0</v>
      </c>
      <c r="H737" s="63" t="s">
        <v>45</v>
      </c>
      <c r="I737" s="63">
        <v>16</v>
      </c>
      <c r="J737" s="63">
        <v>0</v>
      </c>
      <c r="K737" s="63" t="s">
        <v>46</v>
      </c>
      <c r="L737" s="63" t="s">
        <v>47</v>
      </c>
      <c r="M737" s="126" t="s">
        <v>296</v>
      </c>
      <c r="N737" s="63">
        <v>0</v>
      </c>
      <c r="O737" s="63" t="s">
        <v>48</v>
      </c>
      <c r="P737" s="63">
        <v>1901</v>
      </c>
      <c r="Q737" s="63"/>
      <c r="R737" s="63"/>
      <c r="S737" s="63">
        <v>0</v>
      </c>
      <c r="T737" s="63">
        <v>0</v>
      </c>
      <c r="U737" s="63"/>
      <c r="V737" s="63"/>
      <c r="W737" s="63" t="s">
        <v>47</v>
      </c>
      <c r="X737" s="63"/>
      <c r="Y737" s="63"/>
      <c r="Z737" s="63" t="s">
        <v>980</v>
      </c>
      <c r="AA737" s="63"/>
      <c r="AB737" s="63" t="s">
        <v>980</v>
      </c>
      <c r="AC737" s="63">
        <v>2195</v>
      </c>
      <c r="AD737" s="63" t="s">
        <v>51</v>
      </c>
      <c r="AE737" s="63" t="s">
        <v>51</v>
      </c>
      <c r="AF737" s="63" t="s">
        <v>51</v>
      </c>
      <c r="AG737" s="63"/>
      <c r="AH737" s="63" t="s">
        <v>52</v>
      </c>
      <c r="AI737" s="63">
        <v>0</v>
      </c>
      <c r="AJ737" s="63"/>
      <c r="AK737" s="63"/>
      <c r="AL737" s="63"/>
      <c r="AM737" s="63"/>
      <c r="AN737" s="63" t="s">
        <v>47</v>
      </c>
      <c r="AO737" s="63"/>
      <c r="AP737" s="63" t="s">
        <v>53</v>
      </c>
      <c r="AQ737" s="10">
        <v>0</v>
      </c>
    </row>
    <row r="738" s="10" customFormat="1" spans="1:43">
      <c r="A738" s="63">
        <v>180416</v>
      </c>
      <c r="B738" s="63" t="s">
        <v>1003</v>
      </c>
      <c r="C738" s="63"/>
      <c r="D738" s="63"/>
      <c r="E738" s="63"/>
      <c r="F738" s="63">
        <v>2</v>
      </c>
      <c r="G738" s="63">
        <v>0</v>
      </c>
      <c r="H738" s="63" t="s">
        <v>45</v>
      </c>
      <c r="I738" s="63">
        <v>16</v>
      </c>
      <c r="J738" s="63">
        <v>0</v>
      </c>
      <c r="K738" s="63" t="s">
        <v>46</v>
      </c>
      <c r="L738" s="63" t="s">
        <v>47</v>
      </c>
      <c r="M738" s="125" t="s">
        <v>815</v>
      </c>
      <c r="N738" s="63">
        <v>0</v>
      </c>
      <c r="O738" s="63" t="s">
        <v>48</v>
      </c>
      <c r="P738" s="63">
        <v>1901</v>
      </c>
      <c r="Q738" s="63"/>
      <c r="R738" s="63"/>
      <c r="S738" s="63">
        <v>0</v>
      </c>
      <c r="T738" s="63">
        <v>0</v>
      </c>
      <c r="U738" s="63"/>
      <c r="V738" s="63"/>
      <c r="W738" s="63" t="s">
        <v>47</v>
      </c>
      <c r="X738" s="63"/>
      <c r="Y738" s="63"/>
      <c r="Z738" s="63" t="s">
        <v>982</v>
      </c>
      <c r="AA738" s="63"/>
      <c r="AB738" s="63" t="s">
        <v>982</v>
      </c>
      <c r="AC738" s="63">
        <v>2195</v>
      </c>
      <c r="AD738" s="63" t="s">
        <v>51</v>
      </c>
      <c r="AE738" s="63" t="s">
        <v>51</v>
      </c>
      <c r="AF738" s="63" t="s">
        <v>51</v>
      </c>
      <c r="AG738" s="63"/>
      <c r="AH738" s="63" t="s">
        <v>52</v>
      </c>
      <c r="AI738" s="63">
        <v>0</v>
      </c>
      <c r="AJ738" s="63"/>
      <c r="AK738" s="63"/>
      <c r="AL738" s="63"/>
      <c r="AM738" s="63"/>
      <c r="AN738" s="63" t="s">
        <v>47</v>
      </c>
      <c r="AO738" s="63"/>
      <c r="AP738" s="63" t="s">
        <v>53</v>
      </c>
      <c r="AQ738" s="10">
        <v>0</v>
      </c>
    </row>
    <row r="739" s="10" customFormat="1" spans="1:43">
      <c r="A739" s="63">
        <v>180417</v>
      </c>
      <c r="B739" s="63" t="s">
        <v>1001</v>
      </c>
      <c r="C739" s="63"/>
      <c r="D739" s="63"/>
      <c r="E739" s="63"/>
      <c r="F739" s="63">
        <v>1</v>
      </c>
      <c r="G739" s="63">
        <v>0</v>
      </c>
      <c r="H739" s="63" t="s">
        <v>45</v>
      </c>
      <c r="I739" s="63">
        <v>16</v>
      </c>
      <c r="J739" s="63">
        <v>0</v>
      </c>
      <c r="K739" s="63" t="s">
        <v>46</v>
      </c>
      <c r="L739" s="63" t="s">
        <v>47</v>
      </c>
      <c r="M739" s="125" t="s">
        <v>409</v>
      </c>
      <c r="N739" s="63">
        <v>0</v>
      </c>
      <c r="O739" s="63" t="s">
        <v>48</v>
      </c>
      <c r="P739" s="63">
        <v>1901</v>
      </c>
      <c r="Q739" s="63"/>
      <c r="R739" s="63"/>
      <c r="S739" s="63">
        <v>0</v>
      </c>
      <c r="T739" s="63">
        <v>0</v>
      </c>
      <c r="U739" s="63"/>
      <c r="V739" s="63"/>
      <c r="W739" s="63" t="s">
        <v>47</v>
      </c>
      <c r="X739" s="63"/>
      <c r="Y739" s="63"/>
      <c r="Z739" s="63" t="s">
        <v>978</v>
      </c>
      <c r="AA739" s="63"/>
      <c r="AB739" s="63" t="s">
        <v>978</v>
      </c>
      <c r="AC739" s="63">
        <v>2195</v>
      </c>
      <c r="AD739" s="63" t="s">
        <v>51</v>
      </c>
      <c r="AE739" s="63" t="s">
        <v>51</v>
      </c>
      <c r="AF739" s="63" t="s">
        <v>51</v>
      </c>
      <c r="AG739" s="63"/>
      <c r="AH739" s="63" t="s">
        <v>52</v>
      </c>
      <c r="AI739" s="63">
        <v>0</v>
      </c>
      <c r="AJ739" s="63"/>
      <c r="AK739" s="63"/>
      <c r="AL739" s="63"/>
      <c r="AM739" s="63"/>
      <c r="AN739" s="63" t="s">
        <v>47</v>
      </c>
      <c r="AO739" s="63"/>
      <c r="AP739" s="63" t="s">
        <v>53</v>
      </c>
      <c r="AQ739" s="10">
        <v>0</v>
      </c>
    </row>
    <row r="740" s="10" customFormat="1" spans="1:43">
      <c r="A740" s="63">
        <v>180418</v>
      </c>
      <c r="B740" s="63" t="s">
        <v>1002</v>
      </c>
      <c r="C740" s="63"/>
      <c r="D740" s="63"/>
      <c r="E740" s="63"/>
      <c r="F740" s="63">
        <v>1</v>
      </c>
      <c r="G740" s="63">
        <v>0</v>
      </c>
      <c r="H740" s="63" t="s">
        <v>45</v>
      </c>
      <c r="I740" s="63">
        <v>16</v>
      </c>
      <c r="J740" s="63">
        <v>0</v>
      </c>
      <c r="K740" s="63" t="s">
        <v>46</v>
      </c>
      <c r="L740" s="63" t="s">
        <v>47</v>
      </c>
      <c r="M740" s="126" t="s">
        <v>296</v>
      </c>
      <c r="N740" s="63">
        <v>0</v>
      </c>
      <c r="O740" s="63" t="s">
        <v>48</v>
      </c>
      <c r="P740" s="63">
        <v>1901</v>
      </c>
      <c r="Q740" s="63"/>
      <c r="R740" s="63"/>
      <c r="S740" s="63">
        <v>0</v>
      </c>
      <c r="T740" s="63">
        <v>0</v>
      </c>
      <c r="U740" s="63"/>
      <c r="V740" s="63"/>
      <c r="W740" s="63" t="s">
        <v>47</v>
      </c>
      <c r="X740" s="63"/>
      <c r="Y740" s="63"/>
      <c r="Z740" s="63" t="s">
        <v>980</v>
      </c>
      <c r="AA740" s="63"/>
      <c r="AB740" s="63" t="s">
        <v>980</v>
      </c>
      <c r="AC740" s="63">
        <v>2195</v>
      </c>
      <c r="AD740" s="63" t="s">
        <v>51</v>
      </c>
      <c r="AE740" s="63" t="s">
        <v>51</v>
      </c>
      <c r="AF740" s="63" t="s">
        <v>51</v>
      </c>
      <c r="AG740" s="63"/>
      <c r="AH740" s="63" t="s">
        <v>52</v>
      </c>
      <c r="AI740" s="63">
        <v>0</v>
      </c>
      <c r="AJ740" s="63"/>
      <c r="AK740" s="63"/>
      <c r="AL740" s="63"/>
      <c r="AM740" s="63"/>
      <c r="AN740" s="63" t="s">
        <v>47</v>
      </c>
      <c r="AO740" s="63"/>
      <c r="AP740" s="63" t="s">
        <v>53</v>
      </c>
      <c r="AQ740" s="10">
        <v>0</v>
      </c>
    </row>
    <row r="741" s="10" customFormat="1" spans="1:43">
      <c r="A741" s="63">
        <v>180419</v>
      </c>
      <c r="B741" s="63" t="s">
        <v>1003</v>
      </c>
      <c r="C741" s="63"/>
      <c r="D741" s="63"/>
      <c r="E741" s="63"/>
      <c r="F741" s="63">
        <v>1</v>
      </c>
      <c r="G741" s="63">
        <v>0</v>
      </c>
      <c r="H741" s="63" t="s">
        <v>45</v>
      </c>
      <c r="I741" s="63">
        <v>16</v>
      </c>
      <c r="J741" s="63">
        <v>0</v>
      </c>
      <c r="K741" s="63" t="s">
        <v>46</v>
      </c>
      <c r="L741" s="63" t="s">
        <v>47</v>
      </c>
      <c r="M741" s="125" t="s">
        <v>815</v>
      </c>
      <c r="N741" s="63">
        <v>0</v>
      </c>
      <c r="O741" s="63" t="s">
        <v>48</v>
      </c>
      <c r="P741" s="63">
        <v>1901</v>
      </c>
      <c r="Q741" s="63"/>
      <c r="R741" s="63"/>
      <c r="S741" s="63">
        <v>0</v>
      </c>
      <c r="T741" s="63">
        <v>0</v>
      </c>
      <c r="U741" s="63"/>
      <c r="V741" s="63"/>
      <c r="W741" s="63" t="s">
        <v>47</v>
      </c>
      <c r="X741" s="63"/>
      <c r="Y741" s="63"/>
      <c r="Z741" s="63" t="s">
        <v>982</v>
      </c>
      <c r="AA741" s="63"/>
      <c r="AB741" s="63" t="s">
        <v>982</v>
      </c>
      <c r="AC741" s="63">
        <v>2195</v>
      </c>
      <c r="AD741" s="63" t="s">
        <v>51</v>
      </c>
      <c r="AE741" s="63" t="s">
        <v>51</v>
      </c>
      <c r="AF741" s="63" t="s">
        <v>51</v>
      </c>
      <c r="AG741" s="63"/>
      <c r="AH741" s="63" t="s">
        <v>52</v>
      </c>
      <c r="AI741" s="63">
        <v>0</v>
      </c>
      <c r="AJ741" s="63"/>
      <c r="AK741" s="63"/>
      <c r="AL741" s="63"/>
      <c r="AM741" s="63"/>
      <c r="AN741" s="63" t="s">
        <v>47</v>
      </c>
      <c r="AO741" s="63"/>
      <c r="AP741" s="63" t="s">
        <v>53</v>
      </c>
      <c r="AQ741" s="10">
        <v>0</v>
      </c>
    </row>
    <row r="742" s="10" customFormat="1" spans="1:43">
      <c r="A742" s="63">
        <v>180420</v>
      </c>
      <c r="B742" s="37" t="s">
        <v>1004</v>
      </c>
      <c r="C742" s="63"/>
      <c r="D742" s="63"/>
      <c r="E742" s="63"/>
      <c r="F742" s="63">
        <v>1</v>
      </c>
      <c r="G742" s="63">
        <v>0</v>
      </c>
      <c r="H742" s="63">
        <v>1.35</v>
      </c>
      <c r="I742" s="63">
        <v>16</v>
      </c>
      <c r="J742" s="63">
        <v>0</v>
      </c>
      <c r="K742" s="63" t="s">
        <v>46</v>
      </c>
      <c r="L742" s="63" t="s">
        <v>47</v>
      </c>
      <c r="M742" s="124">
        <v>1010167</v>
      </c>
      <c r="N742" s="63">
        <v>0</v>
      </c>
      <c r="O742" s="63" t="s">
        <v>48</v>
      </c>
      <c r="P742" s="63">
        <v>1901</v>
      </c>
      <c r="Q742" s="63"/>
      <c r="R742" s="63"/>
      <c r="S742" s="63">
        <v>0</v>
      </c>
      <c r="T742" s="63">
        <v>0</v>
      </c>
      <c r="U742" s="63"/>
      <c r="V742" s="63"/>
      <c r="W742" s="63" t="s">
        <v>47</v>
      </c>
      <c r="X742" s="63"/>
      <c r="Y742" s="63"/>
      <c r="Z742" s="63" t="s">
        <v>984</v>
      </c>
      <c r="AA742" s="63"/>
      <c r="AB742" s="63" t="s">
        <v>984</v>
      </c>
      <c r="AC742" s="63">
        <v>2195</v>
      </c>
      <c r="AD742" s="63" t="s">
        <v>51</v>
      </c>
      <c r="AE742" s="63" t="s">
        <v>51</v>
      </c>
      <c r="AF742" s="63" t="s">
        <v>51</v>
      </c>
      <c r="AG742" s="63"/>
      <c r="AH742" s="63" t="s">
        <v>52</v>
      </c>
      <c r="AI742" s="63">
        <v>0</v>
      </c>
      <c r="AJ742" s="63"/>
      <c r="AK742" s="63"/>
      <c r="AL742" s="63"/>
      <c r="AM742" s="63"/>
      <c r="AN742" s="63" t="s">
        <v>47</v>
      </c>
      <c r="AO742" s="63"/>
      <c r="AP742" s="63" t="s">
        <v>53</v>
      </c>
      <c r="AQ742" s="10">
        <v>0</v>
      </c>
    </row>
    <row r="743" s="10" customFormat="1" spans="1:43">
      <c r="A743" s="63">
        <v>180421</v>
      </c>
      <c r="B743" s="37" t="s">
        <v>1005</v>
      </c>
      <c r="C743" s="63"/>
      <c r="D743" s="63"/>
      <c r="E743" s="63"/>
      <c r="F743" s="63">
        <v>1</v>
      </c>
      <c r="G743" s="63">
        <v>0</v>
      </c>
      <c r="H743" s="63">
        <v>1.35</v>
      </c>
      <c r="I743" s="63">
        <v>16</v>
      </c>
      <c r="J743" s="63">
        <v>0</v>
      </c>
      <c r="K743" s="63" t="s">
        <v>46</v>
      </c>
      <c r="L743" s="63" t="s">
        <v>47</v>
      </c>
      <c r="M743" s="124">
        <v>1010165</v>
      </c>
      <c r="N743" s="63">
        <v>0</v>
      </c>
      <c r="O743" s="63" t="s">
        <v>48</v>
      </c>
      <c r="P743" s="63">
        <v>1901</v>
      </c>
      <c r="Q743" s="63"/>
      <c r="R743" s="63"/>
      <c r="S743" s="63">
        <v>0</v>
      </c>
      <c r="T743" s="63">
        <v>0</v>
      </c>
      <c r="U743" s="63"/>
      <c r="V743" s="63"/>
      <c r="W743" s="63" t="s">
        <v>47</v>
      </c>
      <c r="X743" s="63"/>
      <c r="Y743" s="63"/>
      <c r="Z743" s="63" t="s">
        <v>986</v>
      </c>
      <c r="AA743" s="63"/>
      <c r="AB743" s="63" t="s">
        <v>986</v>
      </c>
      <c r="AC743" s="63">
        <v>2195</v>
      </c>
      <c r="AD743" s="63" t="s">
        <v>51</v>
      </c>
      <c r="AE743" s="63" t="s">
        <v>51</v>
      </c>
      <c r="AF743" s="63" t="s">
        <v>51</v>
      </c>
      <c r="AG743" s="63"/>
      <c r="AH743" s="63" t="s">
        <v>52</v>
      </c>
      <c r="AI743" s="63">
        <v>0</v>
      </c>
      <c r="AJ743" s="63"/>
      <c r="AK743" s="63"/>
      <c r="AL743" s="63"/>
      <c r="AM743" s="63"/>
      <c r="AN743" s="63" t="s">
        <v>47</v>
      </c>
      <c r="AO743" s="63"/>
      <c r="AP743" s="63" t="s">
        <v>53</v>
      </c>
      <c r="AQ743" s="10">
        <v>0</v>
      </c>
    </row>
    <row r="744" s="10" customFormat="1" spans="1:43">
      <c r="A744" s="63">
        <v>180422</v>
      </c>
      <c r="B744" s="37" t="s">
        <v>1006</v>
      </c>
      <c r="C744" s="63"/>
      <c r="D744" s="63"/>
      <c r="E744" s="63"/>
      <c r="F744" s="63">
        <v>1</v>
      </c>
      <c r="G744" s="63">
        <v>0</v>
      </c>
      <c r="H744" s="63">
        <v>1.35</v>
      </c>
      <c r="I744" s="63">
        <v>16</v>
      </c>
      <c r="J744" s="63">
        <v>0</v>
      </c>
      <c r="K744" s="63" t="s">
        <v>46</v>
      </c>
      <c r="L744" s="63" t="s">
        <v>47</v>
      </c>
      <c r="M744" s="124">
        <v>1010166</v>
      </c>
      <c r="N744" s="63">
        <v>0</v>
      </c>
      <c r="O744" s="63" t="s">
        <v>48</v>
      </c>
      <c r="P744" s="63">
        <v>1901</v>
      </c>
      <c r="Q744" s="63"/>
      <c r="R744" s="63"/>
      <c r="S744" s="63">
        <v>0</v>
      </c>
      <c r="T744" s="63">
        <v>0</v>
      </c>
      <c r="U744" s="63"/>
      <c r="V744" s="63"/>
      <c r="W744" s="63" t="s">
        <v>47</v>
      </c>
      <c r="X744" s="63"/>
      <c r="Y744" s="63"/>
      <c r="Z744" s="63" t="s">
        <v>988</v>
      </c>
      <c r="AA744" s="63"/>
      <c r="AB744" s="63" t="s">
        <v>988</v>
      </c>
      <c r="AC744" s="63">
        <v>2195</v>
      </c>
      <c r="AD744" s="63" t="s">
        <v>51</v>
      </c>
      <c r="AE744" s="63" t="s">
        <v>51</v>
      </c>
      <c r="AF744" s="63" t="s">
        <v>51</v>
      </c>
      <c r="AG744" s="63"/>
      <c r="AH744" s="63" t="s">
        <v>52</v>
      </c>
      <c r="AI744" s="63">
        <v>0</v>
      </c>
      <c r="AJ744" s="63"/>
      <c r="AK744" s="63"/>
      <c r="AL744" s="63"/>
      <c r="AM744" s="63"/>
      <c r="AN744" s="63" t="s">
        <v>47</v>
      </c>
      <c r="AO744" s="63"/>
      <c r="AP744" s="63" t="s">
        <v>53</v>
      </c>
      <c r="AQ744" s="10">
        <v>0</v>
      </c>
    </row>
    <row r="745" s="10" customFormat="1" spans="1:43">
      <c r="A745" s="63">
        <v>180423</v>
      </c>
      <c r="B745" s="37" t="s">
        <v>1007</v>
      </c>
      <c r="C745" s="63"/>
      <c r="D745" s="63"/>
      <c r="E745" s="63"/>
      <c r="F745" s="63">
        <v>2</v>
      </c>
      <c r="G745" s="63">
        <v>0</v>
      </c>
      <c r="H745" s="63">
        <v>1.35</v>
      </c>
      <c r="I745" s="63">
        <v>16</v>
      </c>
      <c r="J745" s="63">
        <v>0</v>
      </c>
      <c r="K745" s="63" t="s">
        <v>46</v>
      </c>
      <c r="L745" s="63" t="s">
        <v>47</v>
      </c>
      <c r="M745" s="124">
        <v>1010167</v>
      </c>
      <c r="N745" s="63">
        <v>0</v>
      </c>
      <c r="O745" s="63" t="s">
        <v>48</v>
      </c>
      <c r="P745" s="63">
        <v>1901</v>
      </c>
      <c r="Q745" s="63"/>
      <c r="R745" s="63"/>
      <c r="S745" s="63">
        <v>0</v>
      </c>
      <c r="T745" s="63">
        <v>0</v>
      </c>
      <c r="U745" s="63"/>
      <c r="V745" s="63"/>
      <c r="W745" s="63" t="s">
        <v>47</v>
      </c>
      <c r="X745" s="63"/>
      <c r="Y745" s="63"/>
      <c r="Z745" s="63" t="s">
        <v>984</v>
      </c>
      <c r="AA745" s="63"/>
      <c r="AB745" s="63" t="s">
        <v>984</v>
      </c>
      <c r="AC745" s="63">
        <v>2195</v>
      </c>
      <c r="AD745" s="63" t="s">
        <v>51</v>
      </c>
      <c r="AE745" s="63" t="s">
        <v>51</v>
      </c>
      <c r="AF745" s="63" t="s">
        <v>51</v>
      </c>
      <c r="AG745" s="63"/>
      <c r="AH745" s="63" t="s">
        <v>52</v>
      </c>
      <c r="AI745" s="63">
        <v>0</v>
      </c>
      <c r="AJ745" s="63"/>
      <c r="AK745" s="63"/>
      <c r="AL745" s="63"/>
      <c r="AM745" s="63"/>
      <c r="AN745" s="63" t="s">
        <v>47</v>
      </c>
      <c r="AO745" s="63"/>
      <c r="AP745" s="63" t="s">
        <v>53</v>
      </c>
      <c r="AQ745" s="10">
        <v>0</v>
      </c>
    </row>
    <row r="746" s="10" customFormat="1" spans="1:43">
      <c r="A746" s="63">
        <v>180424</v>
      </c>
      <c r="B746" s="37" t="s">
        <v>1008</v>
      </c>
      <c r="C746" s="63"/>
      <c r="D746" s="63"/>
      <c r="E746" s="63"/>
      <c r="F746" s="63">
        <v>2</v>
      </c>
      <c r="G746" s="63">
        <v>0</v>
      </c>
      <c r="H746" s="63">
        <v>1.35</v>
      </c>
      <c r="I746" s="63">
        <v>16</v>
      </c>
      <c r="J746" s="63">
        <v>0</v>
      </c>
      <c r="K746" s="63" t="s">
        <v>46</v>
      </c>
      <c r="L746" s="63" t="s">
        <v>47</v>
      </c>
      <c r="M746" s="124">
        <v>1010165</v>
      </c>
      <c r="N746" s="63">
        <v>0</v>
      </c>
      <c r="O746" s="63" t="s">
        <v>48</v>
      </c>
      <c r="P746" s="63">
        <v>1901</v>
      </c>
      <c r="Q746" s="63"/>
      <c r="R746" s="63"/>
      <c r="S746" s="63">
        <v>0</v>
      </c>
      <c r="T746" s="63">
        <v>0</v>
      </c>
      <c r="U746" s="63"/>
      <c r="V746" s="63"/>
      <c r="W746" s="63" t="s">
        <v>47</v>
      </c>
      <c r="X746" s="63"/>
      <c r="Y746" s="63"/>
      <c r="Z746" s="63" t="s">
        <v>986</v>
      </c>
      <c r="AA746" s="63"/>
      <c r="AB746" s="63" t="s">
        <v>986</v>
      </c>
      <c r="AC746" s="63">
        <v>2195</v>
      </c>
      <c r="AD746" s="63" t="s">
        <v>51</v>
      </c>
      <c r="AE746" s="63" t="s">
        <v>51</v>
      </c>
      <c r="AF746" s="63" t="s">
        <v>51</v>
      </c>
      <c r="AG746" s="63"/>
      <c r="AH746" s="63" t="s">
        <v>52</v>
      </c>
      <c r="AI746" s="63">
        <v>0</v>
      </c>
      <c r="AJ746" s="63"/>
      <c r="AK746" s="63"/>
      <c r="AL746" s="63"/>
      <c r="AM746" s="63"/>
      <c r="AN746" s="63" t="s">
        <v>47</v>
      </c>
      <c r="AO746" s="63"/>
      <c r="AP746" s="63" t="s">
        <v>53</v>
      </c>
      <c r="AQ746" s="10">
        <v>0</v>
      </c>
    </row>
    <row r="747" s="10" customFormat="1" spans="1:43">
      <c r="A747" s="63">
        <v>180425</v>
      </c>
      <c r="B747" s="37" t="s">
        <v>1009</v>
      </c>
      <c r="C747" s="63"/>
      <c r="D747" s="63"/>
      <c r="E747" s="63"/>
      <c r="F747" s="63">
        <v>2</v>
      </c>
      <c r="G747" s="63">
        <v>0</v>
      </c>
      <c r="H747" s="63">
        <v>1.35</v>
      </c>
      <c r="I747" s="63">
        <v>16</v>
      </c>
      <c r="J747" s="63">
        <v>0</v>
      </c>
      <c r="K747" s="63" t="s">
        <v>46</v>
      </c>
      <c r="L747" s="63" t="s">
        <v>47</v>
      </c>
      <c r="M747" s="124">
        <v>1010166</v>
      </c>
      <c r="N747" s="63">
        <v>0</v>
      </c>
      <c r="O747" s="63" t="s">
        <v>48</v>
      </c>
      <c r="P747" s="63">
        <v>1901</v>
      </c>
      <c r="Q747" s="63"/>
      <c r="R747" s="63"/>
      <c r="S747" s="63">
        <v>0</v>
      </c>
      <c r="T747" s="63">
        <v>0</v>
      </c>
      <c r="U747" s="63"/>
      <c r="V747" s="63"/>
      <c r="W747" s="63" t="s">
        <v>47</v>
      </c>
      <c r="X747" s="63"/>
      <c r="Y747" s="63"/>
      <c r="Z747" s="63" t="s">
        <v>988</v>
      </c>
      <c r="AA747" s="63"/>
      <c r="AB747" s="63" t="s">
        <v>988</v>
      </c>
      <c r="AC747" s="63">
        <v>2195</v>
      </c>
      <c r="AD747" s="63" t="s">
        <v>51</v>
      </c>
      <c r="AE747" s="63" t="s">
        <v>51</v>
      </c>
      <c r="AF747" s="63" t="s">
        <v>51</v>
      </c>
      <c r="AG747" s="63"/>
      <c r="AH747" s="63" t="s">
        <v>52</v>
      </c>
      <c r="AI747" s="63">
        <v>0</v>
      </c>
      <c r="AJ747" s="63"/>
      <c r="AK747" s="63"/>
      <c r="AL747" s="63"/>
      <c r="AM747" s="63"/>
      <c r="AN747" s="63" t="s">
        <v>47</v>
      </c>
      <c r="AO747" s="63"/>
      <c r="AP747" s="63" t="s">
        <v>53</v>
      </c>
      <c r="AQ747" s="10">
        <v>0</v>
      </c>
    </row>
    <row r="748" s="10" customFormat="1" spans="1:43">
      <c r="A748" s="63">
        <v>180426</v>
      </c>
      <c r="B748" s="37" t="s">
        <v>1010</v>
      </c>
      <c r="C748" s="63"/>
      <c r="D748" s="63"/>
      <c r="E748" s="63"/>
      <c r="F748" s="63">
        <v>3</v>
      </c>
      <c r="G748" s="63">
        <v>0</v>
      </c>
      <c r="H748" s="63">
        <v>1.35</v>
      </c>
      <c r="I748" s="63">
        <v>16</v>
      </c>
      <c r="J748" s="63">
        <v>0</v>
      </c>
      <c r="K748" s="63" t="s">
        <v>46</v>
      </c>
      <c r="L748" s="63" t="s">
        <v>47</v>
      </c>
      <c r="M748" s="124">
        <v>1010167</v>
      </c>
      <c r="N748" s="63">
        <v>0</v>
      </c>
      <c r="O748" s="63" t="s">
        <v>48</v>
      </c>
      <c r="P748" s="63">
        <v>1901</v>
      </c>
      <c r="Q748" s="63"/>
      <c r="R748" s="63"/>
      <c r="S748" s="63">
        <v>0</v>
      </c>
      <c r="T748" s="63">
        <v>0</v>
      </c>
      <c r="U748" s="63"/>
      <c r="V748" s="63"/>
      <c r="W748" s="63" t="s">
        <v>47</v>
      </c>
      <c r="X748" s="63"/>
      <c r="Y748" s="63"/>
      <c r="Z748" s="63" t="s">
        <v>984</v>
      </c>
      <c r="AA748" s="63"/>
      <c r="AB748" s="63" t="s">
        <v>984</v>
      </c>
      <c r="AC748" s="63">
        <v>2195</v>
      </c>
      <c r="AD748" s="63" t="s">
        <v>51</v>
      </c>
      <c r="AE748" s="63" t="s">
        <v>51</v>
      </c>
      <c r="AF748" s="63" t="s">
        <v>51</v>
      </c>
      <c r="AG748" s="63"/>
      <c r="AH748" s="63" t="s">
        <v>52</v>
      </c>
      <c r="AI748" s="63">
        <v>0</v>
      </c>
      <c r="AJ748" s="63"/>
      <c r="AK748" s="63"/>
      <c r="AL748" s="63"/>
      <c r="AM748" s="63"/>
      <c r="AN748" s="63" t="s">
        <v>47</v>
      </c>
      <c r="AO748" s="63"/>
      <c r="AP748" s="63" t="s">
        <v>53</v>
      </c>
      <c r="AQ748" s="10">
        <v>0</v>
      </c>
    </row>
    <row r="749" s="10" customFormat="1" spans="1:43">
      <c r="A749" s="63">
        <v>180427</v>
      </c>
      <c r="B749" s="37" t="s">
        <v>1011</v>
      </c>
      <c r="C749" s="63"/>
      <c r="D749" s="63"/>
      <c r="E749" s="63"/>
      <c r="F749" s="63">
        <v>3</v>
      </c>
      <c r="G749" s="63">
        <v>0</v>
      </c>
      <c r="H749" s="63">
        <v>1.35</v>
      </c>
      <c r="I749" s="63">
        <v>16</v>
      </c>
      <c r="J749" s="63">
        <v>0</v>
      </c>
      <c r="K749" s="63" t="s">
        <v>46</v>
      </c>
      <c r="L749" s="63" t="s">
        <v>47</v>
      </c>
      <c r="M749" s="124">
        <v>1010165</v>
      </c>
      <c r="N749" s="63">
        <v>0</v>
      </c>
      <c r="O749" s="63" t="s">
        <v>48</v>
      </c>
      <c r="P749" s="63">
        <v>1901</v>
      </c>
      <c r="Q749" s="63"/>
      <c r="R749" s="63"/>
      <c r="S749" s="63">
        <v>0</v>
      </c>
      <c r="T749" s="63">
        <v>0</v>
      </c>
      <c r="U749" s="63"/>
      <c r="V749" s="63"/>
      <c r="W749" s="63" t="s">
        <v>47</v>
      </c>
      <c r="X749" s="63"/>
      <c r="Y749" s="63"/>
      <c r="Z749" s="63" t="s">
        <v>986</v>
      </c>
      <c r="AA749" s="63"/>
      <c r="AB749" s="63" t="s">
        <v>986</v>
      </c>
      <c r="AC749" s="63">
        <v>2195</v>
      </c>
      <c r="AD749" s="63" t="s">
        <v>51</v>
      </c>
      <c r="AE749" s="63" t="s">
        <v>51</v>
      </c>
      <c r="AF749" s="63" t="s">
        <v>51</v>
      </c>
      <c r="AG749" s="63"/>
      <c r="AH749" s="63" t="s">
        <v>52</v>
      </c>
      <c r="AI749" s="63">
        <v>0</v>
      </c>
      <c r="AJ749" s="63"/>
      <c r="AK749" s="63"/>
      <c r="AL749" s="63"/>
      <c r="AM749" s="63"/>
      <c r="AN749" s="63" t="s">
        <v>47</v>
      </c>
      <c r="AO749" s="63"/>
      <c r="AP749" s="63" t="s">
        <v>53</v>
      </c>
      <c r="AQ749" s="10">
        <v>0</v>
      </c>
    </row>
    <row r="750" s="10" customFormat="1" spans="1:43">
      <c r="A750" s="63">
        <v>180428</v>
      </c>
      <c r="B750" s="37" t="s">
        <v>1012</v>
      </c>
      <c r="C750" s="63"/>
      <c r="D750" s="63"/>
      <c r="E750" s="63"/>
      <c r="F750" s="63">
        <v>3</v>
      </c>
      <c r="G750" s="63">
        <v>0</v>
      </c>
      <c r="H750" s="63">
        <v>1.35</v>
      </c>
      <c r="I750" s="63">
        <v>16</v>
      </c>
      <c r="J750" s="63">
        <v>0</v>
      </c>
      <c r="K750" s="63" t="s">
        <v>46</v>
      </c>
      <c r="L750" s="63" t="s">
        <v>47</v>
      </c>
      <c r="M750" s="124">
        <v>1010166</v>
      </c>
      <c r="N750" s="63">
        <v>0</v>
      </c>
      <c r="O750" s="63" t="s">
        <v>48</v>
      </c>
      <c r="P750" s="63">
        <v>1901</v>
      </c>
      <c r="Q750" s="63"/>
      <c r="R750" s="63"/>
      <c r="S750" s="63">
        <v>0</v>
      </c>
      <c r="T750" s="63">
        <v>0</v>
      </c>
      <c r="U750" s="63"/>
      <c r="V750" s="63"/>
      <c r="W750" s="63" t="s">
        <v>47</v>
      </c>
      <c r="X750" s="63"/>
      <c r="Y750" s="63"/>
      <c r="Z750" s="63" t="s">
        <v>988</v>
      </c>
      <c r="AA750" s="63"/>
      <c r="AB750" s="63" t="s">
        <v>988</v>
      </c>
      <c r="AC750" s="63">
        <v>2195</v>
      </c>
      <c r="AD750" s="63" t="s">
        <v>51</v>
      </c>
      <c r="AE750" s="63" t="s">
        <v>51</v>
      </c>
      <c r="AF750" s="63" t="s">
        <v>51</v>
      </c>
      <c r="AG750" s="63"/>
      <c r="AH750" s="63" t="s">
        <v>52</v>
      </c>
      <c r="AI750" s="63">
        <v>0</v>
      </c>
      <c r="AJ750" s="63"/>
      <c r="AK750" s="63"/>
      <c r="AL750" s="63"/>
      <c r="AM750" s="63"/>
      <c r="AN750" s="63" t="s">
        <v>47</v>
      </c>
      <c r="AO750" s="63"/>
      <c r="AP750" s="63" t="s">
        <v>53</v>
      </c>
      <c r="AQ750" s="10">
        <v>0</v>
      </c>
    </row>
    <row r="751" s="10" customFormat="1" spans="1:43">
      <c r="A751" s="63">
        <v>180429</v>
      </c>
      <c r="B751" s="63" t="s">
        <v>1013</v>
      </c>
      <c r="C751" s="63"/>
      <c r="D751" s="63"/>
      <c r="E751" s="63"/>
      <c r="F751" s="63">
        <v>0</v>
      </c>
      <c r="G751" s="63">
        <v>0</v>
      </c>
      <c r="H751" s="63">
        <v>1</v>
      </c>
      <c r="I751" s="63">
        <v>16</v>
      </c>
      <c r="J751" s="63">
        <v>0</v>
      </c>
      <c r="K751" s="63" t="s">
        <v>46</v>
      </c>
      <c r="L751" s="63" t="s">
        <v>47</v>
      </c>
      <c r="M751" s="124">
        <v>1060104</v>
      </c>
      <c r="N751" s="63">
        <v>0</v>
      </c>
      <c r="O751" s="63" t="s">
        <v>48</v>
      </c>
      <c r="P751" s="63">
        <v>1901</v>
      </c>
      <c r="Q751" s="63"/>
      <c r="R751" s="63"/>
      <c r="S751" s="63">
        <v>0</v>
      </c>
      <c r="T751" s="63">
        <v>0</v>
      </c>
      <c r="U751" s="63"/>
      <c r="V751" s="63"/>
      <c r="W751" s="63" t="s">
        <v>47</v>
      </c>
      <c r="X751" s="63"/>
      <c r="Y751" s="63"/>
      <c r="Z751" s="63" t="s">
        <v>997</v>
      </c>
      <c r="AA751" s="63"/>
      <c r="AB751" s="63" t="s">
        <v>997</v>
      </c>
      <c r="AC751" s="63">
        <v>2195</v>
      </c>
      <c r="AD751" s="63" t="s">
        <v>51</v>
      </c>
      <c r="AE751" s="63" t="s">
        <v>51</v>
      </c>
      <c r="AF751" s="63" t="s">
        <v>51</v>
      </c>
      <c r="AG751" s="63"/>
      <c r="AH751" s="63" t="s">
        <v>52</v>
      </c>
      <c r="AI751" s="63">
        <v>0</v>
      </c>
      <c r="AJ751" s="63"/>
      <c r="AK751" s="63"/>
      <c r="AL751" s="63"/>
      <c r="AM751" s="63"/>
      <c r="AN751" s="63" t="s">
        <v>47</v>
      </c>
      <c r="AO751" s="63"/>
      <c r="AP751" s="63" t="s">
        <v>53</v>
      </c>
      <c r="AQ751" s="10">
        <v>0</v>
      </c>
    </row>
    <row r="752" s="10" customFormat="1" spans="1:43">
      <c r="A752" s="63">
        <v>180430</v>
      </c>
      <c r="B752" s="63" t="s">
        <v>998</v>
      </c>
      <c r="C752" s="63"/>
      <c r="D752" s="63"/>
      <c r="E752" s="63"/>
      <c r="F752" s="63">
        <v>0</v>
      </c>
      <c r="G752" s="63">
        <v>0</v>
      </c>
      <c r="H752" s="63" t="s">
        <v>45</v>
      </c>
      <c r="I752" s="63">
        <v>16</v>
      </c>
      <c r="J752" s="63">
        <v>0</v>
      </c>
      <c r="K752" s="63" t="s">
        <v>46</v>
      </c>
      <c r="L752" s="63" t="s">
        <v>47</v>
      </c>
      <c r="M752" s="124">
        <v>1010154</v>
      </c>
      <c r="N752" s="63">
        <v>0</v>
      </c>
      <c r="O752" s="63" t="s">
        <v>48</v>
      </c>
      <c r="P752" s="63">
        <v>1901</v>
      </c>
      <c r="Q752" s="63"/>
      <c r="R752" s="63"/>
      <c r="S752" s="63">
        <v>0</v>
      </c>
      <c r="T752" s="63">
        <v>0</v>
      </c>
      <c r="U752" s="63"/>
      <c r="V752" s="63"/>
      <c r="W752" s="63" t="s">
        <v>47</v>
      </c>
      <c r="X752" s="63"/>
      <c r="Y752" s="63"/>
      <c r="Z752" s="63" t="s">
        <v>972</v>
      </c>
      <c r="AA752" s="63"/>
      <c r="AB752" s="63" t="s">
        <v>972</v>
      </c>
      <c r="AC752" s="63">
        <v>2197</v>
      </c>
      <c r="AD752" s="63" t="s">
        <v>51</v>
      </c>
      <c r="AE752" s="63" t="s">
        <v>51</v>
      </c>
      <c r="AF752" s="63" t="s">
        <v>51</v>
      </c>
      <c r="AG752" s="63"/>
      <c r="AH752" s="63" t="s">
        <v>52</v>
      </c>
      <c r="AI752" s="63">
        <v>0</v>
      </c>
      <c r="AJ752" s="63"/>
      <c r="AK752" s="63"/>
      <c r="AL752" s="63"/>
      <c r="AM752" s="63"/>
      <c r="AN752" s="63" t="s">
        <v>47</v>
      </c>
      <c r="AO752" s="63"/>
      <c r="AP752" s="63" t="s">
        <v>53</v>
      </c>
      <c r="AQ752" s="10">
        <v>0</v>
      </c>
    </row>
    <row r="753" s="10" customFormat="1" spans="1:43">
      <c r="A753" s="63">
        <v>180431</v>
      </c>
      <c r="B753" s="63" t="s">
        <v>998</v>
      </c>
      <c r="C753" s="63"/>
      <c r="D753" s="63"/>
      <c r="E753" s="63"/>
      <c r="F753" s="63">
        <v>0</v>
      </c>
      <c r="G753" s="63">
        <v>0</v>
      </c>
      <c r="H753" s="63" t="s">
        <v>45</v>
      </c>
      <c r="I753" s="63">
        <v>16</v>
      </c>
      <c r="J753" s="63">
        <v>0</v>
      </c>
      <c r="K753" s="63" t="s">
        <v>46</v>
      </c>
      <c r="L753" s="63" t="s">
        <v>47</v>
      </c>
      <c r="M753" s="124">
        <v>1010154</v>
      </c>
      <c r="N753" s="63">
        <v>0</v>
      </c>
      <c r="O753" s="63" t="s">
        <v>48</v>
      </c>
      <c r="P753" s="63">
        <v>1901</v>
      </c>
      <c r="Q753" s="63"/>
      <c r="R753" s="63"/>
      <c r="S753" s="63">
        <v>0</v>
      </c>
      <c r="T753" s="63">
        <v>0</v>
      </c>
      <c r="U753" s="63"/>
      <c r="V753" s="63"/>
      <c r="W753" s="63" t="s">
        <v>47</v>
      </c>
      <c r="X753" s="63"/>
      <c r="Y753" s="63"/>
      <c r="Z753" s="63" t="s">
        <v>972</v>
      </c>
      <c r="AA753" s="63"/>
      <c r="AB753" s="63" t="s">
        <v>972</v>
      </c>
      <c r="AC753" s="63">
        <v>2197</v>
      </c>
      <c r="AD753" s="63" t="s">
        <v>51</v>
      </c>
      <c r="AE753" s="63" t="s">
        <v>51</v>
      </c>
      <c r="AF753" s="63" t="s">
        <v>51</v>
      </c>
      <c r="AG753" s="63"/>
      <c r="AH753" s="63" t="s">
        <v>52</v>
      </c>
      <c r="AI753" s="63">
        <v>0</v>
      </c>
      <c r="AJ753" s="63"/>
      <c r="AK753" s="63"/>
      <c r="AL753" s="63"/>
      <c r="AM753" s="63"/>
      <c r="AN753" s="63" t="s">
        <v>47</v>
      </c>
      <c r="AO753" s="63"/>
      <c r="AP753" s="63" t="s">
        <v>53</v>
      </c>
      <c r="AQ753" s="10">
        <v>0</v>
      </c>
    </row>
    <row r="754" s="10" customFormat="1" spans="1:43">
      <c r="A754" s="63">
        <v>180432</v>
      </c>
      <c r="B754" s="63" t="s">
        <v>999</v>
      </c>
      <c r="C754" s="63"/>
      <c r="D754" s="63"/>
      <c r="E754" s="63"/>
      <c r="F754" s="63">
        <v>0</v>
      </c>
      <c r="G754" s="63">
        <v>0</v>
      </c>
      <c r="H754" s="63" t="s">
        <v>45</v>
      </c>
      <c r="I754" s="63">
        <v>16</v>
      </c>
      <c r="J754" s="63">
        <v>0</v>
      </c>
      <c r="K754" s="63" t="s">
        <v>46</v>
      </c>
      <c r="L754" s="63" t="s">
        <v>47</v>
      </c>
      <c r="M754" s="124">
        <v>1010128</v>
      </c>
      <c r="N754" s="63">
        <v>0</v>
      </c>
      <c r="O754" s="63" t="s">
        <v>48</v>
      </c>
      <c r="P754" s="63">
        <v>1901</v>
      </c>
      <c r="Q754" s="63"/>
      <c r="R754" s="63"/>
      <c r="S754" s="63">
        <v>0</v>
      </c>
      <c r="T754" s="63">
        <v>0</v>
      </c>
      <c r="U754" s="63"/>
      <c r="V754" s="63"/>
      <c r="W754" s="63" t="s">
        <v>47</v>
      </c>
      <c r="X754" s="63"/>
      <c r="Y754" s="63"/>
      <c r="Z754" s="63" t="s">
        <v>974</v>
      </c>
      <c r="AA754" s="63"/>
      <c r="AB754" s="63" t="s">
        <v>974</v>
      </c>
      <c r="AC754" s="63">
        <v>2196</v>
      </c>
      <c r="AD754" s="63" t="s">
        <v>51</v>
      </c>
      <c r="AE754" s="63" t="s">
        <v>51</v>
      </c>
      <c r="AF754" s="63" t="s">
        <v>51</v>
      </c>
      <c r="AG754" s="63"/>
      <c r="AH754" s="63" t="s">
        <v>52</v>
      </c>
      <c r="AI754" s="63">
        <v>0</v>
      </c>
      <c r="AJ754" s="63"/>
      <c r="AK754" s="63"/>
      <c r="AL754" s="63"/>
      <c r="AM754" s="63"/>
      <c r="AN754" s="63" t="s">
        <v>47</v>
      </c>
      <c r="AO754" s="63"/>
      <c r="AP754" s="63" t="s">
        <v>53</v>
      </c>
      <c r="AQ754" s="10">
        <v>0</v>
      </c>
    </row>
    <row r="755" s="10" customFormat="1" spans="1:43">
      <c r="A755" s="63">
        <v>180433</v>
      </c>
      <c r="B755" s="63" t="s">
        <v>999</v>
      </c>
      <c r="C755" s="63"/>
      <c r="D755" s="63"/>
      <c r="E755" s="63"/>
      <c r="F755" s="63">
        <v>0</v>
      </c>
      <c r="G755" s="63">
        <v>0</v>
      </c>
      <c r="H755" s="63" t="s">
        <v>45</v>
      </c>
      <c r="I755" s="63">
        <v>16</v>
      </c>
      <c r="J755" s="63">
        <v>0</v>
      </c>
      <c r="K755" s="63" t="s">
        <v>46</v>
      </c>
      <c r="L755" s="63" t="s">
        <v>47</v>
      </c>
      <c r="M755" s="124">
        <v>1010128</v>
      </c>
      <c r="N755" s="63">
        <v>0</v>
      </c>
      <c r="O755" s="63" t="s">
        <v>48</v>
      </c>
      <c r="P755" s="63">
        <v>1901</v>
      </c>
      <c r="Q755" s="63"/>
      <c r="R755" s="63"/>
      <c r="S755" s="63">
        <v>0</v>
      </c>
      <c r="T755" s="63">
        <v>0</v>
      </c>
      <c r="U755" s="63"/>
      <c r="V755" s="63"/>
      <c r="W755" s="63" t="s">
        <v>47</v>
      </c>
      <c r="X755" s="63"/>
      <c r="Y755" s="63"/>
      <c r="Z755" s="63" t="s">
        <v>974</v>
      </c>
      <c r="AA755" s="63"/>
      <c r="AB755" s="63" t="s">
        <v>974</v>
      </c>
      <c r="AC755" s="63">
        <v>2196</v>
      </c>
      <c r="AD755" s="63" t="s">
        <v>51</v>
      </c>
      <c r="AE755" s="63" t="s">
        <v>51</v>
      </c>
      <c r="AF755" s="63" t="s">
        <v>51</v>
      </c>
      <c r="AG755" s="63"/>
      <c r="AH755" s="63" t="s">
        <v>52</v>
      </c>
      <c r="AI755" s="63">
        <v>0</v>
      </c>
      <c r="AJ755" s="63"/>
      <c r="AK755" s="63"/>
      <c r="AL755" s="63"/>
      <c r="AM755" s="63"/>
      <c r="AN755" s="63" t="s">
        <v>47</v>
      </c>
      <c r="AO755" s="63"/>
      <c r="AP755" s="63" t="s">
        <v>53</v>
      </c>
      <c r="AQ755" s="10">
        <v>0</v>
      </c>
    </row>
    <row r="756" s="8" customFormat="1" spans="1:43">
      <c r="A756" s="60">
        <v>180451</v>
      </c>
      <c r="B756" s="60" t="s">
        <v>1014</v>
      </c>
      <c r="C756" s="60"/>
      <c r="D756" s="60"/>
      <c r="E756" s="60"/>
      <c r="F756" s="60">
        <v>0</v>
      </c>
      <c r="G756" s="60">
        <v>0</v>
      </c>
      <c r="H756" s="60" t="s">
        <v>45</v>
      </c>
      <c r="I756" s="60">
        <v>16</v>
      </c>
      <c r="J756" s="60">
        <v>0</v>
      </c>
      <c r="K756" s="60" t="s">
        <v>46</v>
      </c>
      <c r="L756" s="60" t="s">
        <v>47</v>
      </c>
      <c r="M756" s="127">
        <v>1010143</v>
      </c>
      <c r="N756" s="60">
        <v>0</v>
      </c>
      <c r="O756" s="60" t="s">
        <v>48</v>
      </c>
      <c r="P756" s="60">
        <v>1901</v>
      </c>
      <c r="Q756" s="60"/>
      <c r="R756" s="60"/>
      <c r="S756" s="60">
        <v>0</v>
      </c>
      <c r="T756" s="60">
        <v>0</v>
      </c>
      <c r="U756" s="60"/>
      <c r="V756" s="60"/>
      <c r="W756" s="60" t="s">
        <v>47</v>
      </c>
      <c r="X756" s="60"/>
      <c r="Y756" s="60"/>
      <c r="Z756" s="60" t="s">
        <v>972</v>
      </c>
      <c r="AA756" s="60"/>
      <c r="AB756" s="60" t="s">
        <v>972</v>
      </c>
      <c r="AC756" s="60">
        <v>2197</v>
      </c>
      <c r="AD756" s="60" t="s">
        <v>51</v>
      </c>
      <c r="AE756" s="60" t="s">
        <v>51</v>
      </c>
      <c r="AF756" s="60" t="s">
        <v>51</v>
      </c>
      <c r="AG756" s="60"/>
      <c r="AH756" s="60" t="s">
        <v>52</v>
      </c>
      <c r="AI756" s="60">
        <v>0</v>
      </c>
      <c r="AJ756" s="60"/>
      <c r="AK756" s="60"/>
      <c r="AL756" s="60"/>
      <c r="AM756" s="60"/>
      <c r="AN756" s="60" t="s">
        <v>47</v>
      </c>
      <c r="AO756" s="60"/>
      <c r="AP756" s="60" t="s">
        <v>53</v>
      </c>
      <c r="AQ756" s="8">
        <v>0</v>
      </c>
    </row>
    <row r="757" s="8" customFormat="1" spans="1:43">
      <c r="A757" s="60">
        <v>180452</v>
      </c>
      <c r="B757" s="60" t="s">
        <v>1014</v>
      </c>
      <c r="C757" s="60"/>
      <c r="D757" s="60"/>
      <c r="E757" s="60"/>
      <c r="F757" s="60">
        <v>0</v>
      </c>
      <c r="G757" s="60">
        <v>0</v>
      </c>
      <c r="H757" s="60" t="s">
        <v>45</v>
      </c>
      <c r="I757" s="60">
        <v>16</v>
      </c>
      <c r="J757" s="60">
        <v>0</v>
      </c>
      <c r="K757" s="60" t="s">
        <v>46</v>
      </c>
      <c r="L757" s="60" t="s">
        <v>47</v>
      </c>
      <c r="M757" s="127">
        <v>1010143</v>
      </c>
      <c r="N757" s="60">
        <v>0</v>
      </c>
      <c r="O757" s="60" t="s">
        <v>48</v>
      </c>
      <c r="P757" s="60">
        <v>1901</v>
      </c>
      <c r="Q757" s="60"/>
      <c r="R757" s="60"/>
      <c r="S757" s="60">
        <v>0</v>
      </c>
      <c r="T757" s="60">
        <v>0</v>
      </c>
      <c r="U757" s="60"/>
      <c r="V757" s="60"/>
      <c r="W757" s="60" t="s">
        <v>47</v>
      </c>
      <c r="X757" s="60"/>
      <c r="Y757" s="60"/>
      <c r="Z757" s="60" t="s">
        <v>972</v>
      </c>
      <c r="AA757" s="60"/>
      <c r="AB757" s="60" t="s">
        <v>972</v>
      </c>
      <c r="AC757" s="60">
        <v>2197</v>
      </c>
      <c r="AD757" s="60" t="s">
        <v>51</v>
      </c>
      <c r="AE757" s="60" t="s">
        <v>51</v>
      </c>
      <c r="AF757" s="60" t="s">
        <v>51</v>
      </c>
      <c r="AG757" s="60"/>
      <c r="AH757" s="60" t="s">
        <v>52</v>
      </c>
      <c r="AI757" s="60">
        <v>0</v>
      </c>
      <c r="AJ757" s="60"/>
      <c r="AK757" s="60"/>
      <c r="AL757" s="60"/>
      <c r="AM757" s="60"/>
      <c r="AN757" s="60" t="s">
        <v>47</v>
      </c>
      <c r="AO757" s="60"/>
      <c r="AP757" s="60" t="s">
        <v>53</v>
      </c>
      <c r="AQ757" s="8">
        <v>0</v>
      </c>
    </row>
    <row r="758" s="8" customFormat="1" spans="1:43">
      <c r="A758" s="60">
        <v>180453</v>
      </c>
      <c r="B758" s="60" t="s">
        <v>1014</v>
      </c>
      <c r="C758" s="60"/>
      <c r="D758" s="60"/>
      <c r="E758" s="60"/>
      <c r="F758" s="60">
        <v>0</v>
      </c>
      <c r="G758" s="60">
        <v>0</v>
      </c>
      <c r="H758" s="60" t="s">
        <v>45</v>
      </c>
      <c r="I758" s="60">
        <v>16</v>
      </c>
      <c r="J758" s="60">
        <v>0</v>
      </c>
      <c r="K758" s="60" t="s">
        <v>46</v>
      </c>
      <c r="L758" s="60" t="s">
        <v>47</v>
      </c>
      <c r="M758" s="127">
        <v>1010143</v>
      </c>
      <c r="N758" s="60">
        <v>0</v>
      </c>
      <c r="O758" s="60" t="s">
        <v>48</v>
      </c>
      <c r="P758" s="60">
        <v>1901</v>
      </c>
      <c r="Q758" s="60"/>
      <c r="R758" s="60"/>
      <c r="S758" s="60">
        <v>0</v>
      </c>
      <c r="T758" s="60">
        <v>0</v>
      </c>
      <c r="U758" s="60"/>
      <c r="V758" s="60"/>
      <c r="W758" s="60" t="s">
        <v>47</v>
      </c>
      <c r="X758" s="60"/>
      <c r="Y758" s="60"/>
      <c r="Z758" s="60" t="s">
        <v>972</v>
      </c>
      <c r="AA758" s="60"/>
      <c r="AB758" s="60" t="s">
        <v>972</v>
      </c>
      <c r="AC758" s="60">
        <v>2197</v>
      </c>
      <c r="AD758" s="60" t="s">
        <v>51</v>
      </c>
      <c r="AE758" s="60" t="s">
        <v>51</v>
      </c>
      <c r="AF758" s="60" t="s">
        <v>51</v>
      </c>
      <c r="AG758" s="60"/>
      <c r="AH758" s="60" t="s">
        <v>52</v>
      </c>
      <c r="AI758" s="60">
        <v>0</v>
      </c>
      <c r="AJ758" s="60"/>
      <c r="AK758" s="60"/>
      <c r="AL758" s="60"/>
      <c r="AM758" s="60"/>
      <c r="AN758" s="60" t="s">
        <v>47</v>
      </c>
      <c r="AO758" s="60"/>
      <c r="AP758" s="60" t="s">
        <v>53</v>
      </c>
      <c r="AQ758" s="8">
        <v>0</v>
      </c>
    </row>
    <row r="759" s="8" customFormat="1" spans="1:43">
      <c r="A759" s="60">
        <v>180454</v>
      </c>
      <c r="B759" s="60" t="s">
        <v>1015</v>
      </c>
      <c r="C759" s="60"/>
      <c r="D759" s="60"/>
      <c r="E759" s="60"/>
      <c r="F759" s="60">
        <v>0</v>
      </c>
      <c r="G759" s="60">
        <v>0</v>
      </c>
      <c r="H759" s="60" t="s">
        <v>45</v>
      </c>
      <c r="I759" s="60">
        <v>16</v>
      </c>
      <c r="J759" s="60">
        <v>0</v>
      </c>
      <c r="K759" s="60" t="s">
        <v>46</v>
      </c>
      <c r="L759" s="60" t="s">
        <v>47</v>
      </c>
      <c r="M759" s="127">
        <v>1010124</v>
      </c>
      <c r="N759" s="60">
        <v>0</v>
      </c>
      <c r="O759" s="60" t="s">
        <v>48</v>
      </c>
      <c r="P759" s="60">
        <v>1901</v>
      </c>
      <c r="Q759" s="60"/>
      <c r="R759" s="60"/>
      <c r="S759" s="60">
        <v>0</v>
      </c>
      <c r="T759" s="60">
        <v>0</v>
      </c>
      <c r="U759" s="60"/>
      <c r="V759" s="60"/>
      <c r="W759" s="60" t="s">
        <v>47</v>
      </c>
      <c r="X759" s="60"/>
      <c r="Y759" s="60"/>
      <c r="Z759" s="60" t="s">
        <v>974</v>
      </c>
      <c r="AA759" s="60"/>
      <c r="AB759" s="60" t="s">
        <v>974</v>
      </c>
      <c r="AC759" s="60">
        <v>2196</v>
      </c>
      <c r="AD759" s="60" t="s">
        <v>51</v>
      </c>
      <c r="AE759" s="60" t="s">
        <v>51</v>
      </c>
      <c r="AF759" s="60" t="s">
        <v>51</v>
      </c>
      <c r="AG759" s="60"/>
      <c r="AH759" s="60" t="s">
        <v>52</v>
      </c>
      <c r="AI759" s="60">
        <v>0</v>
      </c>
      <c r="AJ759" s="60"/>
      <c r="AK759" s="60"/>
      <c r="AL759" s="60"/>
      <c r="AM759" s="60"/>
      <c r="AN759" s="60" t="s">
        <v>47</v>
      </c>
      <c r="AO759" s="60"/>
      <c r="AP759" s="60" t="s">
        <v>53</v>
      </c>
      <c r="AQ759" s="8">
        <v>0</v>
      </c>
    </row>
    <row r="760" s="8" customFormat="1" spans="1:43">
      <c r="A760" s="60">
        <v>180455</v>
      </c>
      <c r="B760" s="60" t="s">
        <v>1015</v>
      </c>
      <c r="C760" s="60"/>
      <c r="D760" s="60"/>
      <c r="E760" s="60"/>
      <c r="F760" s="60">
        <v>0</v>
      </c>
      <c r="G760" s="60">
        <v>0</v>
      </c>
      <c r="H760" s="60" t="s">
        <v>45</v>
      </c>
      <c r="I760" s="60">
        <v>16</v>
      </c>
      <c r="J760" s="60">
        <v>0</v>
      </c>
      <c r="K760" s="60" t="s">
        <v>46</v>
      </c>
      <c r="L760" s="60" t="s">
        <v>47</v>
      </c>
      <c r="M760" s="127">
        <v>1010124</v>
      </c>
      <c r="N760" s="60">
        <v>0</v>
      </c>
      <c r="O760" s="60" t="s">
        <v>48</v>
      </c>
      <c r="P760" s="60">
        <v>1901</v>
      </c>
      <c r="Q760" s="60"/>
      <c r="R760" s="60"/>
      <c r="S760" s="60">
        <v>0</v>
      </c>
      <c r="T760" s="60">
        <v>0</v>
      </c>
      <c r="U760" s="60"/>
      <c r="V760" s="60"/>
      <c r="W760" s="60" t="s">
        <v>47</v>
      </c>
      <c r="X760" s="60"/>
      <c r="Y760" s="60"/>
      <c r="Z760" s="60" t="s">
        <v>974</v>
      </c>
      <c r="AA760" s="60"/>
      <c r="AB760" s="60" t="s">
        <v>974</v>
      </c>
      <c r="AC760" s="60">
        <v>2196</v>
      </c>
      <c r="AD760" s="60" t="s">
        <v>51</v>
      </c>
      <c r="AE760" s="60" t="s">
        <v>51</v>
      </c>
      <c r="AF760" s="60" t="s">
        <v>51</v>
      </c>
      <c r="AG760" s="60"/>
      <c r="AH760" s="60" t="s">
        <v>52</v>
      </c>
      <c r="AI760" s="60">
        <v>0</v>
      </c>
      <c r="AJ760" s="60"/>
      <c r="AK760" s="60"/>
      <c r="AL760" s="60"/>
      <c r="AM760" s="60"/>
      <c r="AN760" s="60" t="s">
        <v>47</v>
      </c>
      <c r="AO760" s="60"/>
      <c r="AP760" s="60" t="s">
        <v>53</v>
      </c>
      <c r="AQ760" s="8">
        <v>0</v>
      </c>
    </row>
    <row r="761" s="8" customFormat="1" spans="1:43">
      <c r="A761" s="60">
        <v>180456</v>
      </c>
      <c r="B761" s="60" t="s">
        <v>1015</v>
      </c>
      <c r="C761" s="60"/>
      <c r="D761" s="60"/>
      <c r="E761" s="60"/>
      <c r="F761" s="60">
        <v>0</v>
      </c>
      <c r="G761" s="60">
        <v>0</v>
      </c>
      <c r="H761" s="60" t="s">
        <v>45</v>
      </c>
      <c r="I761" s="60">
        <v>16</v>
      </c>
      <c r="J761" s="60">
        <v>0</v>
      </c>
      <c r="K761" s="60" t="s">
        <v>46</v>
      </c>
      <c r="L761" s="60" t="s">
        <v>47</v>
      </c>
      <c r="M761" s="127">
        <v>1010124</v>
      </c>
      <c r="N761" s="60">
        <v>0</v>
      </c>
      <c r="O761" s="60" t="s">
        <v>48</v>
      </c>
      <c r="P761" s="60">
        <v>1901</v>
      </c>
      <c r="Q761" s="60"/>
      <c r="R761" s="60"/>
      <c r="S761" s="60">
        <v>0</v>
      </c>
      <c r="T761" s="60">
        <v>0</v>
      </c>
      <c r="U761" s="60"/>
      <c r="V761" s="60"/>
      <c r="W761" s="60" t="s">
        <v>47</v>
      </c>
      <c r="X761" s="60"/>
      <c r="Y761" s="60"/>
      <c r="Z761" s="60" t="s">
        <v>974</v>
      </c>
      <c r="AA761" s="60"/>
      <c r="AB761" s="60" t="s">
        <v>974</v>
      </c>
      <c r="AC761" s="60">
        <v>2196</v>
      </c>
      <c r="AD761" s="60" t="s">
        <v>51</v>
      </c>
      <c r="AE761" s="60" t="s">
        <v>51</v>
      </c>
      <c r="AF761" s="60" t="s">
        <v>51</v>
      </c>
      <c r="AG761" s="60"/>
      <c r="AH761" s="60" t="s">
        <v>52</v>
      </c>
      <c r="AI761" s="60">
        <v>0</v>
      </c>
      <c r="AJ761" s="60"/>
      <c r="AK761" s="60"/>
      <c r="AL761" s="60"/>
      <c r="AM761" s="60"/>
      <c r="AN761" s="60" t="s">
        <v>47</v>
      </c>
      <c r="AO761" s="60"/>
      <c r="AP761" s="60" t="s">
        <v>53</v>
      </c>
      <c r="AQ761" s="8">
        <v>0</v>
      </c>
    </row>
    <row r="762" s="8" customFormat="1" spans="1:43">
      <c r="A762" s="60">
        <v>180457</v>
      </c>
      <c r="B762" s="60" t="s">
        <v>1016</v>
      </c>
      <c r="C762" s="60"/>
      <c r="D762" s="60"/>
      <c r="E762" s="60"/>
      <c r="F762" s="60">
        <v>0</v>
      </c>
      <c r="G762" s="60">
        <v>0</v>
      </c>
      <c r="H762" s="60" t="s">
        <v>45</v>
      </c>
      <c r="I762" s="60">
        <v>16</v>
      </c>
      <c r="J762" s="60">
        <v>0</v>
      </c>
      <c r="K762" s="60" t="s">
        <v>46</v>
      </c>
      <c r="L762" s="60" t="s">
        <v>47</v>
      </c>
      <c r="M762" s="127">
        <v>1010138</v>
      </c>
      <c r="N762" s="60">
        <v>0</v>
      </c>
      <c r="O762" s="60" t="s">
        <v>48</v>
      </c>
      <c r="P762" s="60">
        <v>1901</v>
      </c>
      <c r="Q762" s="60"/>
      <c r="R762" s="60"/>
      <c r="S762" s="60">
        <v>0</v>
      </c>
      <c r="T762" s="60">
        <v>0</v>
      </c>
      <c r="U762" s="60"/>
      <c r="V762" s="60"/>
      <c r="W762" s="60" t="s">
        <v>47</v>
      </c>
      <c r="X762" s="60"/>
      <c r="Y762" s="60"/>
      <c r="Z762" s="60" t="s">
        <v>976</v>
      </c>
      <c r="AA762" s="60"/>
      <c r="AB762" s="60" t="s">
        <v>976</v>
      </c>
      <c r="AC762" s="60">
        <v>2198</v>
      </c>
      <c r="AD762" s="60" t="s">
        <v>51</v>
      </c>
      <c r="AE762" s="60" t="s">
        <v>51</v>
      </c>
      <c r="AF762" s="60" t="s">
        <v>51</v>
      </c>
      <c r="AG762" s="60"/>
      <c r="AH762" s="60" t="s">
        <v>52</v>
      </c>
      <c r="AI762" s="60">
        <v>0</v>
      </c>
      <c r="AJ762" s="60"/>
      <c r="AK762" s="60"/>
      <c r="AL762" s="60"/>
      <c r="AM762" s="60"/>
      <c r="AN762" s="60" t="s">
        <v>47</v>
      </c>
      <c r="AO762" s="60"/>
      <c r="AP762" s="60" t="s">
        <v>53</v>
      </c>
      <c r="AQ762" s="8">
        <v>0</v>
      </c>
    </row>
    <row r="763" s="8" customFormat="1" ht="12" spans="1:43">
      <c r="A763" s="60">
        <v>180458</v>
      </c>
      <c r="B763" s="60" t="s">
        <v>639</v>
      </c>
      <c r="C763" s="60"/>
      <c r="D763" s="60"/>
      <c r="E763" s="60"/>
      <c r="F763" s="60">
        <v>0</v>
      </c>
      <c r="G763" s="60">
        <v>0</v>
      </c>
      <c r="H763" s="60" t="s">
        <v>45</v>
      </c>
      <c r="I763" s="60">
        <v>18</v>
      </c>
      <c r="J763" s="60">
        <v>0</v>
      </c>
      <c r="K763" s="60" t="s">
        <v>46</v>
      </c>
      <c r="L763" s="60" t="s">
        <v>47</v>
      </c>
      <c r="M763" s="60">
        <v>1030013</v>
      </c>
      <c r="N763" s="60">
        <v>0</v>
      </c>
      <c r="O763" s="60" t="s">
        <v>48</v>
      </c>
      <c r="P763" s="60">
        <v>1901</v>
      </c>
      <c r="Q763" s="60"/>
      <c r="R763" s="60"/>
      <c r="S763" s="60">
        <v>0</v>
      </c>
      <c r="T763" s="60">
        <v>0</v>
      </c>
      <c r="U763" s="60"/>
      <c r="V763" s="60"/>
      <c r="W763" s="60" t="s">
        <v>47</v>
      </c>
      <c r="X763" s="60"/>
      <c r="Y763" s="60"/>
      <c r="Z763" s="60" t="s">
        <v>639</v>
      </c>
      <c r="AA763" s="60"/>
      <c r="AB763" s="60" t="s">
        <v>639</v>
      </c>
      <c r="AC763" s="60" t="s">
        <v>51</v>
      </c>
      <c r="AD763" s="60" t="s">
        <v>51</v>
      </c>
      <c r="AE763" s="60" t="s">
        <v>51</v>
      </c>
      <c r="AF763" s="60" t="s">
        <v>51</v>
      </c>
      <c r="AG763" s="60"/>
      <c r="AH763" s="60" t="s">
        <v>52</v>
      </c>
      <c r="AI763" s="60">
        <v>0</v>
      </c>
      <c r="AJ763" s="60"/>
      <c r="AK763" s="60"/>
      <c r="AL763" s="60"/>
      <c r="AM763" s="60"/>
      <c r="AN763" s="60" t="s">
        <v>47</v>
      </c>
      <c r="AO763" s="60"/>
      <c r="AP763" s="60" t="s">
        <v>53</v>
      </c>
      <c r="AQ763" s="8">
        <v>0</v>
      </c>
    </row>
    <row r="764" s="8" customFormat="1" spans="1:43">
      <c r="A764" s="60">
        <v>180459</v>
      </c>
      <c r="B764" s="60" t="s">
        <v>1017</v>
      </c>
      <c r="C764" s="60"/>
      <c r="D764" s="60"/>
      <c r="E764" s="60"/>
      <c r="F764" s="60">
        <v>0</v>
      </c>
      <c r="G764" s="60">
        <v>0</v>
      </c>
      <c r="H764" s="60" t="s">
        <v>45</v>
      </c>
      <c r="I764" s="60">
        <v>16</v>
      </c>
      <c r="J764" s="60">
        <v>0</v>
      </c>
      <c r="K764" s="60" t="s">
        <v>46</v>
      </c>
      <c r="L764" s="60" t="s">
        <v>47</v>
      </c>
      <c r="M764" s="127" t="s">
        <v>1018</v>
      </c>
      <c r="N764" s="60">
        <v>0</v>
      </c>
      <c r="O764" s="60" t="s">
        <v>48</v>
      </c>
      <c r="P764" s="60">
        <v>1901</v>
      </c>
      <c r="Q764" s="60"/>
      <c r="R764" s="60"/>
      <c r="S764" s="60">
        <v>0</v>
      </c>
      <c r="T764" s="60">
        <v>0</v>
      </c>
      <c r="U764" s="60"/>
      <c r="V764" s="60"/>
      <c r="W764" s="60" t="s">
        <v>47</v>
      </c>
      <c r="X764" s="60"/>
      <c r="Y764" s="60"/>
      <c r="Z764" s="60" t="s">
        <v>978</v>
      </c>
      <c r="AA764" s="60"/>
      <c r="AB764" s="60" t="s">
        <v>978</v>
      </c>
      <c r="AC764" s="60">
        <v>2195</v>
      </c>
      <c r="AD764" s="60" t="s">
        <v>51</v>
      </c>
      <c r="AE764" s="60" t="s">
        <v>51</v>
      </c>
      <c r="AF764" s="60" t="s">
        <v>51</v>
      </c>
      <c r="AG764" s="60"/>
      <c r="AH764" s="60" t="s">
        <v>52</v>
      </c>
      <c r="AI764" s="60">
        <v>0</v>
      </c>
      <c r="AJ764" s="60"/>
      <c r="AK764" s="60"/>
      <c r="AL764" s="60"/>
      <c r="AM764" s="60"/>
      <c r="AN764" s="60" t="s">
        <v>47</v>
      </c>
      <c r="AO764" s="60"/>
      <c r="AP764" s="60" t="s">
        <v>53</v>
      </c>
      <c r="AQ764" s="8">
        <v>0</v>
      </c>
    </row>
    <row r="765" s="8" customFormat="1" spans="1:43">
      <c r="A765" s="60">
        <v>180460</v>
      </c>
      <c r="B765" s="60" t="s">
        <v>1019</v>
      </c>
      <c r="C765" s="60"/>
      <c r="D765" s="60"/>
      <c r="E765" s="60"/>
      <c r="F765" s="60">
        <v>2</v>
      </c>
      <c r="G765" s="60">
        <v>0</v>
      </c>
      <c r="H765" s="60" t="s">
        <v>45</v>
      </c>
      <c r="I765" s="60">
        <v>16</v>
      </c>
      <c r="J765" s="60">
        <v>0</v>
      </c>
      <c r="K765" s="60" t="s">
        <v>46</v>
      </c>
      <c r="L765" s="60" t="s">
        <v>47</v>
      </c>
      <c r="M765" s="127">
        <v>1010133</v>
      </c>
      <c r="N765" s="60">
        <v>0</v>
      </c>
      <c r="O765" s="60" t="s">
        <v>48</v>
      </c>
      <c r="P765" s="60">
        <v>1901</v>
      </c>
      <c r="Q765" s="60"/>
      <c r="R765" s="60"/>
      <c r="S765" s="60">
        <v>0</v>
      </c>
      <c r="T765" s="60">
        <v>0</v>
      </c>
      <c r="U765" s="60"/>
      <c r="V765" s="60"/>
      <c r="W765" s="60" t="s">
        <v>47</v>
      </c>
      <c r="X765" s="60"/>
      <c r="Y765" s="60"/>
      <c r="Z765" s="60" t="s">
        <v>980</v>
      </c>
      <c r="AA765" s="60"/>
      <c r="AB765" s="60" t="s">
        <v>980</v>
      </c>
      <c r="AC765" s="60">
        <v>2195</v>
      </c>
      <c r="AD765" s="60" t="s">
        <v>51</v>
      </c>
      <c r="AE765" s="60" t="s">
        <v>51</v>
      </c>
      <c r="AF765" s="60" t="s">
        <v>51</v>
      </c>
      <c r="AG765" s="60"/>
      <c r="AH765" s="60" t="s">
        <v>52</v>
      </c>
      <c r="AI765" s="60">
        <v>0</v>
      </c>
      <c r="AJ765" s="60"/>
      <c r="AK765" s="60"/>
      <c r="AL765" s="60"/>
      <c r="AM765" s="60"/>
      <c r="AN765" s="60" t="s">
        <v>47</v>
      </c>
      <c r="AO765" s="60"/>
      <c r="AP765" s="60" t="s">
        <v>53</v>
      </c>
      <c r="AQ765" s="8">
        <v>0</v>
      </c>
    </row>
    <row r="766" s="8" customFormat="1" spans="1:43">
      <c r="A766" s="60">
        <v>180461</v>
      </c>
      <c r="B766" s="60" t="s">
        <v>1020</v>
      </c>
      <c r="C766" s="60"/>
      <c r="D766" s="60"/>
      <c r="E766" s="60"/>
      <c r="F766" s="60">
        <v>2</v>
      </c>
      <c r="G766" s="60">
        <v>0</v>
      </c>
      <c r="H766" s="60" t="s">
        <v>45</v>
      </c>
      <c r="I766" s="60">
        <v>16</v>
      </c>
      <c r="J766" s="60">
        <v>0</v>
      </c>
      <c r="K766" s="60" t="s">
        <v>46</v>
      </c>
      <c r="L766" s="60" t="s">
        <v>47</v>
      </c>
      <c r="M766" s="127" t="s">
        <v>1021</v>
      </c>
      <c r="N766" s="60">
        <v>0</v>
      </c>
      <c r="O766" s="60" t="s">
        <v>48</v>
      </c>
      <c r="P766" s="60">
        <v>1901</v>
      </c>
      <c r="Q766" s="60"/>
      <c r="R766" s="60"/>
      <c r="S766" s="60">
        <v>0</v>
      </c>
      <c r="T766" s="60">
        <v>0</v>
      </c>
      <c r="U766" s="60"/>
      <c r="V766" s="60"/>
      <c r="W766" s="60" t="s">
        <v>47</v>
      </c>
      <c r="X766" s="60"/>
      <c r="Y766" s="60"/>
      <c r="Z766" s="60" t="s">
        <v>982</v>
      </c>
      <c r="AA766" s="60"/>
      <c r="AB766" s="60" t="s">
        <v>982</v>
      </c>
      <c r="AC766" s="60">
        <v>2195</v>
      </c>
      <c r="AD766" s="60" t="s">
        <v>51</v>
      </c>
      <c r="AE766" s="60" t="s">
        <v>51</v>
      </c>
      <c r="AF766" s="60" t="s">
        <v>51</v>
      </c>
      <c r="AG766" s="60"/>
      <c r="AH766" s="60" t="s">
        <v>52</v>
      </c>
      <c r="AI766" s="60">
        <v>0</v>
      </c>
      <c r="AJ766" s="60"/>
      <c r="AK766" s="60"/>
      <c r="AL766" s="60"/>
      <c r="AM766" s="60"/>
      <c r="AN766" s="60" t="s">
        <v>47</v>
      </c>
      <c r="AO766" s="60"/>
      <c r="AP766" s="60" t="s">
        <v>53</v>
      </c>
      <c r="AQ766" s="8">
        <v>0</v>
      </c>
    </row>
    <row r="767" s="8" customFormat="1" spans="1:43">
      <c r="A767" s="60">
        <v>180462</v>
      </c>
      <c r="B767" s="60" t="s">
        <v>1017</v>
      </c>
      <c r="C767" s="60"/>
      <c r="D767" s="60"/>
      <c r="E767" s="60"/>
      <c r="F767" s="60">
        <v>2</v>
      </c>
      <c r="G767" s="60">
        <v>0</v>
      </c>
      <c r="H767" s="60" t="s">
        <v>45</v>
      </c>
      <c r="I767" s="60">
        <v>16</v>
      </c>
      <c r="J767" s="60">
        <v>0</v>
      </c>
      <c r="K767" s="60" t="s">
        <v>46</v>
      </c>
      <c r="L767" s="60" t="s">
        <v>47</v>
      </c>
      <c r="M767" s="127" t="s">
        <v>1018</v>
      </c>
      <c r="N767" s="60">
        <v>0</v>
      </c>
      <c r="O767" s="60" t="s">
        <v>48</v>
      </c>
      <c r="P767" s="60">
        <v>1901</v>
      </c>
      <c r="Q767" s="60"/>
      <c r="R767" s="60"/>
      <c r="S767" s="60">
        <v>0</v>
      </c>
      <c r="T767" s="60">
        <v>0</v>
      </c>
      <c r="U767" s="60"/>
      <c r="V767" s="60"/>
      <c r="W767" s="60" t="s">
        <v>47</v>
      </c>
      <c r="X767" s="60"/>
      <c r="Y767" s="60"/>
      <c r="Z767" s="60" t="s">
        <v>978</v>
      </c>
      <c r="AA767" s="60"/>
      <c r="AB767" s="60" t="s">
        <v>978</v>
      </c>
      <c r="AC767" s="60">
        <v>2195</v>
      </c>
      <c r="AD767" s="60" t="s">
        <v>51</v>
      </c>
      <c r="AE767" s="60" t="s">
        <v>51</v>
      </c>
      <c r="AF767" s="60" t="s">
        <v>51</v>
      </c>
      <c r="AG767" s="60"/>
      <c r="AH767" s="60" t="s">
        <v>52</v>
      </c>
      <c r="AI767" s="60">
        <v>0</v>
      </c>
      <c r="AJ767" s="60"/>
      <c r="AK767" s="60"/>
      <c r="AL767" s="60"/>
      <c r="AM767" s="60"/>
      <c r="AN767" s="60" t="s">
        <v>47</v>
      </c>
      <c r="AO767" s="60"/>
      <c r="AP767" s="60" t="s">
        <v>53</v>
      </c>
      <c r="AQ767" s="8">
        <v>0</v>
      </c>
    </row>
    <row r="768" s="8" customFormat="1" spans="1:43">
      <c r="A768" s="60">
        <v>180463</v>
      </c>
      <c r="B768" s="60" t="s">
        <v>1019</v>
      </c>
      <c r="C768" s="60"/>
      <c r="D768" s="60"/>
      <c r="E768" s="60"/>
      <c r="F768" s="60">
        <v>3</v>
      </c>
      <c r="G768" s="60">
        <v>0</v>
      </c>
      <c r="H768" s="60" t="s">
        <v>45</v>
      </c>
      <c r="I768" s="60">
        <v>16</v>
      </c>
      <c r="J768" s="60">
        <v>0</v>
      </c>
      <c r="K768" s="60" t="s">
        <v>46</v>
      </c>
      <c r="L768" s="60" t="s">
        <v>47</v>
      </c>
      <c r="M768" s="127">
        <v>1010133</v>
      </c>
      <c r="N768" s="60">
        <v>0</v>
      </c>
      <c r="O768" s="60" t="s">
        <v>48</v>
      </c>
      <c r="P768" s="60">
        <v>1901</v>
      </c>
      <c r="Q768" s="60"/>
      <c r="R768" s="60"/>
      <c r="S768" s="60">
        <v>0</v>
      </c>
      <c r="T768" s="60">
        <v>0</v>
      </c>
      <c r="U768" s="60"/>
      <c r="V768" s="60"/>
      <c r="W768" s="60" t="s">
        <v>47</v>
      </c>
      <c r="X768" s="60"/>
      <c r="Y768" s="60"/>
      <c r="Z768" s="60" t="s">
        <v>980</v>
      </c>
      <c r="AA768" s="60"/>
      <c r="AB768" s="60" t="s">
        <v>980</v>
      </c>
      <c r="AC768" s="60">
        <v>2195</v>
      </c>
      <c r="AD768" s="60" t="s">
        <v>51</v>
      </c>
      <c r="AE768" s="60" t="s">
        <v>51</v>
      </c>
      <c r="AF768" s="60" t="s">
        <v>51</v>
      </c>
      <c r="AG768" s="60"/>
      <c r="AH768" s="60" t="s">
        <v>52</v>
      </c>
      <c r="AI768" s="60">
        <v>0</v>
      </c>
      <c r="AJ768" s="60"/>
      <c r="AK768" s="60"/>
      <c r="AL768" s="60"/>
      <c r="AM768" s="60"/>
      <c r="AN768" s="60" t="s">
        <v>47</v>
      </c>
      <c r="AO768" s="60"/>
      <c r="AP768" s="60" t="s">
        <v>53</v>
      </c>
      <c r="AQ768" s="8">
        <v>0</v>
      </c>
    </row>
    <row r="769" s="8" customFormat="1" spans="1:43">
      <c r="A769" s="60">
        <v>180464</v>
      </c>
      <c r="B769" s="60" t="s">
        <v>1020</v>
      </c>
      <c r="C769" s="60"/>
      <c r="D769" s="60"/>
      <c r="E769" s="60"/>
      <c r="F769" s="60">
        <v>3</v>
      </c>
      <c r="G769" s="60">
        <v>0</v>
      </c>
      <c r="H769" s="60" t="s">
        <v>45</v>
      </c>
      <c r="I769" s="60">
        <v>16</v>
      </c>
      <c r="J769" s="60">
        <v>0</v>
      </c>
      <c r="K769" s="60" t="s">
        <v>46</v>
      </c>
      <c r="L769" s="60" t="s">
        <v>47</v>
      </c>
      <c r="M769" s="127" t="s">
        <v>1021</v>
      </c>
      <c r="N769" s="60">
        <v>0</v>
      </c>
      <c r="O769" s="60" t="s">
        <v>48</v>
      </c>
      <c r="P769" s="60">
        <v>1901</v>
      </c>
      <c r="Q769" s="60"/>
      <c r="R769" s="60"/>
      <c r="S769" s="60">
        <v>0</v>
      </c>
      <c r="T769" s="60">
        <v>0</v>
      </c>
      <c r="U769" s="60"/>
      <c r="V769" s="60"/>
      <c r="W769" s="60" t="s">
        <v>47</v>
      </c>
      <c r="X769" s="60"/>
      <c r="Y769" s="60"/>
      <c r="Z769" s="60" t="s">
        <v>982</v>
      </c>
      <c r="AA769" s="60"/>
      <c r="AB769" s="60" t="s">
        <v>982</v>
      </c>
      <c r="AC769" s="60">
        <v>2195</v>
      </c>
      <c r="AD769" s="60" t="s">
        <v>51</v>
      </c>
      <c r="AE769" s="60" t="s">
        <v>51</v>
      </c>
      <c r="AF769" s="60" t="s">
        <v>51</v>
      </c>
      <c r="AG769" s="60"/>
      <c r="AH769" s="60" t="s">
        <v>52</v>
      </c>
      <c r="AI769" s="60">
        <v>0</v>
      </c>
      <c r="AJ769" s="60"/>
      <c r="AK769" s="60"/>
      <c r="AL769" s="60"/>
      <c r="AM769" s="60"/>
      <c r="AN769" s="60" t="s">
        <v>47</v>
      </c>
      <c r="AO769" s="60"/>
      <c r="AP769" s="60" t="s">
        <v>53</v>
      </c>
      <c r="AQ769" s="8">
        <v>0</v>
      </c>
    </row>
    <row r="770" s="8" customFormat="1" spans="1:43">
      <c r="A770" s="60">
        <v>180465</v>
      </c>
      <c r="B770" s="60" t="s">
        <v>1017</v>
      </c>
      <c r="C770" s="60"/>
      <c r="D770" s="60"/>
      <c r="E770" s="60"/>
      <c r="F770" s="60">
        <v>3</v>
      </c>
      <c r="G770" s="60">
        <v>0</v>
      </c>
      <c r="H770" s="60" t="s">
        <v>45</v>
      </c>
      <c r="I770" s="60">
        <v>16</v>
      </c>
      <c r="J770" s="60">
        <v>0</v>
      </c>
      <c r="K770" s="60" t="s">
        <v>46</v>
      </c>
      <c r="L770" s="60" t="s">
        <v>47</v>
      </c>
      <c r="M770" s="127" t="s">
        <v>1018</v>
      </c>
      <c r="N770" s="60">
        <v>0</v>
      </c>
      <c r="O770" s="60" t="s">
        <v>48</v>
      </c>
      <c r="P770" s="60">
        <v>1901</v>
      </c>
      <c r="Q770" s="60"/>
      <c r="R770" s="60"/>
      <c r="S770" s="60">
        <v>0</v>
      </c>
      <c r="T770" s="60">
        <v>0</v>
      </c>
      <c r="U770" s="60"/>
      <c r="V770" s="60"/>
      <c r="W770" s="60" t="s">
        <v>47</v>
      </c>
      <c r="X770" s="60"/>
      <c r="Y770" s="60"/>
      <c r="Z770" s="60" t="s">
        <v>978</v>
      </c>
      <c r="AA770" s="60"/>
      <c r="AB770" s="60" t="s">
        <v>978</v>
      </c>
      <c r="AC770" s="60">
        <v>2195</v>
      </c>
      <c r="AD770" s="60" t="s">
        <v>51</v>
      </c>
      <c r="AE770" s="60" t="s">
        <v>51</v>
      </c>
      <c r="AF770" s="60" t="s">
        <v>51</v>
      </c>
      <c r="AG770" s="60"/>
      <c r="AH770" s="60" t="s">
        <v>52</v>
      </c>
      <c r="AI770" s="60">
        <v>0</v>
      </c>
      <c r="AJ770" s="60"/>
      <c r="AK770" s="60"/>
      <c r="AL770" s="60"/>
      <c r="AM770" s="60"/>
      <c r="AN770" s="60" t="s">
        <v>47</v>
      </c>
      <c r="AO770" s="60"/>
      <c r="AP770" s="60" t="s">
        <v>53</v>
      </c>
      <c r="AQ770" s="8">
        <v>0</v>
      </c>
    </row>
    <row r="771" s="8" customFormat="1" spans="1:43">
      <c r="A771" s="60">
        <v>180466</v>
      </c>
      <c r="B771" s="60" t="s">
        <v>1019</v>
      </c>
      <c r="C771" s="60"/>
      <c r="D771" s="60"/>
      <c r="E771" s="60"/>
      <c r="F771" s="60">
        <v>0</v>
      </c>
      <c r="G771" s="60">
        <v>0</v>
      </c>
      <c r="H771" s="60" t="s">
        <v>45</v>
      </c>
      <c r="I771" s="60">
        <v>16</v>
      </c>
      <c r="J771" s="60">
        <v>0</v>
      </c>
      <c r="K771" s="60" t="s">
        <v>46</v>
      </c>
      <c r="L771" s="60" t="s">
        <v>47</v>
      </c>
      <c r="M771" s="127">
        <v>1010133</v>
      </c>
      <c r="N771" s="60">
        <v>0</v>
      </c>
      <c r="O771" s="60" t="s">
        <v>48</v>
      </c>
      <c r="P771" s="60">
        <v>1901</v>
      </c>
      <c r="Q771" s="60"/>
      <c r="R771" s="60"/>
      <c r="S771" s="60">
        <v>0</v>
      </c>
      <c r="T771" s="60">
        <v>0</v>
      </c>
      <c r="U771" s="60"/>
      <c r="V771" s="60"/>
      <c r="W771" s="60" t="s">
        <v>47</v>
      </c>
      <c r="X771" s="60"/>
      <c r="Y771" s="60"/>
      <c r="Z771" s="60" t="s">
        <v>980</v>
      </c>
      <c r="AA771" s="60"/>
      <c r="AB771" s="60" t="s">
        <v>980</v>
      </c>
      <c r="AC771" s="60">
        <v>2195</v>
      </c>
      <c r="AD771" s="60" t="s">
        <v>51</v>
      </c>
      <c r="AE771" s="60" t="s">
        <v>51</v>
      </c>
      <c r="AF771" s="60" t="s">
        <v>51</v>
      </c>
      <c r="AG771" s="60"/>
      <c r="AH771" s="60" t="s">
        <v>52</v>
      </c>
      <c r="AI771" s="60">
        <v>0</v>
      </c>
      <c r="AJ771" s="60"/>
      <c r="AK771" s="60"/>
      <c r="AL771" s="60"/>
      <c r="AM771" s="60"/>
      <c r="AN771" s="60" t="s">
        <v>47</v>
      </c>
      <c r="AO771" s="60"/>
      <c r="AP771" s="60" t="s">
        <v>53</v>
      </c>
      <c r="AQ771" s="8">
        <v>0</v>
      </c>
    </row>
    <row r="772" s="8" customFormat="1" spans="1:43">
      <c r="A772" s="60">
        <v>180467</v>
      </c>
      <c r="B772" s="60" t="s">
        <v>1020</v>
      </c>
      <c r="C772" s="60"/>
      <c r="D772" s="60"/>
      <c r="E772" s="60"/>
      <c r="F772" s="60">
        <v>2</v>
      </c>
      <c r="G772" s="60">
        <v>0</v>
      </c>
      <c r="H772" s="60" t="s">
        <v>45</v>
      </c>
      <c r="I772" s="60">
        <v>16</v>
      </c>
      <c r="J772" s="60">
        <v>0</v>
      </c>
      <c r="K772" s="60" t="s">
        <v>46</v>
      </c>
      <c r="L772" s="60" t="s">
        <v>47</v>
      </c>
      <c r="M772" s="127" t="s">
        <v>1021</v>
      </c>
      <c r="N772" s="60">
        <v>0</v>
      </c>
      <c r="O772" s="60" t="s">
        <v>48</v>
      </c>
      <c r="P772" s="60">
        <v>1901</v>
      </c>
      <c r="Q772" s="60"/>
      <c r="R772" s="60"/>
      <c r="S772" s="60">
        <v>0</v>
      </c>
      <c r="T772" s="60">
        <v>0</v>
      </c>
      <c r="U772" s="60"/>
      <c r="V772" s="60"/>
      <c r="W772" s="60" t="s">
        <v>47</v>
      </c>
      <c r="X772" s="60"/>
      <c r="Y772" s="60"/>
      <c r="Z772" s="60" t="s">
        <v>982</v>
      </c>
      <c r="AA772" s="60"/>
      <c r="AB772" s="60" t="s">
        <v>982</v>
      </c>
      <c r="AC772" s="60">
        <v>2195</v>
      </c>
      <c r="AD772" s="60" t="s">
        <v>51</v>
      </c>
      <c r="AE772" s="60" t="s">
        <v>51</v>
      </c>
      <c r="AF772" s="60" t="s">
        <v>51</v>
      </c>
      <c r="AG772" s="60"/>
      <c r="AH772" s="60" t="s">
        <v>52</v>
      </c>
      <c r="AI772" s="60">
        <v>0</v>
      </c>
      <c r="AJ772" s="60"/>
      <c r="AK772" s="60"/>
      <c r="AL772" s="60"/>
      <c r="AM772" s="60"/>
      <c r="AN772" s="60" t="s">
        <v>47</v>
      </c>
      <c r="AO772" s="60"/>
      <c r="AP772" s="60" t="s">
        <v>53</v>
      </c>
      <c r="AQ772" s="8">
        <v>0</v>
      </c>
    </row>
    <row r="773" s="8" customFormat="1" spans="1:43">
      <c r="A773" s="60">
        <v>180468</v>
      </c>
      <c r="B773" s="60" t="s">
        <v>1017</v>
      </c>
      <c r="C773" s="60"/>
      <c r="D773" s="60"/>
      <c r="E773" s="60"/>
      <c r="F773" s="60">
        <v>2</v>
      </c>
      <c r="G773" s="60">
        <v>0</v>
      </c>
      <c r="H773" s="60" t="s">
        <v>45</v>
      </c>
      <c r="I773" s="60">
        <v>16</v>
      </c>
      <c r="J773" s="60">
        <v>0</v>
      </c>
      <c r="K773" s="60" t="s">
        <v>46</v>
      </c>
      <c r="L773" s="60" t="s">
        <v>47</v>
      </c>
      <c r="M773" s="127" t="s">
        <v>1018</v>
      </c>
      <c r="N773" s="60">
        <v>0</v>
      </c>
      <c r="O773" s="60" t="s">
        <v>48</v>
      </c>
      <c r="P773" s="60">
        <v>1901</v>
      </c>
      <c r="Q773" s="60"/>
      <c r="R773" s="60"/>
      <c r="S773" s="60">
        <v>0</v>
      </c>
      <c r="T773" s="60">
        <v>0</v>
      </c>
      <c r="U773" s="60"/>
      <c r="V773" s="60"/>
      <c r="W773" s="60" t="s">
        <v>47</v>
      </c>
      <c r="X773" s="60"/>
      <c r="Y773" s="60"/>
      <c r="Z773" s="60" t="s">
        <v>978</v>
      </c>
      <c r="AA773" s="60"/>
      <c r="AB773" s="60" t="s">
        <v>978</v>
      </c>
      <c r="AC773" s="60">
        <v>2195</v>
      </c>
      <c r="AD773" s="60" t="s">
        <v>51</v>
      </c>
      <c r="AE773" s="60" t="s">
        <v>51</v>
      </c>
      <c r="AF773" s="60" t="s">
        <v>51</v>
      </c>
      <c r="AG773" s="60"/>
      <c r="AH773" s="60" t="s">
        <v>52</v>
      </c>
      <c r="AI773" s="60">
        <v>0</v>
      </c>
      <c r="AJ773" s="60"/>
      <c r="AK773" s="60"/>
      <c r="AL773" s="60"/>
      <c r="AM773" s="60"/>
      <c r="AN773" s="60" t="s">
        <v>47</v>
      </c>
      <c r="AO773" s="60"/>
      <c r="AP773" s="60" t="s">
        <v>53</v>
      </c>
      <c r="AQ773" s="8">
        <v>0</v>
      </c>
    </row>
    <row r="774" s="8" customFormat="1" spans="1:43">
      <c r="A774" s="60">
        <v>180469</v>
      </c>
      <c r="B774" s="60" t="s">
        <v>1019</v>
      </c>
      <c r="C774" s="60"/>
      <c r="D774" s="60"/>
      <c r="E774" s="60"/>
      <c r="F774" s="60">
        <v>2</v>
      </c>
      <c r="G774" s="60">
        <v>0</v>
      </c>
      <c r="H774" s="60" t="s">
        <v>45</v>
      </c>
      <c r="I774" s="60">
        <v>16</v>
      </c>
      <c r="J774" s="60">
        <v>0</v>
      </c>
      <c r="K774" s="60" t="s">
        <v>46</v>
      </c>
      <c r="L774" s="60" t="s">
        <v>47</v>
      </c>
      <c r="M774" s="127">
        <v>1010133</v>
      </c>
      <c r="N774" s="60">
        <v>0</v>
      </c>
      <c r="O774" s="60" t="s">
        <v>48</v>
      </c>
      <c r="P774" s="60">
        <v>1901</v>
      </c>
      <c r="Q774" s="60"/>
      <c r="R774" s="60"/>
      <c r="S774" s="60">
        <v>0</v>
      </c>
      <c r="T774" s="60">
        <v>0</v>
      </c>
      <c r="U774" s="60"/>
      <c r="V774" s="60"/>
      <c r="W774" s="60" t="s">
        <v>47</v>
      </c>
      <c r="X774" s="60"/>
      <c r="Y774" s="60"/>
      <c r="Z774" s="60" t="s">
        <v>980</v>
      </c>
      <c r="AA774" s="60"/>
      <c r="AB774" s="60" t="s">
        <v>980</v>
      </c>
      <c r="AC774" s="60">
        <v>2195</v>
      </c>
      <c r="AD774" s="60" t="s">
        <v>51</v>
      </c>
      <c r="AE774" s="60" t="s">
        <v>51</v>
      </c>
      <c r="AF774" s="60" t="s">
        <v>51</v>
      </c>
      <c r="AG774" s="60"/>
      <c r="AH774" s="60" t="s">
        <v>52</v>
      </c>
      <c r="AI774" s="60">
        <v>0</v>
      </c>
      <c r="AJ774" s="60"/>
      <c r="AK774" s="60"/>
      <c r="AL774" s="60"/>
      <c r="AM774" s="60"/>
      <c r="AN774" s="60" t="s">
        <v>47</v>
      </c>
      <c r="AO774" s="60"/>
      <c r="AP774" s="60" t="s">
        <v>53</v>
      </c>
      <c r="AQ774" s="8">
        <v>0</v>
      </c>
    </row>
    <row r="775" s="8" customFormat="1" spans="1:43">
      <c r="A775" s="60">
        <v>180470</v>
      </c>
      <c r="B775" s="60" t="s">
        <v>1020</v>
      </c>
      <c r="C775" s="60"/>
      <c r="D775" s="60"/>
      <c r="E775" s="60"/>
      <c r="F775" s="60">
        <v>3</v>
      </c>
      <c r="G775" s="60">
        <v>0</v>
      </c>
      <c r="H775" s="60" t="s">
        <v>45</v>
      </c>
      <c r="I775" s="60">
        <v>16</v>
      </c>
      <c r="J775" s="60">
        <v>0</v>
      </c>
      <c r="K775" s="60" t="s">
        <v>46</v>
      </c>
      <c r="L775" s="60" t="s">
        <v>47</v>
      </c>
      <c r="M775" s="127" t="s">
        <v>1021</v>
      </c>
      <c r="N775" s="60">
        <v>0</v>
      </c>
      <c r="O775" s="60" t="s">
        <v>48</v>
      </c>
      <c r="P775" s="60">
        <v>1901</v>
      </c>
      <c r="Q775" s="60"/>
      <c r="R775" s="60"/>
      <c r="S775" s="60">
        <v>0</v>
      </c>
      <c r="T775" s="60">
        <v>0</v>
      </c>
      <c r="U775" s="60"/>
      <c r="V775" s="60"/>
      <c r="W775" s="60" t="s">
        <v>47</v>
      </c>
      <c r="X775" s="60"/>
      <c r="Y775" s="60"/>
      <c r="Z775" s="60" t="s">
        <v>982</v>
      </c>
      <c r="AA775" s="60"/>
      <c r="AB775" s="60" t="s">
        <v>982</v>
      </c>
      <c r="AC775" s="60">
        <v>2195</v>
      </c>
      <c r="AD775" s="60" t="s">
        <v>51</v>
      </c>
      <c r="AE775" s="60" t="s">
        <v>51</v>
      </c>
      <c r="AF775" s="60" t="s">
        <v>51</v>
      </c>
      <c r="AG775" s="60"/>
      <c r="AH775" s="60" t="s">
        <v>52</v>
      </c>
      <c r="AI775" s="60">
        <v>0</v>
      </c>
      <c r="AJ775" s="60"/>
      <c r="AK775" s="60"/>
      <c r="AL775" s="60"/>
      <c r="AM775" s="60"/>
      <c r="AN775" s="60" t="s">
        <v>47</v>
      </c>
      <c r="AO775" s="60"/>
      <c r="AP775" s="60" t="s">
        <v>53</v>
      </c>
      <c r="AQ775" s="8">
        <v>0</v>
      </c>
    </row>
    <row r="776" s="8" customFormat="1" spans="1:43">
      <c r="A776" s="60">
        <v>180471</v>
      </c>
      <c r="B776" s="60" t="s">
        <v>1017</v>
      </c>
      <c r="C776" s="60"/>
      <c r="D776" s="60"/>
      <c r="E776" s="60"/>
      <c r="F776" s="60">
        <v>3</v>
      </c>
      <c r="G776" s="60">
        <v>0</v>
      </c>
      <c r="H776" s="60" t="s">
        <v>45</v>
      </c>
      <c r="I776" s="60">
        <v>16</v>
      </c>
      <c r="J776" s="60">
        <v>0</v>
      </c>
      <c r="K776" s="60" t="s">
        <v>46</v>
      </c>
      <c r="L776" s="60" t="s">
        <v>47</v>
      </c>
      <c r="M776" s="127" t="s">
        <v>1018</v>
      </c>
      <c r="N776" s="60">
        <v>0</v>
      </c>
      <c r="O776" s="60" t="s">
        <v>48</v>
      </c>
      <c r="P776" s="60">
        <v>1901</v>
      </c>
      <c r="Q776" s="60"/>
      <c r="R776" s="60"/>
      <c r="S776" s="60">
        <v>0</v>
      </c>
      <c r="T776" s="60">
        <v>0</v>
      </c>
      <c r="U776" s="60"/>
      <c r="V776" s="60"/>
      <c r="W776" s="60" t="s">
        <v>47</v>
      </c>
      <c r="X776" s="60"/>
      <c r="Y776" s="60"/>
      <c r="Z776" s="60" t="s">
        <v>978</v>
      </c>
      <c r="AA776" s="60"/>
      <c r="AB776" s="60" t="s">
        <v>978</v>
      </c>
      <c r="AC776" s="60">
        <v>2195</v>
      </c>
      <c r="AD776" s="60" t="s">
        <v>51</v>
      </c>
      <c r="AE776" s="60" t="s">
        <v>51</v>
      </c>
      <c r="AF776" s="60" t="s">
        <v>51</v>
      </c>
      <c r="AG776" s="60"/>
      <c r="AH776" s="60" t="s">
        <v>52</v>
      </c>
      <c r="AI776" s="60">
        <v>0</v>
      </c>
      <c r="AJ776" s="60"/>
      <c r="AK776" s="60"/>
      <c r="AL776" s="60"/>
      <c r="AM776" s="60"/>
      <c r="AN776" s="60" t="s">
        <v>47</v>
      </c>
      <c r="AO776" s="60"/>
      <c r="AP776" s="60" t="s">
        <v>53</v>
      </c>
      <c r="AQ776" s="8">
        <v>0</v>
      </c>
    </row>
    <row r="777" s="8" customFormat="1" spans="1:43">
      <c r="A777" s="60">
        <v>180472</v>
      </c>
      <c r="B777" s="60" t="s">
        <v>1019</v>
      </c>
      <c r="C777" s="60"/>
      <c r="D777" s="60"/>
      <c r="E777" s="60"/>
      <c r="F777" s="60">
        <v>3</v>
      </c>
      <c r="G777" s="60">
        <v>0</v>
      </c>
      <c r="H777" s="60" t="s">
        <v>45</v>
      </c>
      <c r="I777" s="60">
        <v>16</v>
      </c>
      <c r="J777" s="60">
        <v>0</v>
      </c>
      <c r="K777" s="60" t="s">
        <v>46</v>
      </c>
      <c r="L777" s="60" t="s">
        <v>47</v>
      </c>
      <c r="M777" s="127">
        <v>1010133</v>
      </c>
      <c r="N777" s="60">
        <v>0</v>
      </c>
      <c r="O777" s="60" t="s">
        <v>48</v>
      </c>
      <c r="P777" s="60">
        <v>1901</v>
      </c>
      <c r="Q777" s="60"/>
      <c r="R777" s="60"/>
      <c r="S777" s="60">
        <v>0</v>
      </c>
      <c r="T777" s="60">
        <v>0</v>
      </c>
      <c r="U777" s="60"/>
      <c r="V777" s="60"/>
      <c r="W777" s="60" t="s">
        <v>47</v>
      </c>
      <c r="X777" s="60"/>
      <c r="Y777" s="60"/>
      <c r="Z777" s="60" t="s">
        <v>980</v>
      </c>
      <c r="AA777" s="60"/>
      <c r="AB777" s="60" t="s">
        <v>980</v>
      </c>
      <c r="AC777" s="60">
        <v>2195</v>
      </c>
      <c r="AD777" s="60" t="s">
        <v>51</v>
      </c>
      <c r="AE777" s="60" t="s">
        <v>51</v>
      </c>
      <c r="AF777" s="60" t="s">
        <v>51</v>
      </c>
      <c r="AG777" s="60"/>
      <c r="AH777" s="60" t="s">
        <v>52</v>
      </c>
      <c r="AI777" s="60">
        <v>0</v>
      </c>
      <c r="AJ777" s="60"/>
      <c r="AK777" s="60"/>
      <c r="AL777" s="60"/>
      <c r="AM777" s="60"/>
      <c r="AN777" s="60" t="s">
        <v>47</v>
      </c>
      <c r="AO777" s="60"/>
      <c r="AP777" s="60" t="s">
        <v>53</v>
      </c>
      <c r="AQ777" s="8">
        <v>0</v>
      </c>
    </row>
    <row r="778" s="8" customFormat="1" spans="1:43">
      <c r="A778" s="60">
        <v>180473</v>
      </c>
      <c r="B778" s="60" t="s">
        <v>1020</v>
      </c>
      <c r="C778" s="60"/>
      <c r="D778" s="60"/>
      <c r="E778" s="60"/>
      <c r="F778" s="60">
        <v>0</v>
      </c>
      <c r="G778" s="60">
        <v>0</v>
      </c>
      <c r="H778" s="60" t="s">
        <v>45</v>
      </c>
      <c r="I778" s="60">
        <v>16</v>
      </c>
      <c r="J778" s="60">
        <v>0</v>
      </c>
      <c r="K778" s="60" t="s">
        <v>46</v>
      </c>
      <c r="L778" s="60" t="s">
        <v>47</v>
      </c>
      <c r="M778" s="127" t="s">
        <v>1021</v>
      </c>
      <c r="N778" s="60">
        <v>0</v>
      </c>
      <c r="O778" s="60" t="s">
        <v>48</v>
      </c>
      <c r="P778" s="60">
        <v>1901</v>
      </c>
      <c r="Q778" s="60"/>
      <c r="R778" s="60"/>
      <c r="S778" s="60">
        <v>0</v>
      </c>
      <c r="T778" s="60">
        <v>0</v>
      </c>
      <c r="U778" s="60"/>
      <c r="V778" s="60"/>
      <c r="W778" s="60" t="s">
        <v>47</v>
      </c>
      <c r="X778" s="60"/>
      <c r="Y778" s="60"/>
      <c r="Z778" s="60" t="s">
        <v>982</v>
      </c>
      <c r="AA778" s="60"/>
      <c r="AB778" s="60" t="s">
        <v>982</v>
      </c>
      <c r="AC778" s="60">
        <v>2195</v>
      </c>
      <c r="AD778" s="60" t="s">
        <v>51</v>
      </c>
      <c r="AE778" s="60" t="s">
        <v>51</v>
      </c>
      <c r="AF778" s="60" t="s">
        <v>51</v>
      </c>
      <c r="AG778" s="60"/>
      <c r="AH778" s="60" t="s">
        <v>52</v>
      </c>
      <c r="AI778" s="60">
        <v>0</v>
      </c>
      <c r="AJ778" s="60"/>
      <c r="AK778" s="60"/>
      <c r="AL778" s="60"/>
      <c r="AM778" s="60"/>
      <c r="AN778" s="60" t="s">
        <v>47</v>
      </c>
      <c r="AO778" s="60"/>
      <c r="AP778" s="60" t="s">
        <v>53</v>
      </c>
      <c r="AQ778" s="8">
        <v>0</v>
      </c>
    </row>
    <row r="779" s="8" customFormat="1" spans="1:43">
      <c r="A779" s="60">
        <v>180474</v>
      </c>
      <c r="B779" s="60" t="s">
        <v>1022</v>
      </c>
      <c r="C779" s="60"/>
      <c r="D779" s="60"/>
      <c r="E779" s="60"/>
      <c r="F779" s="60">
        <v>2</v>
      </c>
      <c r="G779" s="60">
        <v>0</v>
      </c>
      <c r="H779" s="60">
        <v>1.35</v>
      </c>
      <c r="I779" s="60">
        <v>16</v>
      </c>
      <c r="J779" s="60">
        <v>0</v>
      </c>
      <c r="K779" s="60" t="s">
        <v>46</v>
      </c>
      <c r="L779" s="60" t="s">
        <v>47</v>
      </c>
      <c r="M779" s="141">
        <v>1010169</v>
      </c>
      <c r="N779" s="60">
        <v>0</v>
      </c>
      <c r="O779" s="60" t="s">
        <v>48</v>
      </c>
      <c r="P779" s="60">
        <v>1901</v>
      </c>
      <c r="Q779" s="60"/>
      <c r="R779" s="60"/>
      <c r="S779" s="60">
        <v>0</v>
      </c>
      <c r="T779" s="60">
        <v>0</v>
      </c>
      <c r="U779" s="60"/>
      <c r="V779" s="60"/>
      <c r="W779" s="60" t="s">
        <v>47</v>
      </c>
      <c r="X779" s="60"/>
      <c r="Y779" s="60"/>
      <c r="Z779" s="60" t="s">
        <v>984</v>
      </c>
      <c r="AA779" s="60"/>
      <c r="AB779" s="60" t="s">
        <v>984</v>
      </c>
      <c r="AC779" s="60">
        <v>2195</v>
      </c>
      <c r="AD779" s="60" t="s">
        <v>51</v>
      </c>
      <c r="AE779" s="60" t="s">
        <v>51</v>
      </c>
      <c r="AF779" s="60" t="s">
        <v>51</v>
      </c>
      <c r="AG779" s="60"/>
      <c r="AH779" s="60" t="s">
        <v>52</v>
      </c>
      <c r="AI779" s="60">
        <v>0</v>
      </c>
      <c r="AJ779" s="60"/>
      <c r="AK779" s="60"/>
      <c r="AL779" s="60"/>
      <c r="AM779" s="60"/>
      <c r="AN779" s="60" t="s">
        <v>47</v>
      </c>
      <c r="AO779" s="60"/>
      <c r="AP779" s="60" t="s">
        <v>53</v>
      </c>
      <c r="AQ779" s="8">
        <v>0</v>
      </c>
    </row>
    <row r="780" s="8" customFormat="1" spans="1:43">
      <c r="A780" s="60">
        <v>180475</v>
      </c>
      <c r="B780" s="60" t="s">
        <v>1023</v>
      </c>
      <c r="C780" s="60"/>
      <c r="D780" s="60"/>
      <c r="E780" s="60"/>
      <c r="F780" s="60">
        <v>2</v>
      </c>
      <c r="G780" s="60">
        <v>0</v>
      </c>
      <c r="H780" s="60">
        <v>1.35</v>
      </c>
      <c r="I780" s="60">
        <v>16</v>
      </c>
      <c r="J780" s="60">
        <v>0</v>
      </c>
      <c r="K780" s="60" t="s">
        <v>46</v>
      </c>
      <c r="L780" s="60" t="s">
        <v>47</v>
      </c>
      <c r="M780" s="141">
        <v>1030011</v>
      </c>
      <c r="N780" s="60">
        <v>0</v>
      </c>
      <c r="O780" s="60" t="s">
        <v>48</v>
      </c>
      <c r="P780" s="60">
        <v>1901</v>
      </c>
      <c r="Q780" s="60"/>
      <c r="R780" s="60"/>
      <c r="S780" s="60">
        <v>0</v>
      </c>
      <c r="T780" s="60">
        <v>0</v>
      </c>
      <c r="U780" s="60"/>
      <c r="V780" s="60"/>
      <c r="W780" s="60" t="s">
        <v>47</v>
      </c>
      <c r="X780" s="60"/>
      <c r="Y780" s="60"/>
      <c r="Z780" s="60" t="s">
        <v>986</v>
      </c>
      <c r="AA780" s="60"/>
      <c r="AB780" s="60" t="s">
        <v>986</v>
      </c>
      <c r="AC780" s="60">
        <v>2195</v>
      </c>
      <c r="AD780" s="60" t="s">
        <v>51</v>
      </c>
      <c r="AE780" s="60" t="s">
        <v>51</v>
      </c>
      <c r="AF780" s="60" t="s">
        <v>51</v>
      </c>
      <c r="AG780" s="60"/>
      <c r="AH780" s="60" t="s">
        <v>52</v>
      </c>
      <c r="AI780" s="60">
        <v>0</v>
      </c>
      <c r="AJ780" s="60"/>
      <c r="AK780" s="60"/>
      <c r="AL780" s="60"/>
      <c r="AM780" s="60"/>
      <c r="AN780" s="60" t="s">
        <v>47</v>
      </c>
      <c r="AO780" s="60"/>
      <c r="AP780" s="60" t="s">
        <v>53</v>
      </c>
      <c r="AQ780" s="8">
        <v>0</v>
      </c>
    </row>
    <row r="781" s="8" customFormat="1" spans="1:43">
      <c r="A781" s="60">
        <v>180476</v>
      </c>
      <c r="B781" s="60" t="s">
        <v>1024</v>
      </c>
      <c r="C781" s="60"/>
      <c r="D781" s="60"/>
      <c r="E781" s="60"/>
      <c r="F781" s="60">
        <v>2</v>
      </c>
      <c r="G781" s="60">
        <v>0</v>
      </c>
      <c r="H781" s="60">
        <v>1.35</v>
      </c>
      <c r="I781" s="60">
        <v>16</v>
      </c>
      <c r="J781" s="60">
        <v>0</v>
      </c>
      <c r="K781" s="60" t="s">
        <v>46</v>
      </c>
      <c r="L781" s="60" t="s">
        <v>47</v>
      </c>
      <c r="M781" s="127">
        <v>1010130</v>
      </c>
      <c r="N781" s="60">
        <v>0</v>
      </c>
      <c r="O781" s="60" t="s">
        <v>48</v>
      </c>
      <c r="P781" s="60">
        <v>1901</v>
      </c>
      <c r="Q781" s="60"/>
      <c r="R781" s="60"/>
      <c r="S781" s="60">
        <v>0</v>
      </c>
      <c r="T781" s="60">
        <v>0</v>
      </c>
      <c r="U781" s="60"/>
      <c r="V781" s="60"/>
      <c r="W781" s="60" t="s">
        <v>47</v>
      </c>
      <c r="X781" s="60"/>
      <c r="Y781" s="60"/>
      <c r="Z781" s="60" t="s">
        <v>988</v>
      </c>
      <c r="AA781" s="60"/>
      <c r="AB781" s="60" t="s">
        <v>988</v>
      </c>
      <c r="AC781" s="60">
        <v>2195</v>
      </c>
      <c r="AD781" s="60" t="s">
        <v>51</v>
      </c>
      <c r="AE781" s="60" t="s">
        <v>51</v>
      </c>
      <c r="AF781" s="60" t="s">
        <v>51</v>
      </c>
      <c r="AG781" s="60"/>
      <c r="AH781" s="60" t="s">
        <v>52</v>
      </c>
      <c r="AI781" s="60">
        <v>0</v>
      </c>
      <c r="AJ781" s="60"/>
      <c r="AK781" s="60"/>
      <c r="AL781" s="60"/>
      <c r="AM781" s="60"/>
      <c r="AN781" s="60" t="s">
        <v>47</v>
      </c>
      <c r="AO781" s="60"/>
      <c r="AP781" s="60" t="s">
        <v>53</v>
      </c>
      <c r="AQ781" s="8">
        <v>0</v>
      </c>
    </row>
    <row r="782" s="8" customFormat="1" spans="1:43">
      <c r="A782" s="60">
        <v>180477</v>
      </c>
      <c r="B782" s="60" t="s">
        <v>1025</v>
      </c>
      <c r="C782" s="60"/>
      <c r="D782" s="60"/>
      <c r="E782" s="60"/>
      <c r="F782" s="60">
        <v>3</v>
      </c>
      <c r="G782" s="60">
        <v>0</v>
      </c>
      <c r="H782" s="60">
        <v>1.35</v>
      </c>
      <c r="I782" s="60">
        <v>16</v>
      </c>
      <c r="J782" s="60">
        <v>0</v>
      </c>
      <c r="K782" s="60" t="s">
        <v>46</v>
      </c>
      <c r="L782" s="60" t="s">
        <v>47</v>
      </c>
      <c r="M782" s="141">
        <v>1020117</v>
      </c>
      <c r="N782" s="60">
        <v>0</v>
      </c>
      <c r="O782" s="60" t="s">
        <v>48</v>
      </c>
      <c r="P782" s="60">
        <v>1901</v>
      </c>
      <c r="Q782" s="60"/>
      <c r="R782" s="60"/>
      <c r="S782" s="60">
        <v>0</v>
      </c>
      <c r="T782" s="60">
        <v>0</v>
      </c>
      <c r="U782" s="60"/>
      <c r="V782" s="60"/>
      <c r="W782" s="60" t="s">
        <v>47</v>
      </c>
      <c r="X782" s="60"/>
      <c r="Y782" s="60"/>
      <c r="Z782" s="60" t="s">
        <v>984</v>
      </c>
      <c r="AA782" s="60"/>
      <c r="AB782" s="60" t="s">
        <v>984</v>
      </c>
      <c r="AC782" s="60">
        <v>2195</v>
      </c>
      <c r="AD782" s="60" t="s">
        <v>51</v>
      </c>
      <c r="AE782" s="60" t="s">
        <v>51</v>
      </c>
      <c r="AF782" s="60" t="s">
        <v>51</v>
      </c>
      <c r="AG782" s="60"/>
      <c r="AH782" s="60" t="s">
        <v>52</v>
      </c>
      <c r="AI782" s="60">
        <v>0</v>
      </c>
      <c r="AJ782" s="60"/>
      <c r="AK782" s="60"/>
      <c r="AL782" s="60"/>
      <c r="AM782" s="60"/>
      <c r="AN782" s="60" t="s">
        <v>47</v>
      </c>
      <c r="AO782" s="60"/>
      <c r="AP782" s="60" t="s">
        <v>53</v>
      </c>
      <c r="AQ782" s="8">
        <v>0</v>
      </c>
    </row>
    <row r="783" s="8" customFormat="1" spans="1:43">
      <c r="A783" s="60">
        <v>180478</v>
      </c>
      <c r="B783" s="60" t="s">
        <v>1026</v>
      </c>
      <c r="C783" s="60"/>
      <c r="D783" s="60"/>
      <c r="E783" s="60"/>
      <c r="F783" s="60">
        <v>3</v>
      </c>
      <c r="G783" s="60">
        <v>0</v>
      </c>
      <c r="H783" s="60">
        <v>1.35</v>
      </c>
      <c r="I783" s="60">
        <v>16</v>
      </c>
      <c r="J783" s="60">
        <v>0</v>
      </c>
      <c r="K783" s="60" t="s">
        <v>46</v>
      </c>
      <c r="L783" s="60" t="s">
        <v>47</v>
      </c>
      <c r="M783" s="141" t="s">
        <v>802</v>
      </c>
      <c r="N783" s="60">
        <v>0</v>
      </c>
      <c r="O783" s="60" t="s">
        <v>48</v>
      </c>
      <c r="P783" s="60">
        <v>1901</v>
      </c>
      <c r="Q783" s="60"/>
      <c r="R783" s="60"/>
      <c r="S783" s="60">
        <v>0</v>
      </c>
      <c r="T783" s="60">
        <v>0</v>
      </c>
      <c r="U783" s="60"/>
      <c r="V783" s="60"/>
      <c r="W783" s="60" t="s">
        <v>47</v>
      </c>
      <c r="X783" s="60"/>
      <c r="Y783" s="60"/>
      <c r="Z783" s="60" t="s">
        <v>986</v>
      </c>
      <c r="AA783" s="60"/>
      <c r="AB783" s="60" t="s">
        <v>986</v>
      </c>
      <c r="AC783" s="60">
        <v>2195</v>
      </c>
      <c r="AD783" s="60" t="s">
        <v>51</v>
      </c>
      <c r="AE783" s="60" t="s">
        <v>51</v>
      </c>
      <c r="AF783" s="60" t="s">
        <v>51</v>
      </c>
      <c r="AG783" s="60"/>
      <c r="AH783" s="60" t="s">
        <v>52</v>
      </c>
      <c r="AI783" s="60">
        <v>0</v>
      </c>
      <c r="AJ783" s="60"/>
      <c r="AK783" s="60"/>
      <c r="AL783" s="60"/>
      <c r="AM783" s="60"/>
      <c r="AN783" s="60" t="s">
        <v>47</v>
      </c>
      <c r="AO783" s="60"/>
      <c r="AP783" s="60" t="s">
        <v>53</v>
      </c>
      <c r="AQ783" s="8">
        <v>0</v>
      </c>
    </row>
    <row r="784" s="8" customFormat="1" spans="1:43">
      <c r="A784" s="60">
        <v>180479</v>
      </c>
      <c r="B784" s="60" t="s">
        <v>1027</v>
      </c>
      <c r="C784" s="60"/>
      <c r="D784" s="60"/>
      <c r="E784" s="60"/>
      <c r="F784" s="60">
        <v>3</v>
      </c>
      <c r="G784" s="60">
        <v>0</v>
      </c>
      <c r="H784" s="60">
        <v>1.35</v>
      </c>
      <c r="I784" s="60">
        <v>16</v>
      </c>
      <c r="J784" s="60">
        <v>0</v>
      </c>
      <c r="K784" s="60" t="s">
        <v>46</v>
      </c>
      <c r="L784" s="60" t="s">
        <v>47</v>
      </c>
      <c r="M784" s="127">
        <v>1010151</v>
      </c>
      <c r="N784" s="60">
        <v>0</v>
      </c>
      <c r="O784" s="60" t="s">
        <v>48</v>
      </c>
      <c r="P784" s="60">
        <v>1901</v>
      </c>
      <c r="Q784" s="60"/>
      <c r="R784" s="60"/>
      <c r="S784" s="60">
        <v>0</v>
      </c>
      <c r="T784" s="60">
        <v>0</v>
      </c>
      <c r="U784" s="60"/>
      <c r="V784" s="60"/>
      <c r="W784" s="60" t="s">
        <v>47</v>
      </c>
      <c r="X784" s="60"/>
      <c r="Y784" s="60"/>
      <c r="Z784" s="60" t="s">
        <v>988</v>
      </c>
      <c r="AA784" s="60"/>
      <c r="AB784" s="60" t="s">
        <v>988</v>
      </c>
      <c r="AC784" s="60">
        <v>2195</v>
      </c>
      <c r="AD784" s="60" t="s">
        <v>51</v>
      </c>
      <c r="AE784" s="60" t="s">
        <v>51</v>
      </c>
      <c r="AF784" s="60" t="s">
        <v>51</v>
      </c>
      <c r="AG784" s="60"/>
      <c r="AH784" s="60" t="s">
        <v>52</v>
      </c>
      <c r="AI784" s="60">
        <v>0</v>
      </c>
      <c r="AJ784" s="60"/>
      <c r="AK784" s="60"/>
      <c r="AL784" s="60"/>
      <c r="AM784" s="60"/>
      <c r="AN784" s="60" t="s">
        <v>47</v>
      </c>
      <c r="AO784" s="60"/>
      <c r="AP784" s="60" t="s">
        <v>53</v>
      </c>
      <c r="AQ784" s="8">
        <v>0</v>
      </c>
    </row>
    <row r="785" s="8" customFormat="1" spans="1:43">
      <c r="A785" s="60">
        <v>180480</v>
      </c>
      <c r="B785" s="60" t="s">
        <v>1028</v>
      </c>
      <c r="C785" s="60"/>
      <c r="D785" s="60"/>
      <c r="E785" s="60"/>
      <c r="F785" s="60">
        <v>0</v>
      </c>
      <c r="G785" s="60">
        <v>0</v>
      </c>
      <c r="H785" s="60">
        <v>1.35</v>
      </c>
      <c r="I785" s="60">
        <v>16</v>
      </c>
      <c r="J785" s="60">
        <v>0</v>
      </c>
      <c r="K785" s="60" t="s">
        <v>46</v>
      </c>
      <c r="L785" s="60" t="s">
        <v>47</v>
      </c>
      <c r="M785" s="142">
        <v>1010137</v>
      </c>
      <c r="N785" s="60">
        <v>0</v>
      </c>
      <c r="O785" s="60" t="s">
        <v>48</v>
      </c>
      <c r="P785" s="60">
        <v>1901</v>
      </c>
      <c r="Q785" s="60"/>
      <c r="R785" s="60"/>
      <c r="S785" s="60">
        <v>0</v>
      </c>
      <c r="T785" s="60">
        <v>0</v>
      </c>
      <c r="U785" s="60"/>
      <c r="V785" s="60"/>
      <c r="W785" s="60" t="s">
        <v>47</v>
      </c>
      <c r="X785" s="60"/>
      <c r="Y785" s="60"/>
      <c r="Z785" s="60" t="s">
        <v>984</v>
      </c>
      <c r="AA785" s="60"/>
      <c r="AB785" s="60" t="s">
        <v>984</v>
      </c>
      <c r="AC785" s="60">
        <v>2195</v>
      </c>
      <c r="AD785" s="60" t="s">
        <v>51</v>
      </c>
      <c r="AE785" s="60" t="s">
        <v>51</v>
      </c>
      <c r="AF785" s="60" t="s">
        <v>51</v>
      </c>
      <c r="AG785" s="60"/>
      <c r="AH785" s="60" t="s">
        <v>52</v>
      </c>
      <c r="AI785" s="60">
        <v>0</v>
      </c>
      <c r="AJ785" s="60"/>
      <c r="AK785" s="60"/>
      <c r="AL785" s="60"/>
      <c r="AM785" s="60"/>
      <c r="AN785" s="60" t="s">
        <v>47</v>
      </c>
      <c r="AO785" s="60"/>
      <c r="AP785" s="60" t="s">
        <v>53</v>
      </c>
      <c r="AQ785" s="8">
        <v>0</v>
      </c>
    </row>
    <row r="786" s="8" customFormat="1" spans="1:43">
      <c r="A786" s="60">
        <v>180481</v>
      </c>
      <c r="B786" s="60" t="s">
        <v>1029</v>
      </c>
      <c r="C786" s="60"/>
      <c r="D786" s="60"/>
      <c r="E786" s="60"/>
      <c r="F786" s="60">
        <v>0</v>
      </c>
      <c r="G786" s="60">
        <v>0</v>
      </c>
      <c r="H786" s="60">
        <v>1.35</v>
      </c>
      <c r="I786" s="60">
        <v>16</v>
      </c>
      <c r="J786" s="60">
        <v>0</v>
      </c>
      <c r="K786" s="60" t="s">
        <v>46</v>
      </c>
      <c r="L786" s="60" t="s">
        <v>47</v>
      </c>
      <c r="M786" s="124" t="s">
        <v>781</v>
      </c>
      <c r="N786" s="60">
        <v>0</v>
      </c>
      <c r="O786" s="60" t="s">
        <v>48</v>
      </c>
      <c r="P786" s="60">
        <v>1901</v>
      </c>
      <c r="Q786" s="60"/>
      <c r="R786" s="60"/>
      <c r="S786" s="60">
        <v>0</v>
      </c>
      <c r="T786" s="60">
        <v>0</v>
      </c>
      <c r="U786" s="60"/>
      <c r="V786" s="60"/>
      <c r="W786" s="60" t="s">
        <v>47</v>
      </c>
      <c r="X786" s="60"/>
      <c r="Y786" s="60"/>
      <c r="Z786" s="60" t="s">
        <v>986</v>
      </c>
      <c r="AA786" s="60"/>
      <c r="AB786" s="60" t="s">
        <v>986</v>
      </c>
      <c r="AC786" s="60">
        <v>2195</v>
      </c>
      <c r="AD786" s="60" t="s">
        <v>51</v>
      </c>
      <c r="AE786" s="60" t="s">
        <v>51</v>
      </c>
      <c r="AF786" s="60" t="s">
        <v>51</v>
      </c>
      <c r="AG786" s="60"/>
      <c r="AH786" s="60" t="s">
        <v>52</v>
      </c>
      <c r="AI786" s="60">
        <v>0</v>
      </c>
      <c r="AJ786" s="60"/>
      <c r="AK786" s="60"/>
      <c r="AL786" s="60"/>
      <c r="AM786" s="60"/>
      <c r="AN786" s="60" t="s">
        <v>47</v>
      </c>
      <c r="AO786" s="60"/>
      <c r="AP786" s="60" t="s">
        <v>53</v>
      </c>
      <c r="AQ786" s="8">
        <v>0</v>
      </c>
    </row>
    <row r="787" s="8" customFormat="1" spans="1:43">
      <c r="A787" s="60">
        <v>180482</v>
      </c>
      <c r="B787" s="60" t="s">
        <v>1030</v>
      </c>
      <c r="C787" s="60"/>
      <c r="D787" s="60"/>
      <c r="E787" s="60"/>
      <c r="F787" s="60">
        <v>0</v>
      </c>
      <c r="G787" s="60">
        <v>0</v>
      </c>
      <c r="H787" s="60">
        <v>1.35</v>
      </c>
      <c r="I787" s="60">
        <v>16</v>
      </c>
      <c r="J787" s="60">
        <v>0</v>
      </c>
      <c r="K787" s="60" t="s">
        <v>46</v>
      </c>
      <c r="L787" s="60" t="s">
        <v>47</v>
      </c>
      <c r="M787" s="143">
        <v>1020116</v>
      </c>
      <c r="N787" s="60">
        <v>0</v>
      </c>
      <c r="O787" s="60" t="s">
        <v>48</v>
      </c>
      <c r="P787" s="60">
        <v>1901</v>
      </c>
      <c r="Q787" s="60"/>
      <c r="R787" s="60"/>
      <c r="S787" s="60">
        <v>0</v>
      </c>
      <c r="T787" s="60">
        <v>0</v>
      </c>
      <c r="U787" s="60"/>
      <c r="V787" s="60"/>
      <c r="W787" s="60" t="s">
        <v>47</v>
      </c>
      <c r="X787" s="60"/>
      <c r="Y787" s="60"/>
      <c r="Z787" s="60" t="s">
        <v>988</v>
      </c>
      <c r="AA787" s="60"/>
      <c r="AB787" s="60" t="s">
        <v>988</v>
      </c>
      <c r="AC787" s="60">
        <v>2195</v>
      </c>
      <c r="AD787" s="60" t="s">
        <v>51</v>
      </c>
      <c r="AE787" s="60" t="s">
        <v>51</v>
      </c>
      <c r="AF787" s="60" t="s">
        <v>51</v>
      </c>
      <c r="AG787" s="60"/>
      <c r="AH787" s="60" t="s">
        <v>52</v>
      </c>
      <c r="AI787" s="60">
        <v>0</v>
      </c>
      <c r="AJ787" s="60"/>
      <c r="AK787" s="60"/>
      <c r="AL787" s="60"/>
      <c r="AM787" s="60"/>
      <c r="AN787" s="60" t="s">
        <v>47</v>
      </c>
      <c r="AO787" s="60"/>
      <c r="AP787" s="60" t="s">
        <v>53</v>
      </c>
      <c r="AQ787" s="8">
        <v>0</v>
      </c>
    </row>
    <row r="788" s="8" customFormat="1" spans="1:43">
      <c r="A788" s="60">
        <v>180483</v>
      </c>
      <c r="B788" s="60" t="s">
        <v>1031</v>
      </c>
      <c r="C788" s="60"/>
      <c r="D788" s="60"/>
      <c r="E788" s="60"/>
      <c r="F788" s="60">
        <v>0</v>
      </c>
      <c r="G788" s="60">
        <v>0</v>
      </c>
      <c r="H788" s="60">
        <v>1.5</v>
      </c>
      <c r="I788" s="60">
        <v>16</v>
      </c>
      <c r="J788" s="60">
        <v>0</v>
      </c>
      <c r="K788" s="60" t="s">
        <v>46</v>
      </c>
      <c r="L788" s="60" t="s">
        <v>47</v>
      </c>
      <c r="M788" s="144">
        <v>1060106</v>
      </c>
      <c r="N788" s="60">
        <v>0</v>
      </c>
      <c r="O788" s="60" t="s">
        <v>48</v>
      </c>
      <c r="P788" s="60">
        <v>1901</v>
      </c>
      <c r="Q788" s="60"/>
      <c r="R788" s="60"/>
      <c r="S788" s="60">
        <v>0</v>
      </c>
      <c r="T788" s="60">
        <v>0</v>
      </c>
      <c r="U788" s="60"/>
      <c r="V788" s="60"/>
      <c r="W788" s="60" t="s">
        <v>47</v>
      </c>
      <c r="X788" s="60"/>
      <c r="Y788" s="60"/>
      <c r="Z788" s="60" t="s">
        <v>997</v>
      </c>
      <c r="AA788" s="60"/>
      <c r="AB788" s="60" t="s">
        <v>997</v>
      </c>
      <c r="AC788" s="60">
        <v>2195</v>
      </c>
      <c r="AD788" s="60" t="s">
        <v>51</v>
      </c>
      <c r="AE788" s="60" t="s">
        <v>51</v>
      </c>
      <c r="AF788" s="60" t="s">
        <v>51</v>
      </c>
      <c r="AG788" s="60"/>
      <c r="AH788" s="60" t="s">
        <v>52</v>
      </c>
      <c r="AI788" s="60">
        <v>0</v>
      </c>
      <c r="AJ788" s="60"/>
      <c r="AK788" s="60"/>
      <c r="AL788" s="60"/>
      <c r="AM788" s="60"/>
      <c r="AN788" s="60" t="s">
        <v>47</v>
      </c>
      <c r="AO788" s="60"/>
      <c r="AP788" s="60" t="s">
        <v>53</v>
      </c>
      <c r="AQ788" s="8">
        <v>0</v>
      </c>
    </row>
    <row r="789" s="2" customFormat="1" spans="1:43">
      <c r="A789" s="37">
        <v>180490</v>
      </c>
      <c r="B789" s="11" t="s">
        <v>1032</v>
      </c>
      <c r="C789" s="11">
        <v>2</v>
      </c>
      <c r="D789" s="11">
        <v>3</v>
      </c>
      <c r="E789" s="11"/>
      <c r="F789" s="11">
        <v>0</v>
      </c>
      <c r="G789" s="11">
        <v>0</v>
      </c>
      <c r="H789" s="11" t="s">
        <v>45</v>
      </c>
      <c r="I789" s="11">
        <v>7</v>
      </c>
      <c r="J789" s="11">
        <v>0</v>
      </c>
      <c r="K789" s="11" t="s">
        <v>46</v>
      </c>
      <c r="L789" s="47" t="s">
        <v>47</v>
      </c>
      <c r="M789" s="11">
        <v>1010118</v>
      </c>
      <c r="N789" s="11">
        <v>0</v>
      </c>
      <c r="O789" s="47" t="s">
        <v>48</v>
      </c>
      <c r="P789" s="11">
        <v>0</v>
      </c>
      <c r="Q789" s="11"/>
      <c r="R789" s="11"/>
      <c r="S789" s="11">
        <v>0</v>
      </c>
      <c r="T789" s="11">
        <v>0</v>
      </c>
      <c r="U789" s="11"/>
      <c r="V789" s="11"/>
      <c r="W789" s="47" t="s">
        <v>47</v>
      </c>
      <c r="X789" s="47"/>
      <c r="Y789" s="47"/>
      <c r="Z789" s="11" t="s">
        <v>768</v>
      </c>
      <c r="AA789" s="11"/>
      <c r="AB789" s="11" t="s">
        <v>769</v>
      </c>
      <c r="AC789" s="98">
        <v>2775</v>
      </c>
      <c r="AD789" s="11" t="s">
        <v>51</v>
      </c>
      <c r="AE789" s="11" t="s">
        <v>51</v>
      </c>
      <c r="AF789" s="11" t="s">
        <v>51</v>
      </c>
      <c r="AG789" s="11"/>
      <c r="AH789" s="47" t="s">
        <v>52</v>
      </c>
      <c r="AI789" s="11">
        <v>1</v>
      </c>
      <c r="AJ789" s="11"/>
      <c r="AK789" s="11"/>
      <c r="AL789" s="11"/>
      <c r="AM789" s="11"/>
      <c r="AN789" s="47" t="s">
        <v>47</v>
      </c>
      <c r="AO789" s="11">
        <v>3170</v>
      </c>
      <c r="AP789" s="11" t="s">
        <v>53</v>
      </c>
      <c r="AQ789" s="2">
        <v>0</v>
      </c>
    </row>
    <row r="790" s="2" customFormat="1" spans="1:43">
      <c r="A790" s="37">
        <v>180491</v>
      </c>
      <c r="B790" s="11" t="s">
        <v>1033</v>
      </c>
      <c r="C790" s="11">
        <v>2</v>
      </c>
      <c r="D790" s="11">
        <v>4</v>
      </c>
      <c r="E790" s="11"/>
      <c r="F790" s="11">
        <v>0</v>
      </c>
      <c r="G790" s="11">
        <v>0</v>
      </c>
      <c r="H790" s="11" t="s">
        <v>45</v>
      </c>
      <c r="I790" s="11">
        <v>7</v>
      </c>
      <c r="J790" s="11">
        <v>0</v>
      </c>
      <c r="K790" s="11" t="s">
        <v>46</v>
      </c>
      <c r="L790" s="47" t="s">
        <v>47</v>
      </c>
      <c r="M790" s="11">
        <v>1030001</v>
      </c>
      <c r="N790" s="11">
        <v>0</v>
      </c>
      <c r="O790" s="47" t="s">
        <v>48</v>
      </c>
      <c r="P790" s="11">
        <v>0</v>
      </c>
      <c r="Q790" s="11"/>
      <c r="R790" s="11"/>
      <c r="S790" s="11">
        <v>0</v>
      </c>
      <c r="T790" s="11">
        <v>0</v>
      </c>
      <c r="U790" s="11"/>
      <c r="V790" s="11"/>
      <c r="W790" s="47" t="s">
        <v>47</v>
      </c>
      <c r="X790" s="47"/>
      <c r="Y790" s="47"/>
      <c r="Z790" s="11" t="s">
        <v>1034</v>
      </c>
      <c r="AA790" s="11"/>
      <c r="AB790" s="11" t="s">
        <v>1035</v>
      </c>
      <c r="AC790" s="98"/>
      <c r="AD790" s="11" t="s">
        <v>51</v>
      </c>
      <c r="AE790" s="11" t="s">
        <v>51</v>
      </c>
      <c r="AF790" s="11" t="s">
        <v>51</v>
      </c>
      <c r="AG790" s="11"/>
      <c r="AH790" s="47" t="s">
        <v>52</v>
      </c>
      <c r="AI790" s="11">
        <v>1</v>
      </c>
      <c r="AJ790" s="11"/>
      <c r="AK790" s="11"/>
      <c r="AL790" s="11"/>
      <c r="AM790" s="11"/>
      <c r="AN790" s="47" t="s">
        <v>47</v>
      </c>
      <c r="AO790" s="11">
        <v>3171</v>
      </c>
      <c r="AP790" s="11" t="s">
        <v>53</v>
      </c>
      <c r="AQ790" s="2">
        <v>0</v>
      </c>
    </row>
    <row r="791" s="2" customFormat="1" ht="12.75" spans="1:43">
      <c r="A791" s="11">
        <v>180501</v>
      </c>
      <c r="B791" s="11" t="s">
        <v>1036</v>
      </c>
      <c r="C791" s="11"/>
      <c r="D791" s="11"/>
      <c r="E791" s="11"/>
      <c r="F791" s="11">
        <v>0</v>
      </c>
      <c r="G791" s="11">
        <v>0</v>
      </c>
      <c r="H791" s="11" t="s">
        <v>45</v>
      </c>
      <c r="I791" s="11">
        <v>7</v>
      </c>
      <c r="J791" s="11">
        <v>0</v>
      </c>
      <c r="K791" s="11" t="s">
        <v>46</v>
      </c>
      <c r="L791" s="47" t="s">
        <v>47</v>
      </c>
      <c r="M791" s="11" t="s">
        <v>316</v>
      </c>
      <c r="N791" s="11">
        <v>0</v>
      </c>
      <c r="O791" s="47" t="s">
        <v>48</v>
      </c>
      <c r="P791" s="11">
        <v>1801</v>
      </c>
      <c r="Q791" s="11"/>
      <c r="R791" s="11"/>
      <c r="S791" s="11">
        <v>0</v>
      </c>
      <c r="T791" s="11">
        <v>0</v>
      </c>
      <c r="U791" s="11"/>
      <c r="V791" s="11"/>
      <c r="W791" s="47" t="s">
        <v>47</v>
      </c>
      <c r="X791" s="47"/>
      <c r="Y791" s="47"/>
      <c r="Z791" s="11"/>
      <c r="AA791" s="11"/>
      <c r="AB791" s="11" t="s">
        <v>1036</v>
      </c>
      <c r="AC791" s="11">
        <v>2141</v>
      </c>
      <c r="AD791" s="11" t="s">
        <v>51</v>
      </c>
      <c r="AE791" s="11" t="s">
        <v>51</v>
      </c>
      <c r="AF791" s="11" t="s">
        <v>51</v>
      </c>
      <c r="AG791" s="11"/>
      <c r="AH791" s="47" t="s">
        <v>52</v>
      </c>
      <c r="AI791" s="11">
        <v>1</v>
      </c>
      <c r="AJ791" s="11"/>
      <c r="AK791" s="11"/>
      <c r="AL791" s="11"/>
      <c r="AM791" s="11"/>
      <c r="AN791" s="47" t="s">
        <v>47</v>
      </c>
      <c r="AO791" s="152">
        <v>2801</v>
      </c>
      <c r="AP791" s="11" t="s">
        <v>53</v>
      </c>
      <c r="AQ791" s="2">
        <v>0</v>
      </c>
    </row>
    <row r="792" s="3" customFormat="1" ht="12.75" spans="1:43">
      <c r="A792" s="12">
        <v>180502</v>
      </c>
      <c r="B792" s="12" t="s">
        <v>1037</v>
      </c>
      <c r="C792" s="12"/>
      <c r="D792" s="12"/>
      <c r="E792" s="12"/>
      <c r="F792" s="12">
        <v>0</v>
      </c>
      <c r="G792" s="12">
        <v>0</v>
      </c>
      <c r="H792" s="12" t="s">
        <v>45</v>
      </c>
      <c r="I792" s="12">
        <v>7</v>
      </c>
      <c r="J792" s="12">
        <v>0</v>
      </c>
      <c r="K792" s="12" t="s">
        <v>46</v>
      </c>
      <c r="L792" s="47" t="s">
        <v>47</v>
      </c>
      <c r="M792" s="12" t="s">
        <v>802</v>
      </c>
      <c r="N792" s="12">
        <v>0</v>
      </c>
      <c r="O792" s="47" t="s">
        <v>48</v>
      </c>
      <c r="P792" s="12">
        <v>1801</v>
      </c>
      <c r="Q792" s="12"/>
      <c r="R792" s="12"/>
      <c r="S792" s="12">
        <v>0</v>
      </c>
      <c r="T792" s="12">
        <v>0</v>
      </c>
      <c r="U792" s="12"/>
      <c r="V792" s="12"/>
      <c r="W792" s="47" t="s">
        <v>47</v>
      </c>
      <c r="X792" s="47"/>
      <c r="Y792" s="47"/>
      <c r="Z792" s="12"/>
      <c r="AA792" s="12"/>
      <c r="AB792" s="12" t="s">
        <v>1037</v>
      </c>
      <c r="AC792" s="12">
        <v>2141</v>
      </c>
      <c r="AD792" s="12" t="s">
        <v>51</v>
      </c>
      <c r="AE792" s="12" t="s">
        <v>51</v>
      </c>
      <c r="AF792" s="12" t="s">
        <v>51</v>
      </c>
      <c r="AG792" s="12"/>
      <c r="AH792" s="47" t="s">
        <v>52</v>
      </c>
      <c r="AI792" s="12">
        <v>1</v>
      </c>
      <c r="AJ792" s="12"/>
      <c r="AK792" s="12"/>
      <c r="AL792" s="12"/>
      <c r="AM792" s="12"/>
      <c r="AN792" s="47" t="s">
        <v>47</v>
      </c>
      <c r="AO792" s="152">
        <v>2802</v>
      </c>
      <c r="AP792" s="12" t="s">
        <v>53</v>
      </c>
      <c r="AQ792" s="2">
        <v>0</v>
      </c>
    </row>
    <row r="793" s="2" customFormat="1" ht="12.75" spans="1:43">
      <c r="A793" s="11">
        <v>180503</v>
      </c>
      <c r="B793" s="11" t="s">
        <v>1038</v>
      </c>
      <c r="C793" s="11"/>
      <c r="D793" s="11"/>
      <c r="E793" s="11"/>
      <c r="F793" s="11">
        <v>0</v>
      </c>
      <c r="G793" s="11">
        <v>0</v>
      </c>
      <c r="H793" s="11" t="s">
        <v>45</v>
      </c>
      <c r="I793" s="11">
        <v>7</v>
      </c>
      <c r="J793" s="11">
        <v>0</v>
      </c>
      <c r="K793" s="11" t="s">
        <v>46</v>
      </c>
      <c r="L793" s="47" t="s">
        <v>47</v>
      </c>
      <c r="M793" s="11" t="s">
        <v>781</v>
      </c>
      <c r="N793" s="11">
        <v>0</v>
      </c>
      <c r="O793" s="47" t="s">
        <v>48</v>
      </c>
      <c r="P793" s="11">
        <v>1801</v>
      </c>
      <c r="Q793" s="11"/>
      <c r="R793" s="11"/>
      <c r="S793" s="11">
        <v>0</v>
      </c>
      <c r="T793" s="11">
        <v>0</v>
      </c>
      <c r="U793" s="11"/>
      <c r="V793" s="11"/>
      <c r="W793" s="47" t="s">
        <v>47</v>
      </c>
      <c r="X793" s="47"/>
      <c r="Y793" s="47"/>
      <c r="Z793" s="11"/>
      <c r="AA793" s="11"/>
      <c r="AB793" s="11" t="s">
        <v>1038</v>
      </c>
      <c r="AC793" s="11">
        <v>2141</v>
      </c>
      <c r="AD793" s="11" t="s">
        <v>51</v>
      </c>
      <c r="AE793" s="11" t="s">
        <v>51</v>
      </c>
      <c r="AF793" s="11" t="s">
        <v>51</v>
      </c>
      <c r="AG793" s="11"/>
      <c r="AH793" s="47" t="s">
        <v>52</v>
      </c>
      <c r="AI793" s="11">
        <v>1</v>
      </c>
      <c r="AJ793" s="11"/>
      <c r="AK793" s="11"/>
      <c r="AL793" s="11"/>
      <c r="AM793" s="11"/>
      <c r="AN793" s="47" t="s">
        <v>47</v>
      </c>
      <c r="AO793" s="152">
        <v>2803</v>
      </c>
      <c r="AP793" s="11" t="s">
        <v>53</v>
      </c>
      <c r="AQ793" s="2">
        <v>0</v>
      </c>
    </row>
    <row r="794" s="3" customFormat="1" ht="12.75" spans="1:43">
      <c r="A794" s="12">
        <v>180504</v>
      </c>
      <c r="B794" s="12" t="s">
        <v>1039</v>
      </c>
      <c r="C794" s="12"/>
      <c r="D794" s="12"/>
      <c r="E794" s="12"/>
      <c r="F794" s="12">
        <v>0</v>
      </c>
      <c r="G794" s="12">
        <v>0</v>
      </c>
      <c r="H794" s="12" t="s">
        <v>45</v>
      </c>
      <c r="I794" s="12">
        <v>7</v>
      </c>
      <c r="J794" s="12">
        <v>0</v>
      </c>
      <c r="K794" s="12" t="s">
        <v>46</v>
      </c>
      <c r="L794" s="47" t="s">
        <v>47</v>
      </c>
      <c r="M794" s="12">
        <v>1010117</v>
      </c>
      <c r="N794" s="12">
        <v>0</v>
      </c>
      <c r="O794" s="47" t="s">
        <v>48</v>
      </c>
      <c r="P794" s="12">
        <v>1801</v>
      </c>
      <c r="Q794" s="12"/>
      <c r="R794" s="12"/>
      <c r="S794" s="12">
        <v>0</v>
      </c>
      <c r="T794" s="12">
        <v>0</v>
      </c>
      <c r="U794" s="12"/>
      <c r="V794" s="12"/>
      <c r="W794" s="47" t="s">
        <v>47</v>
      </c>
      <c r="X794" s="47"/>
      <c r="Y794" s="47"/>
      <c r="Z794" s="12"/>
      <c r="AA794" s="12"/>
      <c r="AB794" s="12" t="s">
        <v>1039</v>
      </c>
      <c r="AC794" s="12">
        <v>2141</v>
      </c>
      <c r="AD794" s="12" t="s">
        <v>51</v>
      </c>
      <c r="AE794" s="12" t="s">
        <v>51</v>
      </c>
      <c r="AF794" s="12" t="s">
        <v>51</v>
      </c>
      <c r="AG794" s="12"/>
      <c r="AH794" s="47" t="s">
        <v>52</v>
      </c>
      <c r="AI794" s="12">
        <v>1</v>
      </c>
      <c r="AJ794" s="12"/>
      <c r="AK794" s="12"/>
      <c r="AL794" s="12"/>
      <c r="AM794" s="12"/>
      <c r="AN794" s="47" t="s">
        <v>47</v>
      </c>
      <c r="AO794" s="152">
        <v>2804</v>
      </c>
      <c r="AP794" s="12" t="s">
        <v>53</v>
      </c>
      <c r="AQ794" s="2">
        <v>0</v>
      </c>
    </row>
    <row r="795" s="2" customFormat="1" ht="12.75" spans="1:43">
      <c r="A795" s="11">
        <v>180505</v>
      </c>
      <c r="B795" s="11" t="s">
        <v>1040</v>
      </c>
      <c r="C795" s="11"/>
      <c r="D795" s="11"/>
      <c r="E795" s="11"/>
      <c r="F795" s="11">
        <v>0</v>
      </c>
      <c r="G795" s="11">
        <v>0</v>
      </c>
      <c r="H795" s="11" t="s">
        <v>45</v>
      </c>
      <c r="I795" s="11">
        <v>7</v>
      </c>
      <c r="J795" s="11">
        <v>0</v>
      </c>
      <c r="K795" s="11" t="s">
        <v>46</v>
      </c>
      <c r="L795" s="47" t="s">
        <v>47</v>
      </c>
      <c r="M795" s="11">
        <v>1010129</v>
      </c>
      <c r="N795" s="11">
        <v>0</v>
      </c>
      <c r="O795" s="47" t="s">
        <v>48</v>
      </c>
      <c r="P795" s="11">
        <v>1801</v>
      </c>
      <c r="Q795" s="11"/>
      <c r="R795" s="11"/>
      <c r="S795" s="11">
        <v>0</v>
      </c>
      <c r="T795" s="11">
        <v>0</v>
      </c>
      <c r="U795" s="11"/>
      <c r="V795" s="11"/>
      <c r="W795" s="47" t="s">
        <v>47</v>
      </c>
      <c r="X795" s="47"/>
      <c r="Y795" s="47"/>
      <c r="Z795" s="11"/>
      <c r="AA795" s="11"/>
      <c r="AB795" s="11" t="s">
        <v>1040</v>
      </c>
      <c r="AC795" s="11">
        <v>2141</v>
      </c>
      <c r="AD795" s="11" t="s">
        <v>51</v>
      </c>
      <c r="AE795" s="11" t="s">
        <v>51</v>
      </c>
      <c r="AF795" s="11" t="s">
        <v>51</v>
      </c>
      <c r="AG795" s="11"/>
      <c r="AH795" s="47" t="s">
        <v>52</v>
      </c>
      <c r="AI795" s="11">
        <v>1</v>
      </c>
      <c r="AJ795" s="11"/>
      <c r="AK795" s="11"/>
      <c r="AL795" s="11"/>
      <c r="AM795" s="11"/>
      <c r="AN795" s="47" t="s">
        <v>47</v>
      </c>
      <c r="AO795" s="152">
        <v>2805</v>
      </c>
      <c r="AP795" s="11" t="s">
        <v>53</v>
      </c>
      <c r="AQ795" s="2">
        <v>0</v>
      </c>
    </row>
    <row r="796" s="3" customFormat="1" ht="12.75" spans="1:43">
      <c r="A796" s="12">
        <v>180506</v>
      </c>
      <c r="B796" s="12" t="s">
        <v>1041</v>
      </c>
      <c r="C796" s="12"/>
      <c r="D796" s="12"/>
      <c r="E796" s="12"/>
      <c r="F796" s="12">
        <v>0</v>
      </c>
      <c r="G796" s="12">
        <v>0</v>
      </c>
      <c r="H796" s="12" t="s">
        <v>45</v>
      </c>
      <c r="I796" s="12">
        <v>7</v>
      </c>
      <c r="J796" s="12">
        <v>0</v>
      </c>
      <c r="K796" s="12" t="s">
        <v>46</v>
      </c>
      <c r="L796" s="47" t="s">
        <v>47</v>
      </c>
      <c r="M796" s="12" t="s">
        <v>412</v>
      </c>
      <c r="N796" s="12">
        <v>0</v>
      </c>
      <c r="O796" s="47" t="s">
        <v>48</v>
      </c>
      <c r="P796" s="12">
        <v>1801</v>
      </c>
      <c r="Q796" s="12"/>
      <c r="R796" s="12"/>
      <c r="S796" s="12">
        <v>0</v>
      </c>
      <c r="T796" s="12">
        <v>0</v>
      </c>
      <c r="U796" s="12"/>
      <c r="V796" s="12"/>
      <c r="W796" s="47" t="s">
        <v>47</v>
      </c>
      <c r="X796" s="47"/>
      <c r="Y796" s="47"/>
      <c r="Z796" s="12"/>
      <c r="AA796" s="12"/>
      <c r="AB796" s="12" t="s">
        <v>1041</v>
      </c>
      <c r="AC796" s="12">
        <v>2141</v>
      </c>
      <c r="AD796" s="12" t="s">
        <v>51</v>
      </c>
      <c r="AE796" s="12" t="s">
        <v>51</v>
      </c>
      <c r="AF796" s="12" t="s">
        <v>51</v>
      </c>
      <c r="AG796" s="12"/>
      <c r="AH796" s="47" t="s">
        <v>52</v>
      </c>
      <c r="AI796" s="12">
        <v>1</v>
      </c>
      <c r="AJ796" s="12"/>
      <c r="AK796" s="12"/>
      <c r="AL796" s="12"/>
      <c r="AM796" s="12"/>
      <c r="AN796" s="47" t="s">
        <v>47</v>
      </c>
      <c r="AO796" s="152">
        <v>2806</v>
      </c>
      <c r="AP796" s="12" t="s">
        <v>53</v>
      </c>
      <c r="AQ796" s="2">
        <v>0</v>
      </c>
    </row>
    <row r="797" s="2" customFormat="1" ht="12.75" spans="1:43">
      <c r="A797" s="11">
        <v>180507</v>
      </c>
      <c r="B797" s="11" t="s">
        <v>1042</v>
      </c>
      <c r="C797" s="11"/>
      <c r="D797" s="11"/>
      <c r="E797" s="11"/>
      <c r="F797" s="11">
        <v>0</v>
      </c>
      <c r="G797" s="11">
        <v>0</v>
      </c>
      <c r="H797" s="11" t="s">
        <v>45</v>
      </c>
      <c r="I797" s="11">
        <v>7</v>
      </c>
      <c r="J797" s="11">
        <v>0</v>
      </c>
      <c r="K797" s="11" t="s">
        <v>46</v>
      </c>
      <c r="L797" s="47" t="s">
        <v>47</v>
      </c>
      <c r="M797" s="11">
        <v>1010133</v>
      </c>
      <c r="N797" s="11">
        <v>0</v>
      </c>
      <c r="O797" s="47" t="s">
        <v>48</v>
      </c>
      <c r="P797" s="11">
        <v>1801</v>
      </c>
      <c r="Q797" s="11"/>
      <c r="R797" s="11"/>
      <c r="S797" s="11">
        <v>0</v>
      </c>
      <c r="T797" s="11">
        <v>0</v>
      </c>
      <c r="U797" s="11"/>
      <c r="V797" s="11"/>
      <c r="W797" s="47" t="s">
        <v>47</v>
      </c>
      <c r="X797" s="47"/>
      <c r="Y797" s="47"/>
      <c r="Z797" s="11"/>
      <c r="AA797" s="11"/>
      <c r="AB797" s="11" t="s">
        <v>1042</v>
      </c>
      <c r="AC797" s="11">
        <v>2141</v>
      </c>
      <c r="AD797" s="11" t="s">
        <v>51</v>
      </c>
      <c r="AE797" s="11" t="s">
        <v>51</v>
      </c>
      <c r="AF797" s="11" t="s">
        <v>51</v>
      </c>
      <c r="AG797" s="11"/>
      <c r="AH797" s="47" t="s">
        <v>52</v>
      </c>
      <c r="AI797" s="11">
        <v>1</v>
      </c>
      <c r="AJ797" s="11"/>
      <c r="AK797" s="11"/>
      <c r="AL797" s="11"/>
      <c r="AM797" s="11"/>
      <c r="AN797" s="47" t="s">
        <v>47</v>
      </c>
      <c r="AO797" s="152">
        <v>2807</v>
      </c>
      <c r="AP797" s="11" t="s">
        <v>53</v>
      </c>
      <c r="AQ797" s="2">
        <v>0</v>
      </c>
    </row>
    <row r="798" s="3" customFormat="1" ht="12.75" spans="1:43">
      <c r="A798" s="12">
        <v>180508</v>
      </c>
      <c r="B798" s="12" t="s">
        <v>1043</v>
      </c>
      <c r="C798" s="12"/>
      <c r="D798" s="12"/>
      <c r="E798" s="12"/>
      <c r="F798" s="12">
        <v>0</v>
      </c>
      <c r="G798" s="12">
        <v>0</v>
      </c>
      <c r="H798" s="12" t="s">
        <v>45</v>
      </c>
      <c r="I798" s="12">
        <v>7</v>
      </c>
      <c r="J798" s="12">
        <v>0</v>
      </c>
      <c r="K798" s="12" t="s">
        <v>46</v>
      </c>
      <c r="L798" s="47" t="s">
        <v>47</v>
      </c>
      <c r="M798" s="12" t="s">
        <v>959</v>
      </c>
      <c r="N798" s="12">
        <v>0</v>
      </c>
      <c r="O798" s="47" t="s">
        <v>48</v>
      </c>
      <c r="P798" s="12">
        <v>1801</v>
      </c>
      <c r="Q798" s="12"/>
      <c r="R798" s="12"/>
      <c r="S798" s="12">
        <v>0</v>
      </c>
      <c r="T798" s="12">
        <v>0</v>
      </c>
      <c r="U798" s="12"/>
      <c r="V798" s="12"/>
      <c r="W798" s="47" t="s">
        <v>47</v>
      </c>
      <c r="X798" s="47"/>
      <c r="Y798" s="47"/>
      <c r="Z798" s="12"/>
      <c r="AA798" s="12"/>
      <c r="AB798" s="12" t="s">
        <v>1043</v>
      </c>
      <c r="AC798" s="12">
        <v>2141</v>
      </c>
      <c r="AD798" s="12" t="s">
        <v>51</v>
      </c>
      <c r="AE798" s="12" t="s">
        <v>51</v>
      </c>
      <c r="AF798" s="12" t="s">
        <v>51</v>
      </c>
      <c r="AG798" s="12"/>
      <c r="AH798" s="47" t="s">
        <v>52</v>
      </c>
      <c r="AI798" s="12">
        <v>1</v>
      </c>
      <c r="AJ798" s="12"/>
      <c r="AK798" s="12"/>
      <c r="AL798" s="12"/>
      <c r="AM798" s="12"/>
      <c r="AN798" s="47" t="s">
        <v>47</v>
      </c>
      <c r="AO798" s="152">
        <v>2808</v>
      </c>
      <c r="AP798" s="12" t="s">
        <v>53</v>
      </c>
      <c r="AQ798" s="2">
        <v>0</v>
      </c>
    </row>
    <row r="799" s="21" customFormat="1" spans="1:43">
      <c r="A799" s="107">
        <v>180601</v>
      </c>
      <c r="B799" s="128" t="s">
        <v>1044</v>
      </c>
      <c r="C799" s="109"/>
      <c r="D799" s="109"/>
      <c r="E799" s="109"/>
      <c r="F799" s="110">
        <v>0</v>
      </c>
      <c r="G799" s="109">
        <v>0</v>
      </c>
      <c r="H799" s="111">
        <v>1.35</v>
      </c>
      <c r="I799" s="109">
        <v>7</v>
      </c>
      <c r="J799" s="109">
        <v>0</v>
      </c>
      <c r="K799" s="116" t="s">
        <v>300</v>
      </c>
      <c r="L799" s="117" t="s">
        <v>47</v>
      </c>
      <c r="M799" s="105">
        <v>2010112</v>
      </c>
      <c r="N799" s="109">
        <v>0</v>
      </c>
      <c r="O799" s="117" t="s">
        <v>48</v>
      </c>
      <c r="P799" s="109">
        <v>1801</v>
      </c>
      <c r="Q799" s="109"/>
      <c r="R799" s="109"/>
      <c r="S799" s="109">
        <v>0</v>
      </c>
      <c r="T799" s="109">
        <v>0</v>
      </c>
      <c r="U799" s="109"/>
      <c r="V799" s="109"/>
      <c r="W799" s="117" t="s">
        <v>47</v>
      </c>
      <c r="X799" s="117"/>
      <c r="Y799" s="117"/>
      <c r="Z799" s="110"/>
      <c r="AA799" s="110"/>
      <c r="AB799" s="148" t="s">
        <v>1045</v>
      </c>
      <c r="AC799" s="110">
        <v>2199</v>
      </c>
      <c r="AD799" s="116" t="s">
        <v>51</v>
      </c>
      <c r="AE799" s="116" t="s">
        <v>51</v>
      </c>
      <c r="AF799" s="116" t="s">
        <v>51</v>
      </c>
      <c r="AG799" s="116"/>
      <c r="AH799" s="117" t="s">
        <v>52</v>
      </c>
      <c r="AI799" s="110">
        <v>1</v>
      </c>
      <c r="AJ799" s="110"/>
      <c r="AK799" s="110"/>
      <c r="AL799" s="110"/>
      <c r="AM799" s="110"/>
      <c r="AN799" s="117" t="s">
        <v>47</v>
      </c>
      <c r="AO799" s="116"/>
      <c r="AP799" s="110" t="s">
        <v>301</v>
      </c>
      <c r="AQ799" s="2">
        <v>0</v>
      </c>
    </row>
    <row r="800" s="21" customFormat="1" spans="1:43">
      <c r="A800" s="107">
        <v>180602</v>
      </c>
      <c r="B800" s="129" t="s">
        <v>1046</v>
      </c>
      <c r="C800" s="109"/>
      <c r="D800" s="109"/>
      <c r="E800" s="109"/>
      <c r="F800" s="110">
        <v>0</v>
      </c>
      <c r="G800" s="109">
        <v>0</v>
      </c>
      <c r="H800" s="111">
        <v>1.35</v>
      </c>
      <c r="I800" s="109">
        <v>7</v>
      </c>
      <c r="J800" s="109">
        <v>0</v>
      </c>
      <c r="K800" s="116" t="s">
        <v>300</v>
      </c>
      <c r="L800" s="117" t="s">
        <v>47</v>
      </c>
      <c r="M800" s="105">
        <v>2010113</v>
      </c>
      <c r="N800" s="109">
        <v>0</v>
      </c>
      <c r="O800" s="117" t="s">
        <v>48</v>
      </c>
      <c r="P800" s="109">
        <v>1801</v>
      </c>
      <c r="Q800" s="109"/>
      <c r="R800" s="109"/>
      <c r="S800" s="109">
        <v>0</v>
      </c>
      <c r="T800" s="109">
        <v>0</v>
      </c>
      <c r="U800" s="109"/>
      <c r="V800" s="109"/>
      <c r="W800" s="117" t="s">
        <v>47</v>
      </c>
      <c r="X800" s="117"/>
      <c r="Y800" s="117"/>
      <c r="Z800" s="110"/>
      <c r="AA800" s="110"/>
      <c r="AB800" s="148" t="s">
        <v>1047</v>
      </c>
      <c r="AC800" s="110">
        <v>2200</v>
      </c>
      <c r="AD800" s="116" t="s">
        <v>51</v>
      </c>
      <c r="AE800" s="116" t="s">
        <v>51</v>
      </c>
      <c r="AF800" s="116" t="s">
        <v>51</v>
      </c>
      <c r="AG800" s="116"/>
      <c r="AH800" s="117" t="s">
        <v>52</v>
      </c>
      <c r="AI800" s="110">
        <v>1</v>
      </c>
      <c r="AJ800" s="110"/>
      <c r="AK800" s="110"/>
      <c r="AL800" s="110"/>
      <c r="AM800" s="110"/>
      <c r="AN800" s="117" t="s">
        <v>47</v>
      </c>
      <c r="AO800" s="116"/>
      <c r="AP800" s="110" t="s">
        <v>301</v>
      </c>
      <c r="AQ800" s="2">
        <v>0</v>
      </c>
    </row>
    <row r="801" s="21" customFormat="1" spans="1:43">
      <c r="A801" s="107">
        <v>180603</v>
      </c>
      <c r="B801" s="129" t="s">
        <v>1048</v>
      </c>
      <c r="C801" s="109"/>
      <c r="D801" s="109"/>
      <c r="E801" s="109"/>
      <c r="F801" s="110">
        <v>0</v>
      </c>
      <c r="G801" s="109">
        <v>0</v>
      </c>
      <c r="H801" s="111">
        <v>1.35</v>
      </c>
      <c r="I801" s="109">
        <v>7</v>
      </c>
      <c r="J801" s="109">
        <v>0</v>
      </c>
      <c r="K801" s="116" t="s">
        <v>300</v>
      </c>
      <c r="L801" s="117" t="s">
        <v>47</v>
      </c>
      <c r="M801" s="105">
        <v>2010115</v>
      </c>
      <c r="N801" s="109">
        <v>0</v>
      </c>
      <c r="O801" s="117" t="s">
        <v>48</v>
      </c>
      <c r="P801" s="109">
        <v>1801</v>
      </c>
      <c r="Q801" s="109"/>
      <c r="R801" s="109"/>
      <c r="S801" s="109">
        <v>0</v>
      </c>
      <c r="T801" s="109">
        <v>0</v>
      </c>
      <c r="U801" s="109"/>
      <c r="V801" s="109"/>
      <c r="W801" s="117" t="s">
        <v>47</v>
      </c>
      <c r="X801" s="117"/>
      <c r="Y801" s="117"/>
      <c r="Z801" s="110"/>
      <c r="AA801" s="110"/>
      <c r="AB801" s="148" t="s">
        <v>1049</v>
      </c>
      <c r="AC801" s="110">
        <v>2201</v>
      </c>
      <c r="AD801" s="116" t="s">
        <v>51</v>
      </c>
      <c r="AE801" s="116" t="s">
        <v>51</v>
      </c>
      <c r="AF801" s="116" t="s">
        <v>51</v>
      </c>
      <c r="AG801" s="116"/>
      <c r="AH801" s="117" t="s">
        <v>52</v>
      </c>
      <c r="AI801" s="110">
        <v>1</v>
      </c>
      <c r="AJ801" s="110"/>
      <c r="AK801" s="110"/>
      <c r="AL801" s="110"/>
      <c r="AM801" s="110"/>
      <c r="AN801" s="117" t="s">
        <v>47</v>
      </c>
      <c r="AO801" s="116"/>
      <c r="AP801" s="110" t="s">
        <v>301</v>
      </c>
      <c r="AQ801" s="2">
        <v>0</v>
      </c>
    </row>
    <row r="802" s="21" customFormat="1" spans="1:43">
      <c r="A802" s="107">
        <v>180604</v>
      </c>
      <c r="B802" s="129" t="s">
        <v>1050</v>
      </c>
      <c r="C802" s="109"/>
      <c r="D802" s="109"/>
      <c r="E802" s="109"/>
      <c r="F802" s="110">
        <v>0</v>
      </c>
      <c r="G802" s="109">
        <v>0</v>
      </c>
      <c r="H802" s="111">
        <v>1.35</v>
      </c>
      <c r="I802" s="109">
        <v>7</v>
      </c>
      <c r="J802" s="109">
        <v>0</v>
      </c>
      <c r="K802" s="116" t="s">
        <v>300</v>
      </c>
      <c r="L802" s="117" t="s">
        <v>47</v>
      </c>
      <c r="M802" s="105">
        <v>2010116</v>
      </c>
      <c r="N802" s="109">
        <v>0</v>
      </c>
      <c r="O802" s="117" t="s">
        <v>48</v>
      </c>
      <c r="P802" s="109">
        <v>1801</v>
      </c>
      <c r="Q802" s="109"/>
      <c r="R802" s="109"/>
      <c r="S802" s="109">
        <v>0</v>
      </c>
      <c r="T802" s="109">
        <v>0</v>
      </c>
      <c r="U802" s="109"/>
      <c r="V802" s="109"/>
      <c r="W802" s="117" t="s">
        <v>47</v>
      </c>
      <c r="X802" s="117"/>
      <c r="Y802" s="117"/>
      <c r="Z802" s="110"/>
      <c r="AA802" s="110"/>
      <c r="AB802" s="148" t="s">
        <v>1051</v>
      </c>
      <c r="AC802" s="110">
        <v>2202</v>
      </c>
      <c r="AD802" s="116" t="s">
        <v>51</v>
      </c>
      <c r="AE802" s="116" t="s">
        <v>51</v>
      </c>
      <c r="AF802" s="116" t="s">
        <v>51</v>
      </c>
      <c r="AG802" s="116"/>
      <c r="AH802" s="117" t="s">
        <v>52</v>
      </c>
      <c r="AI802" s="110">
        <v>1</v>
      </c>
      <c r="AJ802" s="110"/>
      <c r="AK802" s="110"/>
      <c r="AL802" s="110"/>
      <c r="AM802" s="110"/>
      <c r="AN802" s="117" t="s">
        <v>47</v>
      </c>
      <c r="AO802" s="116"/>
      <c r="AP802" s="110" t="s">
        <v>301</v>
      </c>
      <c r="AQ802" s="2">
        <v>0</v>
      </c>
    </row>
    <row r="803" s="21" customFormat="1" spans="1:43">
      <c r="A803" s="107">
        <v>180605</v>
      </c>
      <c r="B803" s="129" t="s">
        <v>1052</v>
      </c>
      <c r="C803" s="109"/>
      <c r="D803" s="109"/>
      <c r="E803" s="109"/>
      <c r="F803" s="110">
        <v>0</v>
      </c>
      <c r="G803" s="109">
        <v>0</v>
      </c>
      <c r="H803" s="111">
        <v>1.35</v>
      </c>
      <c r="I803" s="109">
        <v>7</v>
      </c>
      <c r="J803" s="109">
        <v>0</v>
      </c>
      <c r="K803" s="116" t="s">
        <v>300</v>
      </c>
      <c r="L803" s="117" t="s">
        <v>47</v>
      </c>
      <c r="M803" s="105">
        <v>2010117</v>
      </c>
      <c r="N803" s="109">
        <v>0</v>
      </c>
      <c r="O803" s="117" t="s">
        <v>48</v>
      </c>
      <c r="P803" s="109">
        <v>1801</v>
      </c>
      <c r="Q803" s="109"/>
      <c r="R803" s="109"/>
      <c r="S803" s="109">
        <v>0</v>
      </c>
      <c r="T803" s="109">
        <v>0</v>
      </c>
      <c r="U803" s="109"/>
      <c r="V803" s="109"/>
      <c r="W803" s="117" t="s">
        <v>47</v>
      </c>
      <c r="X803" s="117"/>
      <c r="Y803" s="117"/>
      <c r="Z803" s="110"/>
      <c r="AA803" s="110"/>
      <c r="AB803" s="148" t="s">
        <v>1053</v>
      </c>
      <c r="AC803" s="110">
        <v>2203</v>
      </c>
      <c r="AD803" s="116" t="s">
        <v>51</v>
      </c>
      <c r="AE803" s="116" t="s">
        <v>51</v>
      </c>
      <c r="AF803" s="116" t="s">
        <v>51</v>
      </c>
      <c r="AG803" s="116"/>
      <c r="AH803" s="117" t="s">
        <v>52</v>
      </c>
      <c r="AI803" s="110">
        <v>1</v>
      </c>
      <c r="AJ803" s="110"/>
      <c r="AK803" s="110"/>
      <c r="AL803" s="110"/>
      <c r="AM803" s="110"/>
      <c r="AN803" s="117" t="s">
        <v>47</v>
      </c>
      <c r="AO803" s="116"/>
      <c r="AP803" s="110" t="s">
        <v>301</v>
      </c>
      <c r="AQ803" s="2">
        <v>0</v>
      </c>
    </row>
    <row r="804" s="23" customFormat="1" spans="1:43">
      <c r="A804" s="118">
        <v>180606</v>
      </c>
      <c r="B804" s="130" t="s">
        <v>1054</v>
      </c>
      <c r="C804" s="118"/>
      <c r="D804" s="118"/>
      <c r="E804" s="118"/>
      <c r="F804" s="118">
        <v>0</v>
      </c>
      <c r="G804" s="118">
        <v>0</v>
      </c>
      <c r="H804" s="131">
        <v>1.35</v>
      </c>
      <c r="I804" s="118">
        <v>7</v>
      </c>
      <c r="J804" s="118">
        <v>0</v>
      </c>
      <c r="K804" s="145" t="s">
        <v>300</v>
      </c>
      <c r="L804" s="117" t="s">
        <v>47</v>
      </c>
      <c r="M804" s="105">
        <v>2010118</v>
      </c>
      <c r="N804" s="118">
        <v>0</v>
      </c>
      <c r="O804" s="117" t="s">
        <v>48</v>
      </c>
      <c r="P804" s="118">
        <v>1801</v>
      </c>
      <c r="Q804" s="118"/>
      <c r="R804" s="118"/>
      <c r="S804" s="118">
        <v>0</v>
      </c>
      <c r="T804" s="118">
        <v>0</v>
      </c>
      <c r="U804" s="118"/>
      <c r="V804" s="118"/>
      <c r="W804" s="117" t="s">
        <v>47</v>
      </c>
      <c r="X804" s="117"/>
      <c r="Y804" s="117"/>
      <c r="Z804" s="118"/>
      <c r="AA804" s="118"/>
      <c r="AB804" s="149" t="s">
        <v>1055</v>
      </c>
      <c r="AC804" s="145">
        <v>2391</v>
      </c>
      <c r="AD804" s="145" t="s">
        <v>51</v>
      </c>
      <c r="AE804" s="145" t="s">
        <v>51</v>
      </c>
      <c r="AF804" s="145" t="s">
        <v>51</v>
      </c>
      <c r="AG804" s="145"/>
      <c r="AH804" s="117" t="s">
        <v>52</v>
      </c>
      <c r="AI804" s="118">
        <v>1</v>
      </c>
      <c r="AJ804" s="118"/>
      <c r="AK804" s="118"/>
      <c r="AL804" s="118"/>
      <c r="AM804" s="118"/>
      <c r="AN804" s="117" t="s">
        <v>47</v>
      </c>
      <c r="AO804" s="145"/>
      <c r="AP804" s="118" t="s">
        <v>301</v>
      </c>
      <c r="AQ804" s="2">
        <v>0</v>
      </c>
    </row>
    <row r="805" s="23" customFormat="1" spans="1:43">
      <c r="A805" s="118">
        <v>180607</v>
      </c>
      <c r="B805" s="132" t="s">
        <v>1056</v>
      </c>
      <c r="C805" s="118"/>
      <c r="D805" s="118"/>
      <c r="E805" s="118"/>
      <c r="F805" s="118">
        <v>0</v>
      </c>
      <c r="G805" s="118">
        <v>0</v>
      </c>
      <c r="H805" s="131">
        <v>1.35</v>
      </c>
      <c r="I805" s="118">
        <v>7</v>
      </c>
      <c r="J805" s="118">
        <v>0</v>
      </c>
      <c r="K805" s="145" t="s">
        <v>300</v>
      </c>
      <c r="L805" s="117" t="s">
        <v>47</v>
      </c>
      <c r="M805" s="105">
        <v>2010119</v>
      </c>
      <c r="N805" s="118">
        <v>0</v>
      </c>
      <c r="O805" s="117" t="s">
        <v>48</v>
      </c>
      <c r="P805" s="118">
        <v>1801</v>
      </c>
      <c r="Q805" s="118"/>
      <c r="R805" s="118"/>
      <c r="S805" s="118">
        <v>0</v>
      </c>
      <c r="T805" s="118">
        <v>0</v>
      </c>
      <c r="U805" s="118"/>
      <c r="V805" s="118"/>
      <c r="W805" s="117" t="s">
        <v>47</v>
      </c>
      <c r="X805" s="117"/>
      <c r="Y805" s="117"/>
      <c r="Z805" s="118"/>
      <c r="AA805" s="118"/>
      <c r="AB805" s="149" t="s">
        <v>1057</v>
      </c>
      <c r="AC805" s="145">
        <v>2392</v>
      </c>
      <c r="AD805" s="145" t="s">
        <v>51</v>
      </c>
      <c r="AE805" s="145" t="s">
        <v>51</v>
      </c>
      <c r="AF805" s="145" t="s">
        <v>51</v>
      </c>
      <c r="AG805" s="145"/>
      <c r="AH805" s="117" t="s">
        <v>52</v>
      </c>
      <c r="AI805" s="118">
        <v>1</v>
      </c>
      <c r="AJ805" s="118"/>
      <c r="AK805" s="118"/>
      <c r="AL805" s="118"/>
      <c r="AM805" s="118"/>
      <c r="AN805" s="117" t="s">
        <v>47</v>
      </c>
      <c r="AO805" s="145"/>
      <c r="AP805" s="118" t="s">
        <v>301</v>
      </c>
      <c r="AQ805" s="2">
        <v>0</v>
      </c>
    </row>
    <row r="806" s="23" customFormat="1" spans="1:43">
      <c r="A806" s="118">
        <v>180608</v>
      </c>
      <c r="B806" s="130" t="s">
        <v>1058</v>
      </c>
      <c r="C806" s="118"/>
      <c r="D806" s="118"/>
      <c r="E806" s="118"/>
      <c r="F806" s="118">
        <v>0</v>
      </c>
      <c r="G806" s="118">
        <v>0</v>
      </c>
      <c r="H806" s="131">
        <v>1.35</v>
      </c>
      <c r="I806" s="118">
        <v>7</v>
      </c>
      <c r="J806" s="118">
        <v>0</v>
      </c>
      <c r="K806" s="145" t="s">
        <v>300</v>
      </c>
      <c r="L806" s="117" t="s">
        <v>47</v>
      </c>
      <c r="M806" s="105">
        <v>2010120</v>
      </c>
      <c r="N806" s="118">
        <v>0</v>
      </c>
      <c r="O806" s="117" t="s">
        <v>48</v>
      </c>
      <c r="P806" s="118">
        <v>1801</v>
      </c>
      <c r="Q806" s="118"/>
      <c r="R806" s="118"/>
      <c r="S806" s="118">
        <v>0</v>
      </c>
      <c r="T806" s="118">
        <v>0</v>
      </c>
      <c r="U806" s="118"/>
      <c r="V806" s="118"/>
      <c r="W806" s="117" t="s">
        <v>47</v>
      </c>
      <c r="X806" s="117"/>
      <c r="Y806" s="117"/>
      <c r="Z806" s="118"/>
      <c r="AA806" s="118"/>
      <c r="AB806" s="149" t="s">
        <v>1059</v>
      </c>
      <c r="AC806" s="145">
        <v>2393</v>
      </c>
      <c r="AD806" s="145" t="s">
        <v>51</v>
      </c>
      <c r="AE806" s="145" t="s">
        <v>51</v>
      </c>
      <c r="AF806" s="145" t="s">
        <v>51</v>
      </c>
      <c r="AG806" s="145"/>
      <c r="AH806" s="117" t="s">
        <v>52</v>
      </c>
      <c r="AI806" s="118">
        <v>1</v>
      </c>
      <c r="AJ806" s="118"/>
      <c r="AK806" s="118"/>
      <c r="AL806" s="118"/>
      <c r="AM806" s="118"/>
      <c r="AN806" s="117" t="s">
        <v>47</v>
      </c>
      <c r="AO806" s="145"/>
      <c r="AP806" s="118" t="s">
        <v>301</v>
      </c>
      <c r="AQ806" s="2">
        <v>0</v>
      </c>
    </row>
    <row r="807" s="23" customFormat="1" spans="1:43">
      <c r="A807" s="118">
        <v>180609</v>
      </c>
      <c r="B807" s="130" t="s">
        <v>1060</v>
      </c>
      <c r="C807" s="118"/>
      <c r="D807" s="118"/>
      <c r="E807" s="118"/>
      <c r="F807" s="118">
        <v>0</v>
      </c>
      <c r="G807" s="118">
        <v>0</v>
      </c>
      <c r="H807" s="131">
        <v>1.35</v>
      </c>
      <c r="I807" s="118">
        <v>7</v>
      </c>
      <c r="J807" s="118">
        <v>0</v>
      </c>
      <c r="K807" s="145" t="s">
        <v>300</v>
      </c>
      <c r="L807" s="117" t="s">
        <v>47</v>
      </c>
      <c r="M807" s="105">
        <v>2010121</v>
      </c>
      <c r="N807" s="118">
        <v>0</v>
      </c>
      <c r="O807" s="117" t="s">
        <v>48</v>
      </c>
      <c r="P807" s="118">
        <v>1801</v>
      </c>
      <c r="Q807" s="118"/>
      <c r="R807" s="118"/>
      <c r="S807" s="118">
        <v>0</v>
      </c>
      <c r="T807" s="118">
        <v>0</v>
      </c>
      <c r="U807" s="118"/>
      <c r="V807" s="118"/>
      <c r="W807" s="117" t="s">
        <v>47</v>
      </c>
      <c r="X807" s="117"/>
      <c r="Y807" s="117"/>
      <c r="Z807" s="118"/>
      <c r="AA807" s="118"/>
      <c r="AB807" s="149" t="s">
        <v>1061</v>
      </c>
      <c r="AC807" s="145">
        <v>2394</v>
      </c>
      <c r="AD807" s="145" t="s">
        <v>51</v>
      </c>
      <c r="AE807" s="145" t="s">
        <v>51</v>
      </c>
      <c r="AF807" s="145" t="s">
        <v>51</v>
      </c>
      <c r="AG807" s="145"/>
      <c r="AH807" s="117" t="s">
        <v>52</v>
      </c>
      <c r="AI807" s="118">
        <v>1</v>
      </c>
      <c r="AJ807" s="118"/>
      <c r="AK807" s="118"/>
      <c r="AL807" s="118"/>
      <c r="AM807" s="118"/>
      <c r="AN807" s="117" t="s">
        <v>47</v>
      </c>
      <c r="AO807" s="145"/>
      <c r="AP807" s="118" t="s">
        <v>301</v>
      </c>
      <c r="AQ807" s="2">
        <v>0</v>
      </c>
    </row>
    <row r="808" s="23" customFormat="1" spans="1:43">
      <c r="A808" s="118">
        <v>180610</v>
      </c>
      <c r="B808" s="130" t="s">
        <v>1062</v>
      </c>
      <c r="C808" s="118"/>
      <c r="D808" s="118"/>
      <c r="E808" s="118"/>
      <c r="F808" s="118">
        <v>0</v>
      </c>
      <c r="G808" s="118">
        <v>0</v>
      </c>
      <c r="H808" s="131">
        <v>1.35</v>
      </c>
      <c r="I808" s="118">
        <v>7</v>
      </c>
      <c r="J808" s="118">
        <v>0</v>
      </c>
      <c r="K808" s="145" t="s">
        <v>300</v>
      </c>
      <c r="L808" s="117" t="s">
        <v>47</v>
      </c>
      <c r="M808" s="105">
        <v>2010122</v>
      </c>
      <c r="N808" s="118">
        <v>0</v>
      </c>
      <c r="O808" s="117" t="s">
        <v>48</v>
      </c>
      <c r="P808" s="118">
        <v>1801</v>
      </c>
      <c r="Q808" s="118"/>
      <c r="R808" s="118"/>
      <c r="S808" s="118">
        <v>0</v>
      </c>
      <c r="T808" s="118">
        <v>0</v>
      </c>
      <c r="U808" s="118"/>
      <c r="V808" s="118"/>
      <c r="W808" s="117" t="s">
        <v>47</v>
      </c>
      <c r="X808" s="117"/>
      <c r="Y808" s="117"/>
      <c r="Z808" s="118"/>
      <c r="AA808" s="118"/>
      <c r="AB808" s="149" t="s">
        <v>1063</v>
      </c>
      <c r="AC808" s="145">
        <v>2395</v>
      </c>
      <c r="AD808" s="145" t="s">
        <v>51</v>
      </c>
      <c r="AE808" s="145" t="s">
        <v>51</v>
      </c>
      <c r="AF808" s="145" t="s">
        <v>51</v>
      </c>
      <c r="AG808" s="145"/>
      <c r="AH808" s="117" t="s">
        <v>52</v>
      </c>
      <c r="AI808" s="118">
        <v>1</v>
      </c>
      <c r="AJ808" s="118"/>
      <c r="AK808" s="118"/>
      <c r="AL808" s="118"/>
      <c r="AM808" s="118"/>
      <c r="AN808" s="117" t="s">
        <v>47</v>
      </c>
      <c r="AO808" s="145"/>
      <c r="AP808" s="118" t="s">
        <v>301</v>
      </c>
      <c r="AQ808" s="2">
        <v>0</v>
      </c>
    </row>
    <row r="809" s="24" customFormat="1" spans="1:43">
      <c r="A809" s="133">
        <v>180611</v>
      </c>
      <c r="B809" s="134" t="s">
        <v>1064</v>
      </c>
      <c r="C809" s="133"/>
      <c r="D809" s="133"/>
      <c r="E809" s="133"/>
      <c r="F809" s="133">
        <v>0</v>
      </c>
      <c r="G809" s="133">
        <v>0</v>
      </c>
      <c r="H809" s="135">
        <v>1.35</v>
      </c>
      <c r="I809" s="133">
        <v>7</v>
      </c>
      <c r="J809" s="133">
        <v>0</v>
      </c>
      <c r="K809" s="146" t="s">
        <v>300</v>
      </c>
      <c r="L809" s="117" t="s">
        <v>47</v>
      </c>
      <c r="M809" s="105">
        <v>2010124</v>
      </c>
      <c r="N809" s="133">
        <v>0</v>
      </c>
      <c r="O809" s="117" t="s">
        <v>48</v>
      </c>
      <c r="P809" s="133">
        <v>1801</v>
      </c>
      <c r="Q809" s="133"/>
      <c r="R809" s="133"/>
      <c r="S809" s="133">
        <v>0</v>
      </c>
      <c r="T809" s="133">
        <v>0</v>
      </c>
      <c r="U809" s="133"/>
      <c r="V809" s="133"/>
      <c r="W809" s="117" t="s">
        <v>47</v>
      </c>
      <c r="X809" s="117"/>
      <c r="Y809" s="117"/>
      <c r="Z809" s="133"/>
      <c r="AA809" s="133"/>
      <c r="AB809" s="133" t="s">
        <v>1065</v>
      </c>
      <c r="AC809" s="133">
        <v>2398</v>
      </c>
      <c r="AD809" s="146" t="s">
        <v>51</v>
      </c>
      <c r="AE809" s="146" t="s">
        <v>51</v>
      </c>
      <c r="AF809" s="146" t="s">
        <v>51</v>
      </c>
      <c r="AG809" s="146"/>
      <c r="AH809" s="117" t="s">
        <v>52</v>
      </c>
      <c r="AI809" s="133">
        <v>1</v>
      </c>
      <c r="AJ809" s="133"/>
      <c r="AK809" s="133"/>
      <c r="AL809" s="133"/>
      <c r="AM809" s="133"/>
      <c r="AN809" s="117" t="s">
        <v>47</v>
      </c>
      <c r="AO809" s="146"/>
      <c r="AP809" s="133" t="s">
        <v>301</v>
      </c>
      <c r="AQ809" s="2">
        <v>0</v>
      </c>
    </row>
    <row r="810" s="24" customFormat="1" spans="1:43">
      <c r="A810" s="133">
        <v>180612</v>
      </c>
      <c r="B810" s="136" t="s">
        <v>1066</v>
      </c>
      <c r="C810" s="133"/>
      <c r="D810" s="133"/>
      <c r="E810" s="133"/>
      <c r="F810" s="133">
        <v>0</v>
      </c>
      <c r="G810" s="133">
        <v>0</v>
      </c>
      <c r="H810" s="135">
        <v>1.35</v>
      </c>
      <c r="I810" s="133">
        <v>7</v>
      </c>
      <c r="J810" s="133">
        <v>0</v>
      </c>
      <c r="K810" s="146" t="s">
        <v>300</v>
      </c>
      <c r="L810" s="117" t="s">
        <v>47</v>
      </c>
      <c r="M810" s="105">
        <v>2010125</v>
      </c>
      <c r="N810" s="133">
        <v>0</v>
      </c>
      <c r="O810" s="117" t="s">
        <v>48</v>
      </c>
      <c r="P810" s="133">
        <v>1801</v>
      </c>
      <c r="Q810" s="133"/>
      <c r="R810" s="133"/>
      <c r="S810" s="133">
        <v>0</v>
      </c>
      <c r="T810" s="133">
        <v>0</v>
      </c>
      <c r="U810" s="133"/>
      <c r="V810" s="133"/>
      <c r="W810" s="117" t="s">
        <v>47</v>
      </c>
      <c r="X810" s="117"/>
      <c r="Y810" s="117"/>
      <c r="Z810" s="133"/>
      <c r="AA810" s="133"/>
      <c r="AB810" s="133" t="s">
        <v>1067</v>
      </c>
      <c r="AC810" s="133">
        <v>2399</v>
      </c>
      <c r="AD810" s="146" t="s">
        <v>51</v>
      </c>
      <c r="AE810" s="146" t="s">
        <v>51</v>
      </c>
      <c r="AF810" s="146" t="s">
        <v>51</v>
      </c>
      <c r="AG810" s="146"/>
      <c r="AH810" s="117" t="s">
        <v>52</v>
      </c>
      <c r="AI810" s="133">
        <v>1</v>
      </c>
      <c r="AJ810" s="133"/>
      <c r="AK810" s="133"/>
      <c r="AL810" s="133"/>
      <c r="AM810" s="133"/>
      <c r="AN810" s="117" t="s">
        <v>47</v>
      </c>
      <c r="AO810" s="146"/>
      <c r="AP810" s="133" t="s">
        <v>301</v>
      </c>
      <c r="AQ810" s="2">
        <v>0</v>
      </c>
    </row>
    <row r="811" s="24" customFormat="1" spans="1:43">
      <c r="A811" s="133">
        <v>180613</v>
      </c>
      <c r="B811" s="136" t="s">
        <v>1068</v>
      </c>
      <c r="C811" s="133"/>
      <c r="D811" s="133"/>
      <c r="E811" s="133"/>
      <c r="F811" s="133">
        <v>0</v>
      </c>
      <c r="G811" s="133">
        <v>0</v>
      </c>
      <c r="H811" s="135">
        <v>1.35</v>
      </c>
      <c r="I811" s="133">
        <v>7</v>
      </c>
      <c r="J811" s="133">
        <v>0</v>
      </c>
      <c r="K811" s="146" t="s">
        <v>300</v>
      </c>
      <c r="L811" s="117" t="s">
        <v>47</v>
      </c>
      <c r="M811" s="105">
        <v>2010126</v>
      </c>
      <c r="N811" s="133">
        <v>0</v>
      </c>
      <c r="O811" s="117" t="s">
        <v>48</v>
      </c>
      <c r="P811" s="133">
        <v>1801</v>
      </c>
      <c r="Q811" s="133"/>
      <c r="R811" s="133"/>
      <c r="S811" s="133">
        <v>0</v>
      </c>
      <c r="T811" s="133">
        <v>0</v>
      </c>
      <c r="U811" s="133"/>
      <c r="V811" s="133"/>
      <c r="W811" s="117" t="s">
        <v>47</v>
      </c>
      <c r="X811" s="117"/>
      <c r="Y811" s="117"/>
      <c r="Z811" s="133"/>
      <c r="AA811" s="133"/>
      <c r="AB811" s="133" t="s">
        <v>1069</v>
      </c>
      <c r="AC811" s="133">
        <v>2400</v>
      </c>
      <c r="AD811" s="146" t="s">
        <v>51</v>
      </c>
      <c r="AE811" s="146" t="s">
        <v>51</v>
      </c>
      <c r="AF811" s="146" t="s">
        <v>51</v>
      </c>
      <c r="AG811" s="146"/>
      <c r="AH811" s="117" t="s">
        <v>52</v>
      </c>
      <c r="AI811" s="133">
        <v>1</v>
      </c>
      <c r="AJ811" s="133"/>
      <c r="AK811" s="133"/>
      <c r="AL811" s="133"/>
      <c r="AM811" s="133"/>
      <c r="AN811" s="117" t="s">
        <v>47</v>
      </c>
      <c r="AO811" s="146"/>
      <c r="AP811" s="133" t="s">
        <v>301</v>
      </c>
      <c r="AQ811" s="2">
        <v>0</v>
      </c>
    </row>
    <row r="812" s="24" customFormat="1" spans="1:43">
      <c r="A812" s="133">
        <v>180614</v>
      </c>
      <c r="B812" s="136" t="s">
        <v>1070</v>
      </c>
      <c r="C812" s="133"/>
      <c r="D812" s="133"/>
      <c r="E812" s="133"/>
      <c r="F812" s="133">
        <v>0</v>
      </c>
      <c r="G812" s="133">
        <v>0</v>
      </c>
      <c r="H812" s="135">
        <v>1.35</v>
      </c>
      <c r="I812" s="133">
        <v>7</v>
      </c>
      <c r="J812" s="133">
        <v>0</v>
      </c>
      <c r="K812" s="146" t="s">
        <v>300</v>
      </c>
      <c r="L812" s="117" t="s">
        <v>47</v>
      </c>
      <c r="M812" s="105">
        <v>2010127</v>
      </c>
      <c r="N812" s="133">
        <v>0</v>
      </c>
      <c r="O812" s="117" t="s">
        <v>48</v>
      </c>
      <c r="P812" s="133">
        <v>1801</v>
      </c>
      <c r="Q812" s="133"/>
      <c r="R812" s="133"/>
      <c r="S812" s="133">
        <v>0</v>
      </c>
      <c r="T812" s="133">
        <v>0</v>
      </c>
      <c r="U812" s="133"/>
      <c r="V812" s="133"/>
      <c r="W812" s="117" t="s">
        <v>47</v>
      </c>
      <c r="X812" s="117"/>
      <c r="Y812" s="117"/>
      <c r="Z812" s="133"/>
      <c r="AA812" s="133"/>
      <c r="AB812" s="133" t="s">
        <v>1071</v>
      </c>
      <c r="AC812" s="133">
        <v>2401</v>
      </c>
      <c r="AD812" s="146" t="s">
        <v>51</v>
      </c>
      <c r="AE812" s="146" t="s">
        <v>51</v>
      </c>
      <c r="AF812" s="146" t="s">
        <v>51</v>
      </c>
      <c r="AG812" s="146"/>
      <c r="AH812" s="117" t="s">
        <v>52</v>
      </c>
      <c r="AI812" s="133">
        <v>1</v>
      </c>
      <c r="AJ812" s="133"/>
      <c r="AK812" s="133"/>
      <c r="AL812" s="133"/>
      <c r="AM812" s="133"/>
      <c r="AN812" s="117" t="s">
        <v>47</v>
      </c>
      <c r="AO812" s="146"/>
      <c r="AP812" s="133" t="s">
        <v>301</v>
      </c>
      <c r="AQ812" s="2">
        <v>0</v>
      </c>
    </row>
    <row r="813" s="24" customFormat="1" spans="1:43">
      <c r="A813" s="133">
        <v>180615</v>
      </c>
      <c r="B813" s="136" t="s">
        <v>336</v>
      </c>
      <c r="C813" s="133"/>
      <c r="D813" s="133"/>
      <c r="E813" s="133"/>
      <c r="F813" s="133">
        <v>0</v>
      </c>
      <c r="G813" s="133">
        <v>0</v>
      </c>
      <c r="H813" s="135">
        <v>1.35</v>
      </c>
      <c r="I813" s="133">
        <v>7</v>
      </c>
      <c r="J813" s="133">
        <v>0</v>
      </c>
      <c r="K813" s="146" t="s">
        <v>300</v>
      </c>
      <c r="L813" s="117" t="s">
        <v>47</v>
      </c>
      <c r="M813" s="105">
        <v>2010128</v>
      </c>
      <c r="N813" s="133">
        <v>0</v>
      </c>
      <c r="O813" s="117" t="s">
        <v>48</v>
      </c>
      <c r="P813" s="133">
        <v>1801</v>
      </c>
      <c r="Q813" s="133"/>
      <c r="R813" s="133"/>
      <c r="S813" s="133">
        <v>0</v>
      </c>
      <c r="T813" s="133">
        <v>0</v>
      </c>
      <c r="U813" s="133"/>
      <c r="V813" s="133"/>
      <c r="W813" s="117" t="s">
        <v>47</v>
      </c>
      <c r="X813" s="117"/>
      <c r="Y813" s="117"/>
      <c r="Z813" s="133"/>
      <c r="AA813" s="133"/>
      <c r="AB813" s="133" t="s">
        <v>1072</v>
      </c>
      <c r="AC813" s="133">
        <v>2402</v>
      </c>
      <c r="AD813" s="146" t="s">
        <v>51</v>
      </c>
      <c r="AE813" s="146" t="s">
        <v>51</v>
      </c>
      <c r="AF813" s="146" t="s">
        <v>51</v>
      </c>
      <c r="AG813" s="146"/>
      <c r="AH813" s="117" t="s">
        <v>52</v>
      </c>
      <c r="AI813" s="133">
        <v>1</v>
      </c>
      <c r="AJ813" s="133"/>
      <c r="AK813" s="133"/>
      <c r="AL813" s="133"/>
      <c r="AM813" s="133"/>
      <c r="AN813" s="117" t="s">
        <v>47</v>
      </c>
      <c r="AO813" s="146"/>
      <c r="AP813" s="133" t="s">
        <v>301</v>
      </c>
      <c r="AQ813" s="2">
        <v>0</v>
      </c>
    </row>
    <row r="814" s="23" customFormat="1" spans="1:43">
      <c r="A814" s="118">
        <v>180616</v>
      </c>
      <c r="B814" s="73" t="s">
        <v>1073</v>
      </c>
      <c r="C814" s="118"/>
      <c r="D814" s="118"/>
      <c r="E814" s="118"/>
      <c r="F814" s="118">
        <v>0</v>
      </c>
      <c r="G814" s="118">
        <v>0</v>
      </c>
      <c r="H814" s="131">
        <v>1.35</v>
      </c>
      <c r="I814" s="118">
        <v>7</v>
      </c>
      <c r="J814" s="118">
        <v>0</v>
      </c>
      <c r="K814" s="145" t="s">
        <v>300</v>
      </c>
      <c r="L814" s="117" t="s">
        <v>47</v>
      </c>
      <c r="M814" s="105">
        <v>2010129</v>
      </c>
      <c r="N814" s="118">
        <v>0</v>
      </c>
      <c r="O814" s="117" t="s">
        <v>48</v>
      </c>
      <c r="P814" s="118">
        <v>1801</v>
      </c>
      <c r="Q814" s="118"/>
      <c r="R814" s="118"/>
      <c r="S814" s="118">
        <v>0</v>
      </c>
      <c r="T814" s="118">
        <v>0</v>
      </c>
      <c r="U814" s="118"/>
      <c r="V814" s="118"/>
      <c r="W814" s="117" t="s">
        <v>47</v>
      </c>
      <c r="X814" s="117"/>
      <c r="Y814" s="117"/>
      <c r="Z814" s="118"/>
      <c r="AA814" s="118"/>
      <c r="AB814" s="149" t="s">
        <v>1074</v>
      </c>
      <c r="AC814" s="118">
        <v>2405</v>
      </c>
      <c r="AD814" s="145" t="s">
        <v>51</v>
      </c>
      <c r="AE814" s="145" t="s">
        <v>51</v>
      </c>
      <c r="AF814" s="145" t="s">
        <v>51</v>
      </c>
      <c r="AG814" s="145"/>
      <c r="AH814" s="117" t="s">
        <v>52</v>
      </c>
      <c r="AI814" s="118">
        <v>1</v>
      </c>
      <c r="AJ814" s="118"/>
      <c r="AK814" s="118"/>
      <c r="AL814" s="118"/>
      <c r="AM814" s="118"/>
      <c r="AN814" s="117" t="s">
        <v>47</v>
      </c>
      <c r="AO814" s="145"/>
      <c r="AP814" s="118" t="s">
        <v>301</v>
      </c>
      <c r="AQ814" s="2">
        <v>0</v>
      </c>
    </row>
    <row r="815" s="23" customFormat="1" spans="1:43">
      <c r="A815" s="118">
        <v>180617</v>
      </c>
      <c r="B815" s="73" t="s">
        <v>1075</v>
      </c>
      <c r="C815" s="118"/>
      <c r="D815" s="118"/>
      <c r="E815" s="118"/>
      <c r="F815" s="118">
        <v>0</v>
      </c>
      <c r="G815" s="118">
        <v>0</v>
      </c>
      <c r="H815" s="131">
        <v>1.35</v>
      </c>
      <c r="I815" s="118">
        <v>7</v>
      </c>
      <c r="J815" s="118">
        <v>0</v>
      </c>
      <c r="K815" s="145" t="s">
        <v>300</v>
      </c>
      <c r="L815" s="117" t="s">
        <v>47</v>
      </c>
      <c r="M815" s="105">
        <v>2010130</v>
      </c>
      <c r="N815" s="118">
        <v>0</v>
      </c>
      <c r="O815" s="117" t="s">
        <v>48</v>
      </c>
      <c r="P815" s="118">
        <v>1801</v>
      </c>
      <c r="Q815" s="118"/>
      <c r="R815" s="118"/>
      <c r="S815" s="118">
        <v>0</v>
      </c>
      <c r="T815" s="118">
        <v>0</v>
      </c>
      <c r="U815" s="118"/>
      <c r="V815" s="118"/>
      <c r="W815" s="117" t="s">
        <v>47</v>
      </c>
      <c r="X815" s="117"/>
      <c r="Y815" s="117"/>
      <c r="Z815" s="118"/>
      <c r="AA815" s="118"/>
      <c r="AB815" s="149" t="s">
        <v>1076</v>
      </c>
      <c r="AC815" s="118">
        <v>2406</v>
      </c>
      <c r="AD815" s="145" t="s">
        <v>51</v>
      </c>
      <c r="AE815" s="145" t="s">
        <v>51</v>
      </c>
      <c r="AF815" s="145" t="s">
        <v>51</v>
      </c>
      <c r="AG815" s="145"/>
      <c r="AH815" s="117" t="s">
        <v>52</v>
      </c>
      <c r="AI815" s="118">
        <v>1</v>
      </c>
      <c r="AJ815" s="118"/>
      <c r="AK815" s="118"/>
      <c r="AL815" s="118"/>
      <c r="AM815" s="118"/>
      <c r="AN815" s="117" t="s">
        <v>47</v>
      </c>
      <c r="AO815" s="145"/>
      <c r="AP815" s="118" t="s">
        <v>301</v>
      </c>
      <c r="AQ815" s="2">
        <v>0</v>
      </c>
    </row>
    <row r="816" s="23" customFormat="1" spans="1:43">
      <c r="A816" s="118">
        <v>180618</v>
      </c>
      <c r="B816" s="73" t="s">
        <v>1077</v>
      </c>
      <c r="C816" s="118"/>
      <c r="D816" s="118"/>
      <c r="E816" s="118"/>
      <c r="F816" s="118">
        <v>0</v>
      </c>
      <c r="G816" s="118">
        <v>0</v>
      </c>
      <c r="H816" s="131">
        <v>1.35</v>
      </c>
      <c r="I816" s="118">
        <v>7</v>
      </c>
      <c r="J816" s="118">
        <v>0</v>
      </c>
      <c r="K816" s="145" t="s">
        <v>300</v>
      </c>
      <c r="L816" s="117" t="s">
        <v>47</v>
      </c>
      <c r="M816" s="105">
        <v>2010131</v>
      </c>
      <c r="N816" s="118">
        <v>0</v>
      </c>
      <c r="O816" s="117" t="s">
        <v>48</v>
      </c>
      <c r="P816" s="118">
        <v>1801</v>
      </c>
      <c r="Q816" s="118"/>
      <c r="R816" s="118"/>
      <c r="S816" s="118">
        <v>0</v>
      </c>
      <c r="T816" s="118">
        <v>0</v>
      </c>
      <c r="U816" s="118"/>
      <c r="V816" s="118"/>
      <c r="W816" s="117" t="s">
        <v>47</v>
      </c>
      <c r="X816" s="117"/>
      <c r="Y816" s="117"/>
      <c r="Z816" s="118"/>
      <c r="AA816" s="118"/>
      <c r="AB816" s="149" t="s">
        <v>1078</v>
      </c>
      <c r="AC816" s="118">
        <v>2407</v>
      </c>
      <c r="AD816" s="145" t="s">
        <v>51</v>
      </c>
      <c r="AE816" s="145" t="s">
        <v>51</v>
      </c>
      <c r="AF816" s="145" t="s">
        <v>51</v>
      </c>
      <c r="AG816" s="145"/>
      <c r="AH816" s="117" t="s">
        <v>52</v>
      </c>
      <c r="AI816" s="118">
        <v>1</v>
      </c>
      <c r="AJ816" s="118"/>
      <c r="AK816" s="118"/>
      <c r="AL816" s="118"/>
      <c r="AM816" s="118"/>
      <c r="AN816" s="117" t="s">
        <v>47</v>
      </c>
      <c r="AO816" s="145"/>
      <c r="AP816" s="118" t="s">
        <v>301</v>
      </c>
      <c r="AQ816" s="2">
        <v>0</v>
      </c>
    </row>
    <row r="817" s="23" customFormat="1" spans="1:43">
      <c r="A817" s="118">
        <v>180619</v>
      </c>
      <c r="B817" s="73" t="s">
        <v>1079</v>
      </c>
      <c r="C817" s="118"/>
      <c r="D817" s="118"/>
      <c r="E817" s="118"/>
      <c r="F817" s="118">
        <v>0</v>
      </c>
      <c r="G817" s="118">
        <v>0</v>
      </c>
      <c r="H817" s="131">
        <v>1.35</v>
      </c>
      <c r="I817" s="118">
        <v>7</v>
      </c>
      <c r="J817" s="118">
        <v>0</v>
      </c>
      <c r="K817" s="145" t="s">
        <v>300</v>
      </c>
      <c r="L817" s="117" t="s">
        <v>47</v>
      </c>
      <c r="M817" s="105">
        <v>2010132</v>
      </c>
      <c r="N817" s="118">
        <v>0</v>
      </c>
      <c r="O817" s="117" t="s">
        <v>48</v>
      </c>
      <c r="P817" s="118">
        <v>1801</v>
      </c>
      <c r="Q817" s="118"/>
      <c r="R817" s="118"/>
      <c r="S817" s="118">
        <v>0</v>
      </c>
      <c r="T817" s="118">
        <v>0</v>
      </c>
      <c r="U817" s="118"/>
      <c r="V817" s="118"/>
      <c r="W817" s="117" t="s">
        <v>47</v>
      </c>
      <c r="X817" s="117"/>
      <c r="Y817" s="117"/>
      <c r="Z817" s="118"/>
      <c r="AA817" s="118"/>
      <c r="AB817" s="149" t="s">
        <v>1080</v>
      </c>
      <c r="AC817" s="118">
        <v>2408</v>
      </c>
      <c r="AD817" s="145" t="s">
        <v>51</v>
      </c>
      <c r="AE817" s="145" t="s">
        <v>51</v>
      </c>
      <c r="AF817" s="145" t="s">
        <v>51</v>
      </c>
      <c r="AG817" s="145"/>
      <c r="AH817" s="117" t="s">
        <v>52</v>
      </c>
      <c r="AI817" s="118">
        <v>1</v>
      </c>
      <c r="AJ817" s="118"/>
      <c r="AK817" s="118"/>
      <c r="AL817" s="118"/>
      <c r="AM817" s="118"/>
      <c r="AN817" s="117" t="s">
        <v>47</v>
      </c>
      <c r="AO817" s="145"/>
      <c r="AP817" s="118" t="s">
        <v>301</v>
      </c>
      <c r="AQ817" s="2">
        <v>0</v>
      </c>
    </row>
    <row r="818" s="23" customFormat="1" spans="1:43">
      <c r="A818" s="118">
        <v>180620</v>
      </c>
      <c r="B818" s="73" t="s">
        <v>346</v>
      </c>
      <c r="C818" s="118"/>
      <c r="D818" s="118"/>
      <c r="E818" s="118"/>
      <c r="F818" s="118">
        <v>0</v>
      </c>
      <c r="G818" s="118">
        <v>0</v>
      </c>
      <c r="H818" s="131">
        <v>1.35</v>
      </c>
      <c r="I818" s="118">
        <v>7</v>
      </c>
      <c r="J818" s="118">
        <v>0</v>
      </c>
      <c r="K818" s="145" t="s">
        <v>300</v>
      </c>
      <c r="L818" s="117" t="s">
        <v>47</v>
      </c>
      <c r="M818" s="105">
        <v>2010133</v>
      </c>
      <c r="N818" s="118">
        <v>0</v>
      </c>
      <c r="O818" s="117" t="s">
        <v>48</v>
      </c>
      <c r="P818" s="118">
        <v>1801</v>
      </c>
      <c r="Q818" s="118"/>
      <c r="R818" s="118"/>
      <c r="S818" s="118">
        <v>0</v>
      </c>
      <c r="T818" s="118">
        <v>0</v>
      </c>
      <c r="U818" s="118"/>
      <c r="V818" s="118"/>
      <c r="W818" s="117" t="s">
        <v>47</v>
      </c>
      <c r="X818" s="117"/>
      <c r="Y818" s="117"/>
      <c r="Z818" s="118"/>
      <c r="AA818" s="118"/>
      <c r="AB818" s="149" t="s">
        <v>1081</v>
      </c>
      <c r="AC818" s="118">
        <v>2409</v>
      </c>
      <c r="AD818" s="145" t="s">
        <v>51</v>
      </c>
      <c r="AE818" s="145" t="s">
        <v>51</v>
      </c>
      <c r="AF818" s="145" t="s">
        <v>51</v>
      </c>
      <c r="AG818" s="145"/>
      <c r="AH818" s="117" t="s">
        <v>52</v>
      </c>
      <c r="AI818" s="118">
        <v>1</v>
      </c>
      <c r="AJ818" s="118"/>
      <c r="AK818" s="118"/>
      <c r="AL818" s="118"/>
      <c r="AM818" s="118"/>
      <c r="AN818" s="117" t="s">
        <v>47</v>
      </c>
      <c r="AO818" s="145"/>
      <c r="AP818" s="118" t="s">
        <v>301</v>
      </c>
      <c r="AQ818" s="2">
        <v>0</v>
      </c>
    </row>
    <row r="819" s="25" customFormat="1" spans="1:43">
      <c r="A819" s="137">
        <v>180621</v>
      </c>
      <c r="B819" s="138" t="s">
        <v>1082</v>
      </c>
      <c r="C819" s="137"/>
      <c r="D819" s="137"/>
      <c r="E819" s="137"/>
      <c r="F819" s="137">
        <v>0</v>
      </c>
      <c r="G819" s="137">
        <v>0</v>
      </c>
      <c r="H819" s="139">
        <v>1.35</v>
      </c>
      <c r="I819" s="137">
        <v>7</v>
      </c>
      <c r="J819" s="137">
        <v>0</v>
      </c>
      <c r="K819" s="147" t="s">
        <v>46</v>
      </c>
      <c r="L819" s="137" t="s">
        <v>47</v>
      </c>
      <c r="M819" s="105">
        <v>2010134</v>
      </c>
      <c r="N819" s="137">
        <v>0</v>
      </c>
      <c r="O819" s="137" t="s">
        <v>48</v>
      </c>
      <c r="P819" s="137">
        <v>1801</v>
      </c>
      <c r="Q819" s="137"/>
      <c r="R819" s="137"/>
      <c r="S819" s="137">
        <v>0</v>
      </c>
      <c r="T819" s="137">
        <v>0</v>
      </c>
      <c r="U819" s="137"/>
      <c r="V819" s="137"/>
      <c r="W819" s="137" t="s">
        <v>47</v>
      </c>
      <c r="X819" s="137"/>
      <c r="Y819" s="137"/>
      <c r="Z819" s="137"/>
      <c r="AA819" s="137"/>
      <c r="AB819" s="150" t="s">
        <v>1083</v>
      </c>
      <c r="AC819" s="147">
        <v>2410</v>
      </c>
      <c r="AD819" s="147" t="s">
        <v>51</v>
      </c>
      <c r="AE819" s="147" t="s">
        <v>51</v>
      </c>
      <c r="AF819" s="147" t="s">
        <v>51</v>
      </c>
      <c r="AG819" s="147"/>
      <c r="AH819" s="137" t="s">
        <v>52</v>
      </c>
      <c r="AI819" s="137">
        <v>1</v>
      </c>
      <c r="AJ819" s="137"/>
      <c r="AK819" s="137"/>
      <c r="AL819" s="137"/>
      <c r="AM819" s="137"/>
      <c r="AN819" s="137" t="s">
        <v>47</v>
      </c>
      <c r="AO819" s="147"/>
      <c r="AP819" s="137" t="s">
        <v>53</v>
      </c>
      <c r="AQ819" s="153">
        <v>0</v>
      </c>
    </row>
    <row r="820" s="24" customFormat="1" spans="1:43">
      <c r="A820" s="133">
        <v>180622</v>
      </c>
      <c r="B820" s="140" t="s">
        <v>1084</v>
      </c>
      <c r="C820" s="133"/>
      <c r="D820" s="133"/>
      <c r="E820" s="133"/>
      <c r="F820" s="133">
        <v>0</v>
      </c>
      <c r="G820" s="133">
        <v>0</v>
      </c>
      <c r="H820" s="135">
        <v>1.35</v>
      </c>
      <c r="I820" s="133">
        <v>7</v>
      </c>
      <c r="J820" s="133">
        <v>0</v>
      </c>
      <c r="K820" s="146" t="s">
        <v>46</v>
      </c>
      <c r="L820" s="117" t="s">
        <v>47</v>
      </c>
      <c r="M820" s="105">
        <v>2010135</v>
      </c>
      <c r="N820" s="133">
        <v>0</v>
      </c>
      <c r="O820" s="117" t="s">
        <v>48</v>
      </c>
      <c r="P820" s="133">
        <v>1801</v>
      </c>
      <c r="Q820" s="133"/>
      <c r="R820" s="133"/>
      <c r="S820" s="133">
        <v>0</v>
      </c>
      <c r="T820" s="133">
        <v>0</v>
      </c>
      <c r="U820" s="133"/>
      <c r="V820" s="133"/>
      <c r="W820" s="117" t="s">
        <v>47</v>
      </c>
      <c r="X820" s="117"/>
      <c r="Y820" s="117"/>
      <c r="Z820" s="133"/>
      <c r="AA820" s="133"/>
      <c r="AB820" s="151" t="s">
        <v>1083</v>
      </c>
      <c r="AC820" s="146">
        <v>2410</v>
      </c>
      <c r="AD820" s="146" t="s">
        <v>51</v>
      </c>
      <c r="AE820" s="146" t="s">
        <v>51</v>
      </c>
      <c r="AF820" s="146" t="s">
        <v>51</v>
      </c>
      <c r="AG820" s="146"/>
      <c r="AH820" s="117" t="s">
        <v>52</v>
      </c>
      <c r="AI820" s="133">
        <v>1</v>
      </c>
      <c r="AJ820" s="133"/>
      <c r="AK820" s="133"/>
      <c r="AL820" s="133"/>
      <c r="AM820" s="133"/>
      <c r="AN820" s="117" t="s">
        <v>47</v>
      </c>
      <c r="AO820" s="146"/>
      <c r="AP820" s="133" t="s">
        <v>53</v>
      </c>
      <c r="AQ820" s="2">
        <v>0</v>
      </c>
    </row>
    <row r="821" s="24" customFormat="1" spans="1:43">
      <c r="A821" s="133">
        <v>180623</v>
      </c>
      <c r="B821" s="140" t="s">
        <v>1085</v>
      </c>
      <c r="C821" s="133"/>
      <c r="D821" s="133"/>
      <c r="E821" s="133"/>
      <c r="F821" s="133">
        <v>0</v>
      </c>
      <c r="G821" s="133">
        <v>0</v>
      </c>
      <c r="H821" s="135">
        <v>1.35</v>
      </c>
      <c r="I821" s="133">
        <v>7</v>
      </c>
      <c r="J821" s="133">
        <v>0</v>
      </c>
      <c r="K821" s="146" t="s">
        <v>46</v>
      </c>
      <c r="L821" s="117" t="s">
        <v>47</v>
      </c>
      <c r="M821" s="105">
        <v>2010136</v>
      </c>
      <c r="N821" s="133">
        <v>0</v>
      </c>
      <c r="O821" s="117" t="s">
        <v>48</v>
      </c>
      <c r="P821" s="133">
        <v>1801</v>
      </c>
      <c r="Q821" s="133"/>
      <c r="R821" s="133"/>
      <c r="S821" s="133">
        <v>0</v>
      </c>
      <c r="T821" s="133">
        <v>0</v>
      </c>
      <c r="U821" s="133"/>
      <c r="V821" s="133"/>
      <c r="W821" s="117" t="s">
        <v>47</v>
      </c>
      <c r="X821" s="117"/>
      <c r="Y821" s="117"/>
      <c r="Z821" s="133"/>
      <c r="AA821" s="133"/>
      <c r="AB821" s="151" t="s">
        <v>1086</v>
      </c>
      <c r="AC821" s="146">
        <v>2411</v>
      </c>
      <c r="AD821" s="146" t="s">
        <v>51</v>
      </c>
      <c r="AE821" s="146" t="s">
        <v>51</v>
      </c>
      <c r="AF821" s="146" t="s">
        <v>51</v>
      </c>
      <c r="AG821" s="146"/>
      <c r="AH821" s="117" t="s">
        <v>52</v>
      </c>
      <c r="AI821" s="133">
        <v>1</v>
      </c>
      <c r="AJ821" s="133"/>
      <c r="AK821" s="133"/>
      <c r="AL821" s="133"/>
      <c r="AM821" s="133"/>
      <c r="AN821" s="117" t="s">
        <v>47</v>
      </c>
      <c r="AO821" s="146"/>
      <c r="AP821" s="133" t="s">
        <v>53</v>
      </c>
      <c r="AQ821" s="2">
        <v>0</v>
      </c>
    </row>
    <row r="822" s="24" customFormat="1" spans="1:43">
      <c r="A822" s="133">
        <v>180624</v>
      </c>
      <c r="B822" s="140" t="s">
        <v>1087</v>
      </c>
      <c r="C822" s="133"/>
      <c r="D822" s="133"/>
      <c r="E822" s="133"/>
      <c r="F822" s="133">
        <v>0</v>
      </c>
      <c r="G822" s="133">
        <v>0</v>
      </c>
      <c r="H822" s="135">
        <v>1.35</v>
      </c>
      <c r="I822" s="133">
        <v>7</v>
      </c>
      <c r="J822" s="133">
        <v>0</v>
      </c>
      <c r="K822" s="146" t="s">
        <v>46</v>
      </c>
      <c r="L822" s="117" t="s">
        <v>47</v>
      </c>
      <c r="M822" s="105">
        <v>2010138</v>
      </c>
      <c r="N822" s="133">
        <v>0</v>
      </c>
      <c r="O822" s="117" t="s">
        <v>48</v>
      </c>
      <c r="P822" s="133">
        <v>1801</v>
      </c>
      <c r="Q822" s="133"/>
      <c r="R822" s="133"/>
      <c r="S822" s="133">
        <v>0</v>
      </c>
      <c r="T822" s="133">
        <v>0</v>
      </c>
      <c r="U822" s="133"/>
      <c r="V822" s="133"/>
      <c r="W822" s="117" t="s">
        <v>47</v>
      </c>
      <c r="X822" s="117"/>
      <c r="Y822" s="117"/>
      <c r="Z822" s="133"/>
      <c r="AA822" s="133"/>
      <c r="AB822" s="151" t="s">
        <v>1088</v>
      </c>
      <c r="AC822" s="146">
        <v>2412</v>
      </c>
      <c r="AD822" s="146" t="s">
        <v>51</v>
      </c>
      <c r="AE822" s="146" t="s">
        <v>51</v>
      </c>
      <c r="AF822" s="146" t="s">
        <v>51</v>
      </c>
      <c r="AG822" s="146"/>
      <c r="AH822" s="117" t="s">
        <v>52</v>
      </c>
      <c r="AI822" s="133">
        <v>1</v>
      </c>
      <c r="AJ822" s="133"/>
      <c r="AK822" s="133"/>
      <c r="AL822" s="133"/>
      <c r="AM822" s="133"/>
      <c r="AN822" s="117" t="s">
        <v>47</v>
      </c>
      <c r="AO822" s="146"/>
      <c r="AP822" s="133" t="s">
        <v>53</v>
      </c>
      <c r="AQ822" s="2">
        <v>0</v>
      </c>
    </row>
    <row r="823" s="24" customFormat="1" spans="1:43">
      <c r="A823" s="133">
        <v>180625</v>
      </c>
      <c r="B823" s="140" t="s">
        <v>636</v>
      </c>
      <c r="C823" s="133"/>
      <c r="D823" s="133"/>
      <c r="E823" s="133"/>
      <c r="F823" s="133">
        <v>0</v>
      </c>
      <c r="G823" s="133">
        <v>0</v>
      </c>
      <c r="H823" s="135">
        <v>1.35</v>
      </c>
      <c r="I823" s="133">
        <v>7</v>
      </c>
      <c r="J823" s="133">
        <v>0</v>
      </c>
      <c r="K823" s="146" t="s">
        <v>46</v>
      </c>
      <c r="L823" s="117" t="s">
        <v>47</v>
      </c>
      <c r="M823" s="105">
        <v>2010138</v>
      </c>
      <c r="N823" s="133">
        <v>0</v>
      </c>
      <c r="O823" s="117" t="s">
        <v>48</v>
      </c>
      <c r="P823" s="133">
        <v>1801</v>
      </c>
      <c r="Q823" s="133"/>
      <c r="R823" s="133"/>
      <c r="S823" s="133">
        <v>0</v>
      </c>
      <c r="T823" s="133">
        <v>0</v>
      </c>
      <c r="U823" s="133"/>
      <c r="V823" s="133"/>
      <c r="W823" s="117" t="s">
        <v>47</v>
      </c>
      <c r="X823" s="117"/>
      <c r="Y823" s="117"/>
      <c r="Z823" s="133"/>
      <c r="AA823" s="133"/>
      <c r="AB823" s="151" t="s">
        <v>1089</v>
      </c>
      <c r="AC823" s="146">
        <v>2413</v>
      </c>
      <c r="AD823" s="146" t="s">
        <v>51</v>
      </c>
      <c r="AE823" s="146" t="s">
        <v>51</v>
      </c>
      <c r="AF823" s="146" t="s">
        <v>51</v>
      </c>
      <c r="AG823" s="146"/>
      <c r="AH823" s="117" t="s">
        <v>52</v>
      </c>
      <c r="AI823" s="133">
        <v>1</v>
      </c>
      <c r="AJ823" s="133"/>
      <c r="AK823" s="133"/>
      <c r="AL823" s="133"/>
      <c r="AM823" s="133"/>
      <c r="AN823" s="117" t="s">
        <v>47</v>
      </c>
      <c r="AO823" s="146"/>
      <c r="AP823" s="133" t="s">
        <v>53</v>
      </c>
      <c r="AQ823" s="2">
        <v>0</v>
      </c>
    </row>
    <row r="824" s="23" customFormat="1" spans="1:43">
      <c r="A824" s="118">
        <v>180626</v>
      </c>
      <c r="B824" s="73" t="s">
        <v>1090</v>
      </c>
      <c r="C824" s="118"/>
      <c r="D824" s="118"/>
      <c r="E824" s="118"/>
      <c r="F824" s="118">
        <v>0</v>
      </c>
      <c r="G824" s="118">
        <v>0</v>
      </c>
      <c r="H824" s="131">
        <v>1.35</v>
      </c>
      <c r="I824" s="118">
        <v>7</v>
      </c>
      <c r="J824" s="118">
        <v>0</v>
      </c>
      <c r="K824" s="145" t="s">
        <v>46</v>
      </c>
      <c r="L824" s="117" t="s">
        <v>47</v>
      </c>
      <c r="M824" s="105">
        <v>2010140</v>
      </c>
      <c r="N824" s="118">
        <v>0</v>
      </c>
      <c r="O824" s="117" t="s">
        <v>48</v>
      </c>
      <c r="P824" s="118">
        <v>1801</v>
      </c>
      <c r="Q824" s="118"/>
      <c r="R824" s="118"/>
      <c r="S824" s="118">
        <v>0</v>
      </c>
      <c r="T824" s="118">
        <v>0</v>
      </c>
      <c r="U824" s="118"/>
      <c r="V824" s="118"/>
      <c r="W824" s="117" t="s">
        <v>47</v>
      </c>
      <c r="X824" s="117"/>
      <c r="Y824" s="117"/>
      <c r="Z824" s="118"/>
      <c r="AA824" s="118"/>
      <c r="AB824" s="149" t="s">
        <v>1091</v>
      </c>
      <c r="AC824" s="145">
        <v>2414</v>
      </c>
      <c r="AD824" s="145" t="s">
        <v>51</v>
      </c>
      <c r="AE824" s="145" t="s">
        <v>51</v>
      </c>
      <c r="AF824" s="145" t="s">
        <v>51</v>
      </c>
      <c r="AG824" s="145"/>
      <c r="AH824" s="117" t="s">
        <v>52</v>
      </c>
      <c r="AI824" s="118">
        <v>1</v>
      </c>
      <c r="AJ824" s="118"/>
      <c r="AK824" s="118"/>
      <c r="AL824" s="118"/>
      <c r="AM824" s="118"/>
      <c r="AN824" s="117" t="s">
        <v>47</v>
      </c>
      <c r="AO824" s="145"/>
      <c r="AP824" s="118" t="s">
        <v>53</v>
      </c>
      <c r="AQ824" s="2">
        <v>0</v>
      </c>
    </row>
    <row r="825" s="23" customFormat="1" spans="1:43">
      <c r="A825" s="118">
        <v>180627</v>
      </c>
      <c r="B825" s="73" t="s">
        <v>1092</v>
      </c>
      <c r="C825" s="118"/>
      <c r="D825" s="118"/>
      <c r="E825" s="118"/>
      <c r="F825" s="118">
        <v>0</v>
      </c>
      <c r="G825" s="118">
        <v>0</v>
      </c>
      <c r="H825" s="131">
        <v>1.35</v>
      </c>
      <c r="I825" s="118">
        <v>7</v>
      </c>
      <c r="J825" s="118">
        <v>0</v>
      </c>
      <c r="K825" s="145" t="s">
        <v>46</v>
      </c>
      <c r="L825" s="117" t="s">
        <v>47</v>
      </c>
      <c r="M825" s="105">
        <v>2010142</v>
      </c>
      <c r="N825" s="118">
        <v>0</v>
      </c>
      <c r="O825" s="117" t="s">
        <v>48</v>
      </c>
      <c r="P825" s="118">
        <v>1801</v>
      </c>
      <c r="Q825" s="118"/>
      <c r="R825" s="118"/>
      <c r="S825" s="118">
        <v>0</v>
      </c>
      <c r="T825" s="118">
        <v>0</v>
      </c>
      <c r="U825" s="118"/>
      <c r="V825" s="118"/>
      <c r="W825" s="117" t="s">
        <v>47</v>
      </c>
      <c r="X825" s="117"/>
      <c r="Y825" s="117"/>
      <c r="Z825" s="118"/>
      <c r="AA825" s="118"/>
      <c r="AB825" s="149" t="s">
        <v>1093</v>
      </c>
      <c r="AC825" s="145">
        <v>2415</v>
      </c>
      <c r="AD825" s="145" t="s">
        <v>51</v>
      </c>
      <c r="AE825" s="145" t="s">
        <v>51</v>
      </c>
      <c r="AF825" s="145" t="s">
        <v>51</v>
      </c>
      <c r="AG825" s="145"/>
      <c r="AH825" s="117" t="s">
        <v>52</v>
      </c>
      <c r="AI825" s="118">
        <v>1</v>
      </c>
      <c r="AJ825" s="118"/>
      <c r="AK825" s="118"/>
      <c r="AL825" s="118"/>
      <c r="AM825" s="118"/>
      <c r="AN825" s="117" t="s">
        <v>47</v>
      </c>
      <c r="AO825" s="145"/>
      <c r="AP825" s="118" t="s">
        <v>53</v>
      </c>
      <c r="AQ825" s="2">
        <v>0</v>
      </c>
    </row>
    <row r="826" s="23" customFormat="1" spans="1:43">
      <c r="A826" s="118">
        <v>180628</v>
      </c>
      <c r="B826" s="73" t="s">
        <v>1094</v>
      </c>
      <c r="C826" s="118"/>
      <c r="D826" s="118"/>
      <c r="E826" s="118"/>
      <c r="F826" s="118">
        <v>2</v>
      </c>
      <c r="G826" s="118">
        <v>0</v>
      </c>
      <c r="H826" s="131">
        <v>1.35</v>
      </c>
      <c r="I826" s="118">
        <v>7</v>
      </c>
      <c r="J826" s="118">
        <v>0</v>
      </c>
      <c r="K826" s="145" t="s">
        <v>46</v>
      </c>
      <c r="L826" s="117" t="s">
        <v>47</v>
      </c>
      <c r="M826" s="105">
        <v>2010146</v>
      </c>
      <c r="N826" s="118">
        <v>0</v>
      </c>
      <c r="O826" s="117" t="s">
        <v>48</v>
      </c>
      <c r="P826" s="118">
        <v>1801</v>
      </c>
      <c r="Q826" s="118"/>
      <c r="R826" s="118"/>
      <c r="S826" s="118">
        <v>0</v>
      </c>
      <c r="T826" s="118">
        <v>0</v>
      </c>
      <c r="U826" s="118"/>
      <c r="V826" s="118"/>
      <c r="W826" s="117" t="s">
        <v>47</v>
      </c>
      <c r="X826" s="117"/>
      <c r="Y826" s="117"/>
      <c r="Z826" s="118"/>
      <c r="AA826" s="118"/>
      <c r="AB826" s="149" t="s">
        <v>1095</v>
      </c>
      <c r="AC826" s="145">
        <v>2416</v>
      </c>
      <c r="AD826" s="145" t="s">
        <v>51</v>
      </c>
      <c r="AE826" s="145" t="s">
        <v>51</v>
      </c>
      <c r="AF826" s="145" t="s">
        <v>51</v>
      </c>
      <c r="AG826" s="145"/>
      <c r="AH826" s="117" t="s">
        <v>52</v>
      </c>
      <c r="AI826" s="118">
        <v>1</v>
      </c>
      <c r="AJ826" s="118"/>
      <c r="AK826" s="118"/>
      <c r="AL826" s="118"/>
      <c r="AM826" s="118"/>
      <c r="AN826" s="117" t="s">
        <v>47</v>
      </c>
      <c r="AO826" s="145"/>
      <c r="AP826" s="118" t="s">
        <v>53</v>
      </c>
      <c r="AQ826" s="2">
        <v>0</v>
      </c>
    </row>
    <row r="827" s="23" customFormat="1" spans="1:43">
      <c r="A827" s="118">
        <v>180629</v>
      </c>
      <c r="B827" s="73" t="s">
        <v>1096</v>
      </c>
      <c r="C827" s="118"/>
      <c r="D827" s="118"/>
      <c r="E827" s="118"/>
      <c r="F827" s="118">
        <v>0</v>
      </c>
      <c r="G827" s="118">
        <v>0</v>
      </c>
      <c r="H827" s="131">
        <v>1.35</v>
      </c>
      <c r="I827" s="118">
        <v>7</v>
      </c>
      <c r="J827" s="118">
        <v>0</v>
      </c>
      <c r="K827" s="145" t="s">
        <v>46</v>
      </c>
      <c r="L827" s="117" t="s">
        <v>47</v>
      </c>
      <c r="M827" s="105">
        <v>2010147</v>
      </c>
      <c r="N827" s="118">
        <v>0</v>
      </c>
      <c r="O827" s="117" t="s">
        <v>48</v>
      </c>
      <c r="P827" s="118">
        <v>1801</v>
      </c>
      <c r="Q827" s="118"/>
      <c r="R827" s="118"/>
      <c r="S827" s="118">
        <v>0</v>
      </c>
      <c r="T827" s="118">
        <v>0</v>
      </c>
      <c r="U827" s="118"/>
      <c r="V827" s="118"/>
      <c r="W827" s="117" t="s">
        <v>47</v>
      </c>
      <c r="X827" s="117"/>
      <c r="Y827" s="117"/>
      <c r="Z827" s="118"/>
      <c r="AA827" s="118"/>
      <c r="AB827" s="149" t="s">
        <v>1097</v>
      </c>
      <c r="AC827" s="145">
        <v>2417</v>
      </c>
      <c r="AD827" s="145" t="s">
        <v>51</v>
      </c>
      <c r="AE827" s="145" t="s">
        <v>51</v>
      </c>
      <c r="AF827" s="145" t="s">
        <v>51</v>
      </c>
      <c r="AG827" s="145"/>
      <c r="AH827" s="117" t="s">
        <v>52</v>
      </c>
      <c r="AI827" s="118">
        <v>1</v>
      </c>
      <c r="AJ827" s="118"/>
      <c r="AK827" s="118"/>
      <c r="AL827" s="118"/>
      <c r="AM827" s="118"/>
      <c r="AN827" s="117" t="s">
        <v>47</v>
      </c>
      <c r="AO827" s="145"/>
      <c r="AP827" s="118" t="s">
        <v>53</v>
      </c>
      <c r="AQ827" s="2">
        <v>0</v>
      </c>
    </row>
    <row r="828" s="23" customFormat="1" spans="1:43">
      <c r="A828" s="118">
        <v>180630</v>
      </c>
      <c r="B828" s="73" t="s">
        <v>1098</v>
      </c>
      <c r="C828" s="118"/>
      <c r="D828" s="118"/>
      <c r="E828" s="118"/>
      <c r="F828" s="118">
        <v>0</v>
      </c>
      <c r="G828" s="118">
        <v>0</v>
      </c>
      <c r="H828" s="131">
        <v>1.35</v>
      </c>
      <c r="I828" s="118">
        <v>7</v>
      </c>
      <c r="J828" s="118">
        <v>0</v>
      </c>
      <c r="K828" s="145" t="s">
        <v>46</v>
      </c>
      <c r="L828" s="117" t="s">
        <v>47</v>
      </c>
      <c r="M828" s="105">
        <v>2010148</v>
      </c>
      <c r="N828" s="118">
        <v>0</v>
      </c>
      <c r="O828" s="117" t="s">
        <v>48</v>
      </c>
      <c r="P828" s="118">
        <v>1801</v>
      </c>
      <c r="Q828" s="118"/>
      <c r="R828" s="118"/>
      <c r="S828" s="118">
        <v>0</v>
      </c>
      <c r="T828" s="118">
        <v>0</v>
      </c>
      <c r="U828" s="118"/>
      <c r="V828" s="118"/>
      <c r="W828" s="117" t="s">
        <v>47</v>
      </c>
      <c r="X828" s="117"/>
      <c r="Y828" s="117"/>
      <c r="Z828" s="118"/>
      <c r="AA828" s="118"/>
      <c r="AB828" s="149" t="s">
        <v>1099</v>
      </c>
      <c r="AC828" s="145">
        <v>2418</v>
      </c>
      <c r="AD828" s="145" t="s">
        <v>51</v>
      </c>
      <c r="AE828" s="145" t="s">
        <v>51</v>
      </c>
      <c r="AF828" s="145" t="s">
        <v>51</v>
      </c>
      <c r="AG828" s="145"/>
      <c r="AH828" s="117" t="s">
        <v>52</v>
      </c>
      <c r="AI828" s="118">
        <v>1</v>
      </c>
      <c r="AJ828" s="118"/>
      <c r="AK828" s="118"/>
      <c r="AL828" s="118"/>
      <c r="AM828" s="118"/>
      <c r="AN828" s="117" t="s">
        <v>47</v>
      </c>
      <c r="AO828" s="145"/>
      <c r="AP828" s="118" t="s">
        <v>53</v>
      </c>
      <c r="AQ828" s="2">
        <v>0</v>
      </c>
    </row>
    <row r="829" s="24" customFormat="1" spans="1:43">
      <c r="A829" s="133">
        <v>180631</v>
      </c>
      <c r="B829" s="140" t="s">
        <v>1100</v>
      </c>
      <c r="C829" s="133"/>
      <c r="D829" s="133"/>
      <c r="E829" s="133"/>
      <c r="F829" s="133">
        <v>0</v>
      </c>
      <c r="G829" s="133">
        <v>0</v>
      </c>
      <c r="H829" s="135">
        <v>1.35</v>
      </c>
      <c r="I829" s="133">
        <v>7</v>
      </c>
      <c r="J829" s="133">
        <v>0</v>
      </c>
      <c r="K829" s="146" t="s">
        <v>46</v>
      </c>
      <c r="L829" s="117" t="s">
        <v>47</v>
      </c>
      <c r="M829" s="105">
        <v>2010149</v>
      </c>
      <c r="N829" s="133">
        <v>0</v>
      </c>
      <c r="O829" s="117" t="s">
        <v>48</v>
      </c>
      <c r="P829" s="133">
        <v>1801</v>
      </c>
      <c r="Q829" s="133"/>
      <c r="R829" s="133"/>
      <c r="S829" s="133">
        <v>0</v>
      </c>
      <c r="T829" s="133">
        <v>0</v>
      </c>
      <c r="U829" s="133"/>
      <c r="V829" s="133"/>
      <c r="W829" s="117" t="s">
        <v>47</v>
      </c>
      <c r="X829" s="117"/>
      <c r="Y829" s="117"/>
      <c r="Z829" s="133"/>
      <c r="AA829" s="133"/>
      <c r="AB829" s="151" t="s">
        <v>1101</v>
      </c>
      <c r="AC829" s="133">
        <v>2419</v>
      </c>
      <c r="AD829" s="146" t="s">
        <v>51</v>
      </c>
      <c r="AE829" s="146" t="s">
        <v>51</v>
      </c>
      <c r="AF829" s="146" t="s">
        <v>51</v>
      </c>
      <c r="AG829" s="146"/>
      <c r="AH829" s="117" t="s">
        <v>52</v>
      </c>
      <c r="AI829" s="133">
        <v>1</v>
      </c>
      <c r="AJ829" s="133"/>
      <c r="AK829" s="133"/>
      <c r="AL829" s="133"/>
      <c r="AM829" s="133"/>
      <c r="AN829" s="117" t="s">
        <v>47</v>
      </c>
      <c r="AO829" s="146"/>
      <c r="AP829" s="133" t="s">
        <v>53</v>
      </c>
      <c r="AQ829" s="2">
        <v>0</v>
      </c>
    </row>
    <row r="830" s="24" customFormat="1" spans="1:43">
      <c r="A830" s="133">
        <v>180632</v>
      </c>
      <c r="B830" s="140" t="s">
        <v>1102</v>
      </c>
      <c r="C830" s="133"/>
      <c r="D830" s="133"/>
      <c r="E830" s="133"/>
      <c r="F830" s="133">
        <v>0</v>
      </c>
      <c r="G830" s="133">
        <v>0</v>
      </c>
      <c r="H830" s="135">
        <v>1.35</v>
      </c>
      <c r="I830" s="133">
        <v>7</v>
      </c>
      <c r="J830" s="133">
        <v>0</v>
      </c>
      <c r="K830" s="146" t="s">
        <v>46</v>
      </c>
      <c r="L830" s="117" t="s">
        <v>47</v>
      </c>
      <c r="M830" s="105">
        <v>2010150</v>
      </c>
      <c r="N830" s="133">
        <v>0</v>
      </c>
      <c r="O830" s="117" t="s">
        <v>48</v>
      </c>
      <c r="P830" s="133">
        <v>1801</v>
      </c>
      <c r="Q830" s="133"/>
      <c r="R830" s="133"/>
      <c r="S830" s="133">
        <v>0</v>
      </c>
      <c r="T830" s="133">
        <v>0</v>
      </c>
      <c r="U830" s="133"/>
      <c r="V830" s="133"/>
      <c r="W830" s="117" t="s">
        <v>47</v>
      </c>
      <c r="X830" s="117"/>
      <c r="Y830" s="117"/>
      <c r="Z830" s="133"/>
      <c r="AA830" s="133"/>
      <c r="AB830" s="151" t="s">
        <v>1103</v>
      </c>
      <c r="AC830" s="133">
        <v>2420</v>
      </c>
      <c r="AD830" s="146" t="s">
        <v>51</v>
      </c>
      <c r="AE830" s="146" t="s">
        <v>51</v>
      </c>
      <c r="AF830" s="146" t="s">
        <v>51</v>
      </c>
      <c r="AG830" s="146"/>
      <c r="AH830" s="117" t="s">
        <v>52</v>
      </c>
      <c r="AI830" s="133">
        <v>1</v>
      </c>
      <c r="AJ830" s="133"/>
      <c r="AK830" s="133"/>
      <c r="AL830" s="133"/>
      <c r="AM830" s="133"/>
      <c r="AN830" s="117" t="s">
        <v>47</v>
      </c>
      <c r="AO830" s="146"/>
      <c r="AP830" s="133" t="s">
        <v>53</v>
      </c>
      <c r="AQ830" s="2">
        <v>0</v>
      </c>
    </row>
    <row r="831" s="24" customFormat="1" spans="1:43">
      <c r="A831" s="133">
        <v>180633</v>
      </c>
      <c r="B831" s="140" t="s">
        <v>1104</v>
      </c>
      <c r="C831" s="133"/>
      <c r="D831" s="133"/>
      <c r="E831" s="133"/>
      <c r="F831" s="133">
        <v>0</v>
      </c>
      <c r="G831" s="133">
        <v>0</v>
      </c>
      <c r="H831" s="135">
        <v>1.35</v>
      </c>
      <c r="I831" s="133">
        <v>7</v>
      </c>
      <c r="J831" s="133">
        <v>0</v>
      </c>
      <c r="K831" s="146" t="s">
        <v>46</v>
      </c>
      <c r="L831" s="117" t="s">
        <v>47</v>
      </c>
      <c r="M831" s="105">
        <v>2010151</v>
      </c>
      <c r="N831" s="133">
        <v>0</v>
      </c>
      <c r="O831" s="117" t="s">
        <v>48</v>
      </c>
      <c r="P831" s="133">
        <v>1801</v>
      </c>
      <c r="Q831" s="133"/>
      <c r="R831" s="133"/>
      <c r="S831" s="133">
        <v>0</v>
      </c>
      <c r="T831" s="133">
        <v>0</v>
      </c>
      <c r="U831" s="133"/>
      <c r="V831" s="133"/>
      <c r="W831" s="117" t="s">
        <v>47</v>
      </c>
      <c r="X831" s="117"/>
      <c r="Y831" s="117"/>
      <c r="Z831" s="133"/>
      <c r="AA831" s="133"/>
      <c r="AB831" s="151" t="s">
        <v>1105</v>
      </c>
      <c r="AC831" s="133">
        <v>2421</v>
      </c>
      <c r="AD831" s="146" t="s">
        <v>51</v>
      </c>
      <c r="AE831" s="146" t="s">
        <v>51</v>
      </c>
      <c r="AF831" s="146" t="s">
        <v>51</v>
      </c>
      <c r="AG831" s="146"/>
      <c r="AH831" s="117" t="s">
        <v>52</v>
      </c>
      <c r="AI831" s="133">
        <v>1</v>
      </c>
      <c r="AJ831" s="133"/>
      <c r="AK831" s="133"/>
      <c r="AL831" s="133"/>
      <c r="AM831" s="133"/>
      <c r="AN831" s="117" t="s">
        <v>47</v>
      </c>
      <c r="AO831" s="146"/>
      <c r="AP831" s="133" t="s">
        <v>53</v>
      </c>
      <c r="AQ831" s="2">
        <v>0</v>
      </c>
    </row>
    <row r="832" s="24" customFormat="1" spans="1:43">
      <c r="A832" s="133">
        <v>180634</v>
      </c>
      <c r="B832" s="140" t="s">
        <v>1106</v>
      </c>
      <c r="C832" s="133"/>
      <c r="D832" s="133"/>
      <c r="E832" s="133"/>
      <c r="F832" s="133">
        <v>0</v>
      </c>
      <c r="G832" s="133">
        <v>0</v>
      </c>
      <c r="H832" s="135">
        <v>1.35</v>
      </c>
      <c r="I832" s="133">
        <v>7</v>
      </c>
      <c r="J832" s="133">
        <v>0</v>
      </c>
      <c r="K832" s="146" t="s">
        <v>46</v>
      </c>
      <c r="L832" s="117" t="s">
        <v>47</v>
      </c>
      <c r="M832" s="105">
        <v>2010152</v>
      </c>
      <c r="N832" s="133">
        <v>0</v>
      </c>
      <c r="O832" s="117" t="s">
        <v>48</v>
      </c>
      <c r="P832" s="133">
        <v>1801</v>
      </c>
      <c r="Q832" s="133"/>
      <c r="R832" s="133"/>
      <c r="S832" s="133">
        <v>0</v>
      </c>
      <c r="T832" s="133">
        <v>0</v>
      </c>
      <c r="U832" s="133"/>
      <c r="V832" s="133"/>
      <c r="W832" s="117" t="s">
        <v>47</v>
      </c>
      <c r="X832" s="117"/>
      <c r="Y832" s="117"/>
      <c r="Z832" s="133"/>
      <c r="AA832" s="133"/>
      <c r="AB832" s="151" t="s">
        <v>1107</v>
      </c>
      <c r="AC832" s="133">
        <v>2422</v>
      </c>
      <c r="AD832" s="146" t="s">
        <v>51</v>
      </c>
      <c r="AE832" s="146" t="s">
        <v>51</v>
      </c>
      <c r="AF832" s="146" t="s">
        <v>51</v>
      </c>
      <c r="AG832" s="146"/>
      <c r="AH832" s="117" t="s">
        <v>52</v>
      </c>
      <c r="AI832" s="133">
        <v>1</v>
      </c>
      <c r="AJ832" s="133"/>
      <c r="AK832" s="133"/>
      <c r="AL832" s="133"/>
      <c r="AM832" s="133"/>
      <c r="AN832" s="117" t="s">
        <v>47</v>
      </c>
      <c r="AO832" s="146"/>
      <c r="AP832" s="133" t="s">
        <v>53</v>
      </c>
      <c r="AQ832" s="2">
        <v>0</v>
      </c>
    </row>
    <row r="833" s="24" customFormat="1" spans="1:43">
      <c r="A833" s="133">
        <v>180635</v>
      </c>
      <c r="B833" s="140" t="s">
        <v>1108</v>
      </c>
      <c r="C833" s="133"/>
      <c r="D833" s="133"/>
      <c r="E833" s="133"/>
      <c r="F833" s="133">
        <v>0</v>
      </c>
      <c r="G833" s="133">
        <v>0</v>
      </c>
      <c r="H833" s="135">
        <v>1.35</v>
      </c>
      <c r="I833" s="133">
        <v>7</v>
      </c>
      <c r="J833" s="133">
        <v>0</v>
      </c>
      <c r="K833" s="146" t="s">
        <v>46</v>
      </c>
      <c r="L833" s="117" t="s">
        <v>47</v>
      </c>
      <c r="M833" s="105">
        <v>2010160</v>
      </c>
      <c r="N833" s="133">
        <v>0</v>
      </c>
      <c r="O833" s="117" t="s">
        <v>48</v>
      </c>
      <c r="P833" s="133">
        <v>1801</v>
      </c>
      <c r="Q833" s="133"/>
      <c r="R833" s="133"/>
      <c r="S833" s="133">
        <v>0</v>
      </c>
      <c r="T833" s="133">
        <v>0</v>
      </c>
      <c r="U833" s="133"/>
      <c r="V833" s="133"/>
      <c r="W833" s="117" t="s">
        <v>47</v>
      </c>
      <c r="X833" s="117"/>
      <c r="Y833" s="117"/>
      <c r="Z833" s="133"/>
      <c r="AA833" s="133"/>
      <c r="AB833" s="151" t="s">
        <v>1109</v>
      </c>
      <c r="AC833" s="133">
        <v>2423</v>
      </c>
      <c r="AD833" s="146" t="s">
        <v>51</v>
      </c>
      <c r="AE833" s="146" t="s">
        <v>51</v>
      </c>
      <c r="AF833" s="146" t="s">
        <v>51</v>
      </c>
      <c r="AG833" s="146"/>
      <c r="AH833" s="117" t="s">
        <v>52</v>
      </c>
      <c r="AI833" s="133">
        <v>1</v>
      </c>
      <c r="AJ833" s="133"/>
      <c r="AK833" s="133"/>
      <c r="AL833" s="133"/>
      <c r="AM833" s="133"/>
      <c r="AN833" s="117" t="s">
        <v>47</v>
      </c>
      <c r="AO833" s="146"/>
      <c r="AP833" s="133" t="s">
        <v>53</v>
      </c>
      <c r="AQ833" s="2">
        <v>0</v>
      </c>
    </row>
    <row r="834" s="23" customFormat="1" spans="1:43">
      <c r="A834" s="118">
        <v>180636</v>
      </c>
      <c r="B834" s="73" t="s">
        <v>1110</v>
      </c>
      <c r="C834" s="118"/>
      <c r="D834" s="118"/>
      <c r="E834" s="118"/>
      <c r="F834" s="118">
        <v>0</v>
      </c>
      <c r="G834" s="118">
        <v>0</v>
      </c>
      <c r="H834" s="131">
        <v>1.35</v>
      </c>
      <c r="I834" s="118">
        <v>7</v>
      </c>
      <c r="J834" s="118">
        <v>0</v>
      </c>
      <c r="K834" s="145" t="s">
        <v>46</v>
      </c>
      <c r="L834" s="117" t="s">
        <v>47</v>
      </c>
      <c r="M834" s="105">
        <v>2010166</v>
      </c>
      <c r="N834" s="118">
        <v>0</v>
      </c>
      <c r="O834" s="117" t="s">
        <v>48</v>
      </c>
      <c r="P834" s="118">
        <v>1801</v>
      </c>
      <c r="Q834" s="118"/>
      <c r="R834" s="118"/>
      <c r="S834" s="118">
        <v>0</v>
      </c>
      <c r="T834" s="118">
        <v>0</v>
      </c>
      <c r="U834" s="118"/>
      <c r="V834" s="118"/>
      <c r="W834" s="117" t="s">
        <v>47</v>
      </c>
      <c r="X834" s="117"/>
      <c r="Y834" s="117"/>
      <c r="Z834" s="118"/>
      <c r="AA834" s="118"/>
      <c r="AB834" s="149" t="s">
        <v>1111</v>
      </c>
      <c r="AC834" s="145">
        <v>2424</v>
      </c>
      <c r="AD834" s="145" t="s">
        <v>51</v>
      </c>
      <c r="AE834" s="145" t="s">
        <v>51</v>
      </c>
      <c r="AF834" s="145" t="s">
        <v>51</v>
      </c>
      <c r="AG834" s="145"/>
      <c r="AH834" s="117" t="s">
        <v>52</v>
      </c>
      <c r="AI834" s="118">
        <v>1</v>
      </c>
      <c r="AJ834" s="118"/>
      <c r="AK834" s="118"/>
      <c r="AL834" s="118"/>
      <c r="AM834" s="118"/>
      <c r="AN834" s="117" t="s">
        <v>47</v>
      </c>
      <c r="AO834" s="145"/>
      <c r="AP834" s="118" t="s">
        <v>53</v>
      </c>
      <c r="AQ834" s="2">
        <v>0</v>
      </c>
    </row>
    <row r="835" s="23" customFormat="1" spans="1:43">
      <c r="A835" s="118">
        <v>180637</v>
      </c>
      <c r="B835" s="73" t="s">
        <v>582</v>
      </c>
      <c r="C835" s="118"/>
      <c r="D835" s="118"/>
      <c r="E835" s="118"/>
      <c r="F835" s="118">
        <v>0</v>
      </c>
      <c r="G835" s="118">
        <v>0</v>
      </c>
      <c r="H835" s="131">
        <v>1.35</v>
      </c>
      <c r="I835" s="118">
        <v>7</v>
      </c>
      <c r="J835" s="118">
        <v>0</v>
      </c>
      <c r="K835" s="145" t="s">
        <v>46</v>
      </c>
      <c r="L835" s="117" t="s">
        <v>47</v>
      </c>
      <c r="M835" s="105">
        <v>2010167</v>
      </c>
      <c r="N835" s="118">
        <v>0</v>
      </c>
      <c r="O835" s="117" t="s">
        <v>48</v>
      </c>
      <c r="P835" s="118">
        <v>1801</v>
      </c>
      <c r="Q835" s="118"/>
      <c r="R835" s="118"/>
      <c r="S835" s="118">
        <v>0</v>
      </c>
      <c r="T835" s="118">
        <v>0</v>
      </c>
      <c r="U835" s="118"/>
      <c r="V835" s="118"/>
      <c r="W835" s="117" t="s">
        <v>47</v>
      </c>
      <c r="X835" s="117"/>
      <c r="Y835" s="117"/>
      <c r="Z835" s="118"/>
      <c r="AA835" s="118"/>
      <c r="AB835" s="149" t="s">
        <v>1112</v>
      </c>
      <c r="AC835" s="145">
        <v>2425</v>
      </c>
      <c r="AD835" s="145" t="s">
        <v>51</v>
      </c>
      <c r="AE835" s="145" t="s">
        <v>51</v>
      </c>
      <c r="AF835" s="145" t="s">
        <v>51</v>
      </c>
      <c r="AG835" s="145"/>
      <c r="AH835" s="117" t="s">
        <v>52</v>
      </c>
      <c r="AI835" s="118">
        <v>1</v>
      </c>
      <c r="AJ835" s="118"/>
      <c r="AK835" s="118"/>
      <c r="AL835" s="118"/>
      <c r="AM835" s="118"/>
      <c r="AN835" s="117" t="s">
        <v>47</v>
      </c>
      <c r="AO835" s="145"/>
      <c r="AP835" s="118" t="s">
        <v>53</v>
      </c>
      <c r="AQ835" s="2">
        <v>0</v>
      </c>
    </row>
    <row r="836" s="23" customFormat="1" spans="1:43">
      <c r="A836" s="118">
        <v>180638</v>
      </c>
      <c r="B836" s="73" t="s">
        <v>1113</v>
      </c>
      <c r="C836" s="118"/>
      <c r="D836" s="118"/>
      <c r="E836" s="118"/>
      <c r="F836" s="118">
        <v>0</v>
      </c>
      <c r="G836" s="118">
        <v>0</v>
      </c>
      <c r="H836" s="131">
        <v>1.35</v>
      </c>
      <c r="I836" s="118">
        <v>7</v>
      </c>
      <c r="J836" s="118">
        <v>0</v>
      </c>
      <c r="K836" s="145" t="s">
        <v>46</v>
      </c>
      <c r="L836" s="117" t="s">
        <v>47</v>
      </c>
      <c r="M836" s="105">
        <v>2010168</v>
      </c>
      <c r="N836" s="118">
        <v>0</v>
      </c>
      <c r="O836" s="117" t="s">
        <v>48</v>
      </c>
      <c r="P836" s="118">
        <v>1801</v>
      </c>
      <c r="Q836" s="118"/>
      <c r="R836" s="118"/>
      <c r="S836" s="118">
        <v>0</v>
      </c>
      <c r="T836" s="118">
        <v>0</v>
      </c>
      <c r="U836" s="118"/>
      <c r="V836" s="118"/>
      <c r="W836" s="117" t="s">
        <v>47</v>
      </c>
      <c r="X836" s="117"/>
      <c r="Y836" s="117"/>
      <c r="Z836" s="118"/>
      <c r="AA836" s="118"/>
      <c r="AB836" s="149" t="s">
        <v>1114</v>
      </c>
      <c r="AC836" s="145">
        <v>2426</v>
      </c>
      <c r="AD836" s="145" t="s">
        <v>51</v>
      </c>
      <c r="AE836" s="145" t="s">
        <v>51</v>
      </c>
      <c r="AF836" s="145" t="s">
        <v>51</v>
      </c>
      <c r="AG836" s="145"/>
      <c r="AH836" s="117" t="s">
        <v>52</v>
      </c>
      <c r="AI836" s="118">
        <v>1</v>
      </c>
      <c r="AJ836" s="118"/>
      <c r="AK836" s="118"/>
      <c r="AL836" s="118"/>
      <c r="AM836" s="118"/>
      <c r="AN836" s="117" t="s">
        <v>47</v>
      </c>
      <c r="AO836" s="145"/>
      <c r="AP836" s="118" t="s">
        <v>53</v>
      </c>
      <c r="AQ836" s="2">
        <v>0</v>
      </c>
    </row>
    <row r="837" s="23" customFormat="1" ht="15" customHeight="1" spans="1:43">
      <c r="A837" s="118">
        <v>180639</v>
      </c>
      <c r="B837" s="73" t="s">
        <v>1115</v>
      </c>
      <c r="C837" s="118"/>
      <c r="D837" s="118"/>
      <c r="E837" s="118"/>
      <c r="F837" s="118">
        <v>0</v>
      </c>
      <c r="G837" s="118">
        <v>0</v>
      </c>
      <c r="H837" s="131">
        <v>1.35</v>
      </c>
      <c r="I837" s="118">
        <v>7</v>
      </c>
      <c r="J837" s="118">
        <v>0</v>
      </c>
      <c r="K837" s="145" t="s">
        <v>46</v>
      </c>
      <c r="L837" s="117" t="s">
        <v>47</v>
      </c>
      <c r="M837" s="105">
        <v>2010171</v>
      </c>
      <c r="N837" s="118">
        <v>0</v>
      </c>
      <c r="O837" s="117" t="s">
        <v>48</v>
      </c>
      <c r="P837" s="118">
        <v>1801</v>
      </c>
      <c r="Q837" s="118"/>
      <c r="R837" s="118"/>
      <c r="S837" s="118">
        <v>0</v>
      </c>
      <c r="T837" s="118">
        <v>0</v>
      </c>
      <c r="U837" s="118"/>
      <c r="V837" s="118"/>
      <c r="W837" s="117" t="s">
        <v>47</v>
      </c>
      <c r="X837" s="117"/>
      <c r="Y837" s="117"/>
      <c r="Z837" s="118"/>
      <c r="AA837" s="118"/>
      <c r="AB837" s="149" t="s">
        <v>1116</v>
      </c>
      <c r="AC837" s="145">
        <v>2427</v>
      </c>
      <c r="AD837" s="145" t="s">
        <v>51</v>
      </c>
      <c r="AE837" s="145" t="s">
        <v>51</v>
      </c>
      <c r="AF837" s="145" t="s">
        <v>51</v>
      </c>
      <c r="AG837" s="145"/>
      <c r="AH837" s="117" t="s">
        <v>52</v>
      </c>
      <c r="AI837" s="118">
        <v>1</v>
      </c>
      <c r="AJ837" s="118"/>
      <c r="AK837" s="118"/>
      <c r="AL837" s="118"/>
      <c r="AM837" s="118"/>
      <c r="AN837" s="117" t="s">
        <v>47</v>
      </c>
      <c r="AO837" s="145"/>
      <c r="AP837" s="118" t="s">
        <v>53</v>
      </c>
      <c r="AQ837" s="2">
        <v>0</v>
      </c>
    </row>
    <row r="838" s="23" customFormat="1" spans="1:43">
      <c r="A838" s="118">
        <v>180640</v>
      </c>
      <c r="B838" s="73" t="s">
        <v>1117</v>
      </c>
      <c r="C838" s="118"/>
      <c r="D838" s="118"/>
      <c r="E838" s="118"/>
      <c r="F838" s="118">
        <v>0</v>
      </c>
      <c r="G838" s="118">
        <v>0</v>
      </c>
      <c r="H838" s="131">
        <v>1.35</v>
      </c>
      <c r="I838" s="118">
        <v>7</v>
      </c>
      <c r="J838" s="118">
        <v>0</v>
      </c>
      <c r="K838" s="145" t="s">
        <v>46</v>
      </c>
      <c r="L838" s="117" t="s">
        <v>47</v>
      </c>
      <c r="M838" s="105">
        <v>2010172</v>
      </c>
      <c r="N838" s="118">
        <v>0</v>
      </c>
      <c r="O838" s="117" t="s">
        <v>48</v>
      </c>
      <c r="P838" s="118">
        <v>1801</v>
      </c>
      <c r="Q838" s="118"/>
      <c r="R838" s="118"/>
      <c r="S838" s="118">
        <v>0</v>
      </c>
      <c r="T838" s="118">
        <v>0</v>
      </c>
      <c r="U838" s="118"/>
      <c r="V838" s="118"/>
      <c r="W838" s="117" t="s">
        <v>47</v>
      </c>
      <c r="X838" s="117"/>
      <c r="Y838" s="117"/>
      <c r="Z838" s="118"/>
      <c r="AA838" s="118"/>
      <c r="AB838" s="149" t="s">
        <v>1118</v>
      </c>
      <c r="AC838" s="145">
        <v>2428</v>
      </c>
      <c r="AD838" s="145" t="s">
        <v>51</v>
      </c>
      <c r="AE838" s="145" t="s">
        <v>51</v>
      </c>
      <c r="AF838" s="145" t="s">
        <v>51</v>
      </c>
      <c r="AG838" s="145"/>
      <c r="AH838" s="117" t="s">
        <v>52</v>
      </c>
      <c r="AI838" s="118">
        <v>1</v>
      </c>
      <c r="AJ838" s="118"/>
      <c r="AK838" s="118"/>
      <c r="AL838" s="118"/>
      <c r="AM838" s="118"/>
      <c r="AN838" s="117" t="s">
        <v>47</v>
      </c>
      <c r="AO838" s="145"/>
      <c r="AP838" s="118" t="s">
        <v>53</v>
      </c>
      <c r="AQ838" s="2">
        <v>0</v>
      </c>
    </row>
    <row r="839" s="24" customFormat="1" spans="1:43">
      <c r="A839" s="133">
        <v>180641</v>
      </c>
      <c r="B839" s="140" t="s">
        <v>1119</v>
      </c>
      <c r="C839" s="133"/>
      <c r="D839" s="133"/>
      <c r="E839" s="133"/>
      <c r="F839" s="133">
        <v>0</v>
      </c>
      <c r="G839" s="133">
        <v>0</v>
      </c>
      <c r="H839" s="135">
        <v>1.35</v>
      </c>
      <c r="I839" s="133">
        <v>7</v>
      </c>
      <c r="J839" s="133">
        <v>0</v>
      </c>
      <c r="K839" s="146" t="s">
        <v>46</v>
      </c>
      <c r="L839" s="117" t="s">
        <v>47</v>
      </c>
      <c r="M839" s="105">
        <v>2010173</v>
      </c>
      <c r="N839" s="133">
        <v>0</v>
      </c>
      <c r="O839" s="117" t="s">
        <v>48</v>
      </c>
      <c r="P839" s="133">
        <v>1801</v>
      </c>
      <c r="Q839" s="133"/>
      <c r="R839" s="133"/>
      <c r="S839" s="133">
        <v>0</v>
      </c>
      <c r="T839" s="133">
        <v>0</v>
      </c>
      <c r="U839" s="133"/>
      <c r="V839" s="133"/>
      <c r="W839" s="117" t="s">
        <v>47</v>
      </c>
      <c r="X839" s="117"/>
      <c r="Y839" s="117"/>
      <c r="Z839" s="133"/>
      <c r="AA839" s="133"/>
      <c r="AB839" s="151" t="s">
        <v>1120</v>
      </c>
      <c r="AC839" s="146">
        <v>2429</v>
      </c>
      <c r="AD839" s="146" t="s">
        <v>51</v>
      </c>
      <c r="AE839" s="146" t="s">
        <v>51</v>
      </c>
      <c r="AF839" s="146" t="s">
        <v>51</v>
      </c>
      <c r="AG839" s="146"/>
      <c r="AH839" s="117" t="s">
        <v>52</v>
      </c>
      <c r="AI839" s="133">
        <v>1</v>
      </c>
      <c r="AJ839" s="133"/>
      <c r="AK839" s="133"/>
      <c r="AL839" s="133"/>
      <c r="AM839" s="133"/>
      <c r="AN839" s="117" t="s">
        <v>47</v>
      </c>
      <c r="AO839" s="146"/>
      <c r="AP839" s="133" t="s">
        <v>53</v>
      </c>
      <c r="AQ839" s="2">
        <v>0</v>
      </c>
    </row>
    <row r="840" s="24" customFormat="1" spans="1:43">
      <c r="A840" s="133">
        <v>180642</v>
      </c>
      <c r="B840" s="140" t="s">
        <v>1121</v>
      </c>
      <c r="C840" s="133"/>
      <c r="D840" s="133"/>
      <c r="E840" s="133"/>
      <c r="F840" s="133">
        <v>0</v>
      </c>
      <c r="G840" s="133">
        <v>0</v>
      </c>
      <c r="H840" s="135">
        <v>1.35</v>
      </c>
      <c r="I840" s="133">
        <v>7</v>
      </c>
      <c r="J840" s="133">
        <v>0</v>
      </c>
      <c r="K840" s="146" t="s">
        <v>46</v>
      </c>
      <c r="L840" s="117" t="s">
        <v>47</v>
      </c>
      <c r="M840" s="105">
        <v>2010174</v>
      </c>
      <c r="N840" s="133">
        <v>0</v>
      </c>
      <c r="O840" s="117" t="s">
        <v>48</v>
      </c>
      <c r="P840" s="133">
        <v>1801</v>
      </c>
      <c r="Q840" s="133"/>
      <c r="R840" s="133"/>
      <c r="S840" s="133">
        <v>0</v>
      </c>
      <c r="T840" s="133">
        <v>0</v>
      </c>
      <c r="U840" s="133"/>
      <c r="V840" s="133"/>
      <c r="W840" s="117" t="s">
        <v>47</v>
      </c>
      <c r="X840" s="117"/>
      <c r="Y840" s="117"/>
      <c r="Z840" s="133"/>
      <c r="AA840" s="133"/>
      <c r="AB840" s="151" t="s">
        <v>1122</v>
      </c>
      <c r="AC840" s="146">
        <v>2430</v>
      </c>
      <c r="AD840" s="146" t="s">
        <v>51</v>
      </c>
      <c r="AE840" s="146" t="s">
        <v>51</v>
      </c>
      <c r="AF840" s="146" t="s">
        <v>51</v>
      </c>
      <c r="AG840" s="146"/>
      <c r="AH840" s="117" t="s">
        <v>52</v>
      </c>
      <c r="AI840" s="133">
        <v>1</v>
      </c>
      <c r="AJ840" s="133"/>
      <c r="AK840" s="133"/>
      <c r="AL840" s="133"/>
      <c r="AM840" s="133"/>
      <c r="AN840" s="117" t="s">
        <v>47</v>
      </c>
      <c r="AO840" s="146"/>
      <c r="AP840" s="133" t="s">
        <v>53</v>
      </c>
      <c r="AQ840" s="2">
        <v>0</v>
      </c>
    </row>
    <row r="841" s="24" customFormat="1" spans="1:43">
      <c r="A841" s="133">
        <v>180643</v>
      </c>
      <c r="B841" s="140" t="s">
        <v>1123</v>
      </c>
      <c r="C841" s="133"/>
      <c r="D841" s="133"/>
      <c r="E841" s="133"/>
      <c r="F841" s="133">
        <v>0</v>
      </c>
      <c r="G841" s="133">
        <v>0</v>
      </c>
      <c r="H841" s="135">
        <v>1.35</v>
      </c>
      <c r="I841" s="133">
        <v>7</v>
      </c>
      <c r="J841" s="133">
        <v>0</v>
      </c>
      <c r="K841" s="146" t="s">
        <v>46</v>
      </c>
      <c r="L841" s="117" t="s">
        <v>47</v>
      </c>
      <c r="M841" s="105">
        <v>2010175</v>
      </c>
      <c r="N841" s="133">
        <v>0</v>
      </c>
      <c r="O841" s="117" t="s">
        <v>48</v>
      </c>
      <c r="P841" s="133">
        <v>1801</v>
      </c>
      <c r="Q841" s="133"/>
      <c r="R841" s="133"/>
      <c r="S841" s="133">
        <v>0</v>
      </c>
      <c r="T841" s="133">
        <v>0</v>
      </c>
      <c r="U841" s="133"/>
      <c r="V841" s="133"/>
      <c r="W841" s="117" t="s">
        <v>47</v>
      </c>
      <c r="X841" s="117"/>
      <c r="Y841" s="117"/>
      <c r="Z841" s="133"/>
      <c r="AA841" s="133"/>
      <c r="AB841" s="151" t="s">
        <v>1124</v>
      </c>
      <c r="AC841" s="146">
        <v>2431</v>
      </c>
      <c r="AD841" s="146" t="s">
        <v>51</v>
      </c>
      <c r="AE841" s="146" t="s">
        <v>51</v>
      </c>
      <c r="AF841" s="146" t="s">
        <v>51</v>
      </c>
      <c r="AG841" s="146"/>
      <c r="AH841" s="117" t="s">
        <v>52</v>
      </c>
      <c r="AI841" s="133">
        <v>1</v>
      </c>
      <c r="AJ841" s="133"/>
      <c r="AK841" s="133"/>
      <c r="AL841" s="133"/>
      <c r="AM841" s="133"/>
      <c r="AN841" s="117" t="s">
        <v>47</v>
      </c>
      <c r="AO841" s="146"/>
      <c r="AP841" s="133" t="s">
        <v>53</v>
      </c>
      <c r="AQ841" s="2">
        <v>0</v>
      </c>
    </row>
    <row r="842" s="24" customFormat="1" spans="1:43">
      <c r="A842" s="133">
        <v>180644</v>
      </c>
      <c r="B842" s="140" t="s">
        <v>1125</v>
      </c>
      <c r="C842" s="133"/>
      <c r="D842" s="133"/>
      <c r="E842" s="133"/>
      <c r="F842" s="133">
        <v>0</v>
      </c>
      <c r="G842" s="133">
        <v>0</v>
      </c>
      <c r="H842" s="135">
        <v>1.35</v>
      </c>
      <c r="I842" s="133">
        <v>7</v>
      </c>
      <c r="J842" s="133">
        <v>0</v>
      </c>
      <c r="K842" s="146" t="s">
        <v>46</v>
      </c>
      <c r="L842" s="117" t="s">
        <v>47</v>
      </c>
      <c r="M842" s="105">
        <v>2010176</v>
      </c>
      <c r="N842" s="133">
        <v>0</v>
      </c>
      <c r="O842" s="117" t="s">
        <v>48</v>
      </c>
      <c r="P842" s="133">
        <v>1801</v>
      </c>
      <c r="Q842" s="133"/>
      <c r="R842" s="133"/>
      <c r="S842" s="133">
        <v>0</v>
      </c>
      <c r="T842" s="133">
        <v>0</v>
      </c>
      <c r="U842" s="133"/>
      <c r="V842" s="133"/>
      <c r="W842" s="117" t="s">
        <v>47</v>
      </c>
      <c r="X842" s="117"/>
      <c r="Y842" s="117"/>
      <c r="Z842" s="133"/>
      <c r="AA842" s="133"/>
      <c r="AB842" s="151" t="s">
        <v>1126</v>
      </c>
      <c r="AC842" s="146">
        <v>2432</v>
      </c>
      <c r="AD842" s="146" t="s">
        <v>51</v>
      </c>
      <c r="AE842" s="146" t="s">
        <v>51</v>
      </c>
      <c r="AF842" s="146" t="s">
        <v>51</v>
      </c>
      <c r="AG842" s="146"/>
      <c r="AH842" s="117" t="s">
        <v>52</v>
      </c>
      <c r="AI842" s="133">
        <v>1</v>
      </c>
      <c r="AJ842" s="133"/>
      <c r="AK842" s="133"/>
      <c r="AL842" s="133"/>
      <c r="AM842" s="133"/>
      <c r="AN842" s="117" t="s">
        <v>47</v>
      </c>
      <c r="AO842" s="146"/>
      <c r="AP842" s="133" t="s">
        <v>53</v>
      </c>
      <c r="AQ842" s="2">
        <v>0</v>
      </c>
    </row>
    <row r="843" s="24" customFormat="1" spans="1:43">
      <c r="A843" s="133">
        <v>180645</v>
      </c>
      <c r="B843" s="140" t="s">
        <v>1127</v>
      </c>
      <c r="C843" s="133"/>
      <c r="D843" s="133"/>
      <c r="E843" s="133"/>
      <c r="F843" s="133">
        <v>0</v>
      </c>
      <c r="G843" s="133">
        <v>0</v>
      </c>
      <c r="H843" s="135">
        <v>1.35</v>
      </c>
      <c r="I843" s="133">
        <v>7</v>
      </c>
      <c r="J843" s="133">
        <v>0</v>
      </c>
      <c r="K843" s="146" t="s">
        <v>46</v>
      </c>
      <c r="L843" s="117" t="s">
        <v>47</v>
      </c>
      <c r="M843" s="71">
        <v>2010178</v>
      </c>
      <c r="N843" s="133">
        <v>0</v>
      </c>
      <c r="O843" s="117" t="s">
        <v>48</v>
      </c>
      <c r="P843" s="133">
        <v>1801</v>
      </c>
      <c r="Q843" s="133"/>
      <c r="R843" s="133"/>
      <c r="S843" s="133">
        <v>0</v>
      </c>
      <c r="T843" s="133">
        <v>0</v>
      </c>
      <c r="U843" s="133"/>
      <c r="V843" s="133"/>
      <c r="W843" s="117" t="s">
        <v>47</v>
      </c>
      <c r="X843" s="117"/>
      <c r="Y843" s="117"/>
      <c r="Z843" s="133"/>
      <c r="AA843" s="133"/>
      <c r="AB843" s="151" t="s">
        <v>1128</v>
      </c>
      <c r="AC843" s="146">
        <v>2433</v>
      </c>
      <c r="AD843" s="146" t="s">
        <v>51</v>
      </c>
      <c r="AE843" s="146" t="s">
        <v>51</v>
      </c>
      <c r="AF843" s="146" t="s">
        <v>51</v>
      </c>
      <c r="AG843" s="146"/>
      <c r="AH843" s="117" t="s">
        <v>52</v>
      </c>
      <c r="AI843" s="133">
        <v>1</v>
      </c>
      <c r="AJ843" s="133"/>
      <c r="AK843" s="133"/>
      <c r="AL843" s="133"/>
      <c r="AM843" s="133"/>
      <c r="AN843" s="117" t="s">
        <v>47</v>
      </c>
      <c r="AO843" s="146"/>
      <c r="AP843" s="133" t="s">
        <v>53</v>
      </c>
      <c r="AQ843" s="2">
        <v>0</v>
      </c>
    </row>
    <row r="844" s="23" customFormat="1" spans="1:43">
      <c r="A844" s="118">
        <v>180646</v>
      </c>
      <c r="B844" s="73" t="s">
        <v>1129</v>
      </c>
      <c r="C844" s="118"/>
      <c r="D844" s="118"/>
      <c r="E844" s="118"/>
      <c r="F844" s="118">
        <v>0</v>
      </c>
      <c r="G844" s="118">
        <v>0</v>
      </c>
      <c r="H844" s="131">
        <v>1.35</v>
      </c>
      <c r="I844" s="118">
        <v>7</v>
      </c>
      <c r="J844" s="118">
        <v>0</v>
      </c>
      <c r="K844" s="145" t="s">
        <v>46</v>
      </c>
      <c r="L844" s="117" t="s">
        <v>47</v>
      </c>
      <c r="M844" s="71">
        <v>2010179</v>
      </c>
      <c r="N844" s="118">
        <v>0</v>
      </c>
      <c r="O844" s="117" t="s">
        <v>48</v>
      </c>
      <c r="P844" s="118">
        <v>1801</v>
      </c>
      <c r="Q844" s="118"/>
      <c r="R844" s="118"/>
      <c r="S844" s="118">
        <v>0</v>
      </c>
      <c r="T844" s="118">
        <v>0</v>
      </c>
      <c r="U844" s="118"/>
      <c r="V844" s="118"/>
      <c r="W844" s="117" t="s">
        <v>47</v>
      </c>
      <c r="X844" s="117"/>
      <c r="Y844" s="117"/>
      <c r="Z844" s="118"/>
      <c r="AA844" s="118"/>
      <c r="AB844" s="149" t="s">
        <v>1130</v>
      </c>
      <c r="AC844" s="118">
        <v>2434</v>
      </c>
      <c r="AD844" s="145" t="s">
        <v>51</v>
      </c>
      <c r="AE844" s="145" t="s">
        <v>51</v>
      </c>
      <c r="AF844" s="145" t="s">
        <v>51</v>
      </c>
      <c r="AG844" s="145"/>
      <c r="AH844" s="117" t="s">
        <v>52</v>
      </c>
      <c r="AI844" s="118">
        <v>1</v>
      </c>
      <c r="AJ844" s="118"/>
      <c r="AK844" s="118"/>
      <c r="AL844" s="118"/>
      <c r="AM844" s="118"/>
      <c r="AN844" s="117" t="s">
        <v>47</v>
      </c>
      <c r="AO844" s="145"/>
      <c r="AP844" s="118" t="s">
        <v>53</v>
      </c>
      <c r="AQ844" s="2">
        <v>0</v>
      </c>
    </row>
    <row r="845" s="23" customFormat="1" spans="1:43">
      <c r="A845" s="118">
        <v>180647</v>
      </c>
      <c r="B845" s="73" t="s">
        <v>1131</v>
      </c>
      <c r="C845" s="118"/>
      <c r="D845" s="118"/>
      <c r="E845" s="118"/>
      <c r="F845" s="118">
        <v>0</v>
      </c>
      <c r="G845" s="118">
        <v>0</v>
      </c>
      <c r="H845" s="131">
        <v>1.35</v>
      </c>
      <c r="I845" s="118">
        <v>7</v>
      </c>
      <c r="J845" s="118">
        <v>0</v>
      </c>
      <c r="K845" s="145" t="s">
        <v>46</v>
      </c>
      <c r="L845" s="117" t="s">
        <v>47</v>
      </c>
      <c r="M845" s="71">
        <v>2010180</v>
      </c>
      <c r="N845" s="118">
        <v>0</v>
      </c>
      <c r="O845" s="117" t="s">
        <v>48</v>
      </c>
      <c r="P845" s="118">
        <v>1801</v>
      </c>
      <c r="Q845" s="118"/>
      <c r="R845" s="118"/>
      <c r="S845" s="118">
        <v>0</v>
      </c>
      <c r="T845" s="118">
        <v>0</v>
      </c>
      <c r="U845" s="118"/>
      <c r="V845" s="118"/>
      <c r="W845" s="117" t="s">
        <v>47</v>
      </c>
      <c r="X845" s="117"/>
      <c r="Y845" s="117"/>
      <c r="Z845" s="118"/>
      <c r="AA845" s="118"/>
      <c r="AB845" s="149" t="s">
        <v>1132</v>
      </c>
      <c r="AC845" s="118">
        <v>2435</v>
      </c>
      <c r="AD845" s="145" t="s">
        <v>51</v>
      </c>
      <c r="AE845" s="145" t="s">
        <v>51</v>
      </c>
      <c r="AF845" s="145" t="s">
        <v>51</v>
      </c>
      <c r="AG845" s="145"/>
      <c r="AH845" s="117" t="s">
        <v>52</v>
      </c>
      <c r="AI845" s="118">
        <v>1</v>
      </c>
      <c r="AJ845" s="118"/>
      <c r="AK845" s="118"/>
      <c r="AL845" s="118"/>
      <c r="AM845" s="118"/>
      <c r="AN845" s="117" t="s">
        <v>47</v>
      </c>
      <c r="AO845" s="145"/>
      <c r="AP845" s="118" t="s">
        <v>53</v>
      </c>
      <c r="AQ845" s="2">
        <v>0</v>
      </c>
    </row>
    <row r="846" s="23" customFormat="1" spans="1:43">
      <c r="A846" s="118">
        <v>180648</v>
      </c>
      <c r="B846" s="73" t="s">
        <v>1133</v>
      </c>
      <c r="C846" s="118"/>
      <c r="D846" s="118"/>
      <c r="E846" s="118"/>
      <c r="F846" s="118">
        <v>0</v>
      </c>
      <c r="G846" s="118">
        <v>0</v>
      </c>
      <c r="H846" s="131">
        <v>1.35</v>
      </c>
      <c r="I846" s="118">
        <v>7</v>
      </c>
      <c r="J846" s="118">
        <v>0</v>
      </c>
      <c r="K846" s="145" t="s">
        <v>46</v>
      </c>
      <c r="L846" s="117" t="s">
        <v>47</v>
      </c>
      <c r="M846" s="71">
        <v>2010178</v>
      </c>
      <c r="N846" s="118">
        <v>0</v>
      </c>
      <c r="O846" s="117" t="s">
        <v>48</v>
      </c>
      <c r="P846" s="118">
        <v>1801</v>
      </c>
      <c r="Q846" s="118"/>
      <c r="R846" s="118"/>
      <c r="S846" s="118">
        <v>0</v>
      </c>
      <c r="T846" s="118">
        <v>0</v>
      </c>
      <c r="U846" s="118"/>
      <c r="V846" s="118"/>
      <c r="W846" s="117" t="s">
        <v>47</v>
      </c>
      <c r="X846" s="117"/>
      <c r="Y846" s="117"/>
      <c r="Z846" s="118"/>
      <c r="AA846" s="118"/>
      <c r="AB846" s="149" t="s">
        <v>1134</v>
      </c>
      <c r="AC846" s="118">
        <v>2436</v>
      </c>
      <c r="AD846" s="145" t="s">
        <v>51</v>
      </c>
      <c r="AE846" s="145" t="s">
        <v>51</v>
      </c>
      <c r="AF846" s="145" t="s">
        <v>51</v>
      </c>
      <c r="AG846" s="145"/>
      <c r="AH846" s="117" t="s">
        <v>52</v>
      </c>
      <c r="AI846" s="118">
        <v>1</v>
      </c>
      <c r="AJ846" s="118"/>
      <c r="AK846" s="118"/>
      <c r="AL846" s="118"/>
      <c r="AM846" s="118"/>
      <c r="AN846" s="117" t="s">
        <v>47</v>
      </c>
      <c r="AO846" s="145"/>
      <c r="AP846" s="118" t="s">
        <v>53</v>
      </c>
      <c r="AQ846" s="2">
        <v>0</v>
      </c>
    </row>
    <row r="847" s="23" customFormat="1" spans="1:43">
      <c r="A847" s="118">
        <v>180649</v>
      </c>
      <c r="B847" s="73" t="s">
        <v>1135</v>
      </c>
      <c r="C847" s="118"/>
      <c r="D847" s="118"/>
      <c r="E847" s="118"/>
      <c r="F847" s="118">
        <v>0</v>
      </c>
      <c r="G847" s="118">
        <v>0</v>
      </c>
      <c r="H847" s="131">
        <v>1.35</v>
      </c>
      <c r="I847" s="118">
        <v>7</v>
      </c>
      <c r="J847" s="118">
        <v>0</v>
      </c>
      <c r="K847" s="145" t="s">
        <v>46</v>
      </c>
      <c r="L847" s="117" t="s">
        <v>47</v>
      </c>
      <c r="M847" s="71">
        <v>2010179</v>
      </c>
      <c r="N847" s="118">
        <v>0</v>
      </c>
      <c r="O847" s="117" t="s">
        <v>48</v>
      </c>
      <c r="P847" s="118">
        <v>1801</v>
      </c>
      <c r="Q847" s="118"/>
      <c r="R847" s="118"/>
      <c r="S847" s="118">
        <v>0</v>
      </c>
      <c r="T847" s="118">
        <v>0</v>
      </c>
      <c r="U847" s="118"/>
      <c r="V847" s="118"/>
      <c r="W847" s="117" t="s">
        <v>47</v>
      </c>
      <c r="X847" s="117"/>
      <c r="Y847" s="117"/>
      <c r="Z847" s="118"/>
      <c r="AA847" s="118"/>
      <c r="AB847" s="149" t="s">
        <v>1136</v>
      </c>
      <c r="AC847" s="118">
        <v>2437</v>
      </c>
      <c r="AD847" s="145" t="s">
        <v>51</v>
      </c>
      <c r="AE847" s="145" t="s">
        <v>51</v>
      </c>
      <c r="AF847" s="145" t="s">
        <v>51</v>
      </c>
      <c r="AG847" s="145"/>
      <c r="AH847" s="117" t="s">
        <v>52</v>
      </c>
      <c r="AI847" s="118">
        <v>1</v>
      </c>
      <c r="AJ847" s="118"/>
      <c r="AK847" s="118"/>
      <c r="AL847" s="118"/>
      <c r="AM847" s="118"/>
      <c r="AN847" s="117" t="s">
        <v>47</v>
      </c>
      <c r="AO847" s="145"/>
      <c r="AP847" s="118" t="s">
        <v>53</v>
      </c>
      <c r="AQ847" s="2">
        <v>0</v>
      </c>
    </row>
    <row r="848" s="23" customFormat="1" spans="1:43">
      <c r="A848" s="118">
        <v>180650</v>
      </c>
      <c r="B848" s="73" t="s">
        <v>1137</v>
      </c>
      <c r="C848" s="118"/>
      <c r="D848" s="118"/>
      <c r="E848" s="118"/>
      <c r="F848" s="118">
        <v>0</v>
      </c>
      <c r="G848" s="118">
        <v>0</v>
      </c>
      <c r="H848" s="131">
        <v>1.35</v>
      </c>
      <c r="I848" s="118">
        <v>7</v>
      </c>
      <c r="J848" s="118">
        <v>0</v>
      </c>
      <c r="K848" s="145" t="s">
        <v>46</v>
      </c>
      <c r="L848" s="117" t="s">
        <v>47</v>
      </c>
      <c r="M848" s="71">
        <v>2010180</v>
      </c>
      <c r="N848" s="118">
        <v>0</v>
      </c>
      <c r="O848" s="117" t="s">
        <v>48</v>
      </c>
      <c r="P848" s="118">
        <v>1801</v>
      </c>
      <c r="Q848" s="118"/>
      <c r="R848" s="118"/>
      <c r="S848" s="118">
        <v>0</v>
      </c>
      <c r="T848" s="118">
        <v>0</v>
      </c>
      <c r="U848" s="118"/>
      <c r="V848" s="118"/>
      <c r="W848" s="117" t="s">
        <v>47</v>
      </c>
      <c r="X848" s="117"/>
      <c r="Y848" s="117"/>
      <c r="Z848" s="118"/>
      <c r="AA848" s="118"/>
      <c r="AB848" s="149" t="s">
        <v>1138</v>
      </c>
      <c r="AC848" s="118">
        <v>2438</v>
      </c>
      <c r="AD848" s="145" t="s">
        <v>51</v>
      </c>
      <c r="AE848" s="145" t="s">
        <v>51</v>
      </c>
      <c r="AF848" s="145" t="s">
        <v>51</v>
      </c>
      <c r="AG848" s="145"/>
      <c r="AH848" s="117" t="s">
        <v>52</v>
      </c>
      <c r="AI848" s="118">
        <v>1</v>
      </c>
      <c r="AJ848" s="118"/>
      <c r="AK848" s="118"/>
      <c r="AL848" s="118"/>
      <c r="AM848" s="118"/>
      <c r="AN848" s="117" t="s">
        <v>47</v>
      </c>
      <c r="AO848" s="145"/>
      <c r="AP848" s="118" t="s">
        <v>53</v>
      </c>
      <c r="AQ848" s="2">
        <v>0</v>
      </c>
    </row>
    <row r="849" s="26" customFormat="1" ht="12.75" spans="1:43">
      <c r="A849" s="154">
        <v>180651</v>
      </c>
      <c r="B849" s="154" t="s">
        <v>1139</v>
      </c>
      <c r="C849" s="154"/>
      <c r="D849" s="154"/>
      <c r="E849" s="154"/>
      <c r="F849" s="154">
        <v>0</v>
      </c>
      <c r="G849" s="154">
        <v>0</v>
      </c>
      <c r="H849" s="154" t="s">
        <v>45</v>
      </c>
      <c r="I849" s="154">
        <v>16</v>
      </c>
      <c r="J849" s="154">
        <v>0</v>
      </c>
      <c r="K849" s="154" t="s">
        <v>46</v>
      </c>
      <c r="L849" s="154" t="s">
        <v>47</v>
      </c>
      <c r="M849" s="105">
        <v>2010112</v>
      </c>
      <c r="N849" s="154">
        <v>0</v>
      </c>
      <c r="O849" s="154" t="s">
        <v>48</v>
      </c>
      <c r="P849" s="154">
        <v>1901</v>
      </c>
      <c r="Q849" s="154"/>
      <c r="R849" s="154"/>
      <c r="S849" s="154">
        <v>0</v>
      </c>
      <c r="T849" s="154">
        <v>0</v>
      </c>
      <c r="U849" s="154"/>
      <c r="V849" s="154"/>
      <c r="W849" s="154" t="s">
        <v>47</v>
      </c>
      <c r="X849" s="154"/>
      <c r="Y849" s="154"/>
      <c r="Z849" s="154" t="s">
        <v>972</v>
      </c>
      <c r="AA849" s="154"/>
      <c r="AB849" s="154" t="s">
        <v>972</v>
      </c>
      <c r="AC849" s="154">
        <v>2197</v>
      </c>
      <c r="AD849" s="154" t="s">
        <v>51</v>
      </c>
      <c r="AE849" s="154" t="s">
        <v>51</v>
      </c>
      <c r="AF849" s="154" t="s">
        <v>51</v>
      </c>
      <c r="AG849" s="154"/>
      <c r="AH849" s="154" t="s">
        <v>52</v>
      </c>
      <c r="AI849" s="154">
        <v>0</v>
      </c>
      <c r="AJ849" s="154"/>
      <c r="AK849" s="154"/>
      <c r="AL849" s="154"/>
      <c r="AM849" s="154"/>
      <c r="AN849" s="154" t="s">
        <v>47</v>
      </c>
      <c r="AO849" s="154"/>
      <c r="AP849" s="154" t="s">
        <v>53</v>
      </c>
      <c r="AQ849" s="26">
        <v>0</v>
      </c>
    </row>
    <row r="850" s="26" customFormat="1" ht="12.75" spans="1:43">
      <c r="A850" s="154">
        <v>180652</v>
      </c>
      <c r="B850" s="154" t="s">
        <v>1139</v>
      </c>
      <c r="C850" s="154"/>
      <c r="D850" s="154"/>
      <c r="E850" s="154"/>
      <c r="F850" s="154">
        <v>0</v>
      </c>
      <c r="G850" s="154">
        <v>0</v>
      </c>
      <c r="H850" s="154" t="s">
        <v>45</v>
      </c>
      <c r="I850" s="154">
        <v>16</v>
      </c>
      <c r="J850" s="154">
        <v>0</v>
      </c>
      <c r="K850" s="154" t="s">
        <v>46</v>
      </c>
      <c r="L850" s="154" t="s">
        <v>47</v>
      </c>
      <c r="M850" s="105">
        <v>2010113</v>
      </c>
      <c r="N850" s="154">
        <v>0</v>
      </c>
      <c r="O850" s="154" t="s">
        <v>48</v>
      </c>
      <c r="P850" s="154">
        <v>1901</v>
      </c>
      <c r="Q850" s="154"/>
      <c r="R850" s="154"/>
      <c r="S850" s="154">
        <v>0</v>
      </c>
      <c r="T850" s="154">
        <v>0</v>
      </c>
      <c r="U850" s="154"/>
      <c r="V850" s="154"/>
      <c r="W850" s="154" t="s">
        <v>47</v>
      </c>
      <c r="X850" s="154"/>
      <c r="Y850" s="154"/>
      <c r="Z850" s="154" t="s">
        <v>972</v>
      </c>
      <c r="AA850" s="154"/>
      <c r="AB850" s="154" t="s">
        <v>972</v>
      </c>
      <c r="AC850" s="154">
        <v>2197</v>
      </c>
      <c r="AD850" s="154" t="s">
        <v>51</v>
      </c>
      <c r="AE850" s="154" t="s">
        <v>51</v>
      </c>
      <c r="AF850" s="154" t="s">
        <v>51</v>
      </c>
      <c r="AG850" s="154"/>
      <c r="AH850" s="154" t="s">
        <v>52</v>
      </c>
      <c r="AI850" s="154">
        <v>0</v>
      </c>
      <c r="AJ850" s="154"/>
      <c r="AK850" s="154"/>
      <c r="AL850" s="154"/>
      <c r="AM850" s="154"/>
      <c r="AN850" s="154" t="s">
        <v>47</v>
      </c>
      <c r="AO850" s="154"/>
      <c r="AP850" s="154" t="s">
        <v>53</v>
      </c>
      <c r="AQ850" s="26">
        <v>0</v>
      </c>
    </row>
    <row r="851" s="26" customFormat="1" ht="12.75" spans="1:43">
      <c r="A851" s="154">
        <v>180653</v>
      </c>
      <c r="B851" s="154" t="s">
        <v>1139</v>
      </c>
      <c r="C851" s="154"/>
      <c r="D851" s="154"/>
      <c r="E851" s="154"/>
      <c r="F851" s="154">
        <v>0</v>
      </c>
      <c r="G851" s="154">
        <v>0</v>
      </c>
      <c r="H851" s="154" t="s">
        <v>45</v>
      </c>
      <c r="I851" s="154">
        <v>16</v>
      </c>
      <c r="J851" s="154">
        <v>0</v>
      </c>
      <c r="K851" s="154" t="s">
        <v>46</v>
      </c>
      <c r="L851" s="154" t="s">
        <v>47</v>
      </c>
      <c r="M851" s="105">
        <v>2010115</v>
      </c>
      <c r="N851" s="154">
        <v>0</v>
      </c>
      <c r="O851" s="154" t="s">
        <v>48</v>
      </c>
      <c r="P851" s="154">
        <v>1901</v>
      </c>
      <c r="Q851" s="154"/>
      <c r="R851" s="154"/>
      <c r="S851" s="154">
        <v>0</v>
      </c>
      <c r="T851" s="154">
        <v>0</v>
      </c>
      <c r="U851" s="154"/>
      <c r="V851" s="154"/>
      <c r="W851" s="154" t="s">
        <v>47</v>
      </c>
      <c r="X851" s="154"/>
      <c r="Y851" s="154"/>
      <c r="Z851" s="154" t="s">
        <v>972</v>
      </c>
      <c r="AA851" s="154"/>
      <c r="AB851" s="154" t="s">
        <v>972</v>
      </c>
      <c r="AC851" s="154">
        <v>2197</v>
      </c>
      <c r="AD851" s="154" t="s">
        <v>51</v>
      </c>
      <c r="AE851" s="154" t="s">
        <v>51</v>
      </c>
      <c r="AF851" s="154" t="s">
        <v>51</v>
      </c>
      <c r="AG851" s="154"/>
      <c r="AH851" s="154" t="s">
        <v>52</v>
      </c>
      <c r="AI851" s="154">
        <v>0</v>
      </c>
      <c r="AJ851" s="154"/>
      <c r="AK851" s="154"/>
      <c r="AL851" s="154"/>
      <c r="AM851" s="154"/>
      <c r="AN851" s="154" t="s">
        <v>47</v>
      </c>
      <c r="AO851" s="154"/>
      <c r="AP851" s="154" t="s">
        <v>53</v>
      </c>
      <c r="AQ851" s="26">
        <v>0</v>
      </c>
    </row>
    <row r="852" s="26" customFormat="1" ht="12.75" spans="1:43">
      <c r="A852" s="154">
        <v>180654</v>
      </c>
      <c r="B852" s="154" t="s">
        <v>1140</v>
      </c>
      <c r="C852" s="154"/>
      <c r="D852" s="154"/>
      <c r="E852" s="154"/>
      <c r="F852" s="154">
        <v>0</v>
      </c>
      <c r="G852" s="154">
        <v>0</v>
      </c>
      <c r="H852" s="154" t="s">
        <v>45</v>
      </c>
      <c r="I852" s="154">
        <v>16</v>
      </c>
      <c r="J852" s="154">
        <v>0</v>
      </c>
      <c r="K852" s="154" t="s">
        <v>46</v>
      </c>
      <c r="L852" s="154" t="s">
        <v>47</v>
      </c>
      <c r="M852" s="105">
        <v>2010116</v>
      </c>
      <c r="N852" s="154">
        <v>0</v>
      </c>
      <c r="O852" s="154" t="s">
        <v>48</v>
      </c>
      <c r="P852" s="154">
        <v>1901</v>
      </c>
      <c r="Q852" s="154"/>
      <c r="R852" s="154"/>
      <c r="S852" s="154">
        <v>0</v>
      </c>
      <c r="T852" s="154">
        <v>0</v>
      </c>
      <c r="U852" s="154"/>
      <c r="V852" s="154"/>
      <c r="W852" s="154" t="s">
        <v>47</v>
      </c>
      <c r="X852" s="154"/>
      <c r="Y852" s="154"/>
      <c r="Z852" s="154" t="s">
        <v>974</v>
      </c>
      <c r="AA852" s="154"/>
      <c r="AB852" s="154" t="s">
        <v>974</v>
      </c>
      <c r="AC852" s="154">
        <v>2196</v>
      </c>
      <c r="AD852" s="154" t="s">
        <v>51</v>
      </c>
      <c r="AE852" s="154" t="s">
        <v>51</v>
      </c>
      <c r="AF852" s="154" t="s">
        <v>51</v>
      </c>
      <c r="AG852" s="154"/>
      <c r="AH852" s="154" t="s">
        <v>52</v>
      </c>
      <c r="AI852" s="154">
        <v>0</v>
      </c>
      <c r="AJ852" s="154"/>
      <c r="AK852" s="154"/>
      <c r="AL852" s="154"/>
      <c r="AM852" s="154"/>
      <c r="AN852" s="154" t="s">
        <v>47</v>
      </c>
      <c r="AO852" s="154"/>
      <c r="AP852" s="154" t="s">
        <v>53</v>
      </c>
      <c r="AQ852" s="26">
        <v>0</v>
      </c>
    </row>
    <row r="853" s="26" customFormat="1" ht="12.75" spans="1:43">
      <c r="A853" s="154">
        <v>180655</v>
      </c>
      <c r="B853" s="154" t="s">
        <v>1140</v>
      </c>
      <c r="C853" s="154"/>
      <c r="D853" s="154"/>
      <c r="E853" s="154"/>
      <c r="F853" s="154">
        <v>0</v>
      </c>
      <c r="G853" s="154">
        <v>0</v>
      </c>
      <c r="H853" s="154" t="s">
        <v>45</v>
      </c>
      <c r="I853" s="154">
        <v>16</v>
      </c>
      <c r="J853" s="154">
        <v>0</v>
      </c>
      <c r="K853" s="154" t="s">
        <v>46</v>
      </c>
      <c r="L853" s="154" t="s">
        <v>47</v>
      </c>
      <c r="M853" s="105">
        <v>2010117</v>
      </c>
      <c r="N853" s="154">
        <v>0</v>
      </c>
      <c r="O853" s="154" t="s">
        <v>48</v>
      </c>
      <c r="P853" s="154">
        <v>1901</v>
      </c>
      <c r="Q853" s="154"/>
      <c r="R853" s="154"/>
      <c r="S853" s="154">
        <v>0</v>
      </c>
      <c r="T853" s="154">
        <v>0</v>
      </c>
      <c r="U853" s="154"/>
      <c r="V853" s="154"/>
      <c r="W853" s="154" t="s">
        <v>47</v>
      </c>
      <c r="X853" s="154"/>
      <c r="Y853" s="154"/>
      <c r="Z853" s="154" t="s">
        <v>974</v>
      </c>
      <c r="AA853" s="154"/>
      <c r="AB853" s="154" t="s">
        <v>974</v>
      </c>
      <c r="AC853" s="154">
        <v>2196</v>
      </c>
      <c r="AD853" s="154" t="s">
        <v>51</v>
      </c>
      <c r="AE853" s="154" t="s">
        <v>51</v>
      </c>
      <c r="AF853" s="154" t="s">
        <v>51</v>
      </c>
      <c r="AG853" s="154"/>
      <c r="AH853" s="154" t="s">
        <v>52</v>
      </c>
      <c r="AI853" s="154">
        <v>0</v>
      </c>
      <c r="AJ853" s="154"/>
      <c r="AK853" s="154"/>
      <c r="AL853" s="154"/>
      <c r="AM853" s="154"/>
      <c r="AN853" s="154" t="s">
        <v>47</v>
      </c>
      <c r="AO853" s="154"/>
      <c r="AP853" s="154" t="s">
        <v>53</v>
      </c>
      <c r="AQ853" s="26">
        <v>0</v>
      </c>
    </row>
    <row r="854" s="26" customFormat="1" ht="12.75" spans="1:43">
      <c r="A854" s="154">
        <v>180656</v>
      </c>
      <c r="B854" s="154" t="s">
        <v>1140</v>
      </c>
      <c r="C854" s="154"/>
      <c r="D854" s="154"/>
      <c r="E854" s="154"/>
      <c r="F854" s="154">
        <v>0</v>
      </c>
      <c r="G854" s="154">
        <v>0</v>
      </c>
      <c r="H854" s="154" t="s">
        <v>45</v>
      </c>
      <c r="I854" s="154">
        <v>16</v>
      </c>
      <c r="J854" s="154">
        <v>0</v>
      </c>
      <c r="K854" s="154" t="s">
        <v>46</v>
      </c>
      <c r="L854" s="154" t="s">
        <v>47</v>
      </c>
      <c r="M854" s="105">
        <v>2010118</v>
      </c>
      <c r="N854" s="154">
        <v>0</v>
      </c>
      <c r="O854" s="154" t="s">
        <v>48</v>
      </c>
      <c r="P854" s="154">
        <v>1901</v>
      </c>
      <c r="Q854" s="154"/>
      <c r="R854" s="154"/>
      <c r="S854" s="154">
        <v>0</v>
      </c>
      <c r="T854" s="154">
        <v>0</v>
      </c>
      <c r="U854" s="154"/>
      <c r="V854" s="154"/>
      <c r="W854" s="154" t="s">
        <v>47</v>
      </c>
      <c r="X854" s="154"/>
      <c r="Y854" s="154"/>
      <c r="Z854" s="154" t="s">
        <v>974</v>
      </c>
      <c r="AA854" s="154"/>
      <c r="AB854" s="154" t="s">
        <v>974</v>
      </c>
      <c r="AC854" s="154">
        <v>2196</v>
      </c>
      <c r="AD854" s="154" t="s">
        <v>51</v>
      </c>
      <c r="AE854" s="154" t="s">
        <v>51</v>
      </c>
      <c r="AF854" s="154" t="s">
        <v>51</v>
      </c>
      <c r="AG854" s="154"/>
      <c r="AH854" s="154" t="s">
        <v>52</v>
      </c>
      <c r="AI854" s="154">
        <v>0</v>
      </c>
      <c r="AJ854" s="154"/>
      <c r="AK854" s="154"/>
      <c r="AL854" s="154"/>
      <c r="AM854" s="154"/>
      <c r="AN854" s="154" t="s">
        <v>47</v>
      </c>
      <c r="AO854" s="154"/>
      <c r="AP854" s="154" t="s">
        <v>53</v>
      </c>
      <c r="AQ854" s="26">
        <v>0</v>
      </c>
    </row>
    <row r="855" s="26" customFormat="1" ht="12.75" spans="1:43">
      <c r="A855" s="154">
        <v>180657</v>
      </c>
      <c r="B855" s="154" t="s">
        <v>1141</v>
      </c>
      <c r="C855" s="154"/>
      <c r="D855" s="154"/>
      <c r="E855" s="154"/>
      <c r="F855" s="154">
        <v>0</v>
      </c>
      <c r="G855" s="154">
        <v>0</v>
      </c>
      <c r="H855" s="154" t="s">
        <v>45</v>
      </c>
      <c r="I855" s="154">
        <v>16</v>
      </c>
      <c r="J855" s="154">
        <v>0</v>
      </c>
      <c r="K855" s="154" t="s">
        <v>46</v>
      </c>
      <c r="L855" s="154" t="s">
        <v>47</v>
      </c>
      <c r="M855" s="105">
        <v>2010119</v>
      </c>
      <c r="N855" s="154">
        <v>0</v>
      </c>
      <c r="O855" s="154" t="s">
        <v>48</v>
      </c>
      <c r="P855" s="154">
        <v>1901</v>
      </c>
      <c r="Q855" s="154"/>
      <c r="R855" s="154"/>
      <c r="S855" s="154">
        <v>0</v>
      </c>
      <c r="T855" s="154">
        <v>0</v>
      </c>
      <c r="U855" s="154"/>
      <c r="V855" s="154"/>
      <c r="W855" s="154" t="s">
        <v>47</v>
      </c>
      <c r="X855" s="154"/>
      <c r="Y855" s="154"/>
      <c r="Z855" s="154" t="s">
        <v>976</v>
      </c>
      <c r="AA855" s="154"/>
      <c r="AB855" s="154" t="s">
        <v>976</v>
      </c>
      <c r="AC855" s="154">
        <v>2198</v>
      </c>
      <c r="AD855" s="154" t="s">
        <v>51</v>
      </c>
      <c r="AE855" s="154" t="s">
        <v>51</v>
      </c>
      <c r="AF855" s="154" t="s">
        <v>51</v>
      </c>
      <c r="AG855" s="154"/>
      <c r="AH855" s="154" t="s">
        <v>52</v>
      </c>
      <c r="AI855" s="154">
        <v>0</v>
      </c>
      <c r="AJ855" s="154"/>
      <c r="AK855" s="154"/>
      <c r="AL855" s="154"/>
      <c r="AM855" s="154"/>
      <c r="AN855" s="154" t="s">
        <v>47</v>
      </c>
      <c r="AO855" s="154"/>
      <c r="AP855" s="154" t="s">
        <v>53</v>
      </c>
      <c r="AQ855" s="26">
        <v>0</v>
      </c>
    </row>
    <row r="856" s="26" customFormat="1" ht="12.75" spans="1:43">
      <c r="A856" s="154">
        <v>180658</v>
      </c>
      <c r="B856" s="154" t="s">
        <v>639</v>
      </c>
      <c r="C856" s="154"/>
      <c r="D856" s="154"/>
      <c r="E856" s="154"/>
      <c r="F856" s="154">
        <v>0</v>
      </c>
      <c r="G856" s="154">
        <v>0</v>
      </c>
      <c r="H856" s="154" t="s">
        <v>45</v>
      </c>
      <c r="I856" s="154">
        <v>18</v>
      </c>
      <c r="J856" s="154">
        <v>0</v>
      </c>
      <c r="K856" s="154" t="s">
        <v>46</v>
      </c>
      <c r="L856" s="154" t="s">
        <v>47</v>
      </c>
      <c r="M856" s="105">
        <v>2010120</v>
      </c>
      <c r="N856" s="154">
        <v>0</v>
      </c>
      <c r="O856" s="154" t="s">
        <v>48</v>
      </c>
      <c r="P856" s="154">
        <v>1901</v>
      </c>
      <c r="Q856" s="154"/>
      <c r="R856" s="154"/>
      <c r="S856" s="154">
        <v>0</v>
      </c>
      <c r="T856" s="154">
        <v>0</v>
      </c>
      <c r="U856" s="154"/>
      <c r="V856" s="154"/>
      <c r="W856" s="154" t="s">
        <v>47</v>
      </c>
      <c r="X856" s="154"/>
      <c r="Y856" s="154"/>
      <c r="Z856" s="154" t="s">
        <v>639</v>
      </c>
      <c r="AA856" s="154"/>
      <c r="AB856" s="154" t="s">
        <v>639</v>
      </c>
      <c r="AC856" s="154" t="s">
        <v>51</v>
      </c>
      <c r="AD856" s="154" t="s">
        <v>51</v>
      </c>
      <c r="AE856" s="154" t="s">
        <v>51</v>
      </c>
      <c r="AF856" s="154" t="s">
        <v>51</v>
      </c>
      <c r="AG856" s="154"/>
      <c r="AH856" s="154" t="s">
        <v>52</v>
      </c>
      <c r="AI856" s="154">
        <v>0</v>
      </c>
      <c r="AJ856" s="154"/>
      <c r="AK856" s="154"/>
      <c r="AL856" s="154"/>
      <c r="AM856" s="154"/>
      <c r="AN856" s="154" t="s">
        <v>47</v>
      </c>
      <c r="AO856" s="154"/>
      <c r="AP856" s="154" t="s">
        <v>53</v>
      </c>
      <c r="AQ856" s="26">
        <v>0</v>
      </c>
    </row>
    <row r="857" s="26" customFormat="1" ht="12.75" spans="1:43">
      <c r="A857" s="154">
        <v>180659</v>
      </c>
      <c r="B857" s="154" t="s">
        <v>1142</v>
      </c>
      <c r="C857" s="154"/>
      <c r="D857" s="154"/>
      <c r="E857" s="154"/>
      <c r="F857" s="154">
        <v>0</v>
      </c>
      <c r="G857" s="154">
        <v>0</v>
      </c>
      <c r="H857" s="154" t="s">
        <v>45</v>
      </c>
      <c r="I857" s="154">
        <v>16</v>
      </c>
      <c r="J857" s="154">
        <v>0</v>
      </c>
      <c r="K857" s="154" t="s">
        <v>46</v>
      </c>
      <c r="L857" s="154" t="s">
        <v>47</v>
      </c>
      <c r="M857" s="105">
        <v>2010121</v>
      </c>
      <c r="N857" s="154">
        <v>0</v>
      </c>
      <c r="O857" s="154" t="s">
        <v>48</v>
      </c>
      <c r="P857" s="154">
        <v>1901</v>
      </c>
      <c r="Q857" s="154"/>
      <c r="R857" s="154"/>
      <c r="S857" s="154">
        <v>0</v>
      </c>
      <c r="T857" s="154">
        <v>0</v>
      </c>
      <c r="U857" s="154"/>
      <c r="V857" s="154"/>
      <c r="W857" s="154" t="s">
        <v>47</v>
      </c>
      <c r="X857" s="154"/>
      <c r="Y857" s="154"/>
      <c r="Z857" s="154" t="s">
        <v>978</v>
      </c>
      <c r="AA857" s="154"/>
      <c r="AB857" s="154" t="s">
        <v>978</v>
      </c>
      <c r="AC857" s="154">
        <v>2195</v>
      </c>
      <c r="AD857" s="154" t="s">
        <v>51</v>
      </c>
      <c r="AE857" s="154" t="s">
        <v>51</v>
      </c>
      <c r="AF857" s="154" t="s">
        <v>51</v>
      </c>
      <c r="AG857" s="154"/>
      <c r="AH857" s="154" t="s">
        <v>52</v>
      </c>
      <c r="AI857" s="154">
        <v>0</v>
      </c>
      <c r="AJ857" s="154"/>
      <c r="AK857" s="154"/>
      <c r="AL857" s="154"/>
      <c r="AM857" s="154"/>
      <c r="AN857" s="154" t="s">
        <v>47</v>
      </c>
      <c r="AO857" s="154"/>
      <c r="AP857" s="154" t="s">
        <v>53</v>
      </c>
      <c r="AQ857" s="26">
        <v>0</v>
      </c>
    </row>
    <row r="858" s="26" customFormat="1" ht="12.75" spans="1:43">
      <c r="A858" s="154">
        <v>180660</v>
      </c>
      <c r="B858" s="154" t="s">
        <v>1143</v>
      </c>
      <c r="C858" s="154"/>
      <c r="D858" s="154"/>
      <c r="E858" s="154"/>
      <c r="F858" s="154">
        <v>2</v>
      </c>
      <c r="G858" s="154">
        <v>0</v>
      </c>
      <c r="H858" s="154" t="s">
        <v>45</v>
      </c>
      <c r="I858" s="154">
        <v>16</v>
      </c>
      <c r="J858" s="154">
        <v>0</v>
      </c>
      <c r="K858" s="154" t="s">
        <v>46</v>
      </c>
      <c r="L858" s="154" t="s">
        <v>47</v>
      </c>
      <c r="M858" s="105">
        <v>2010122</v>
      </c>
      <c r="N858" s="154">
        <v>0</v>
      </c>
      <c r="O858" s="154" t="s">
        <v>48</v>
      </c>
      <c r="P858" s="154">
        <v>1901</v>
      </c>
      <c r="Q858" s="154"/>
      <c r="R858" s="154"/>
      <c r="S858" s="154">
        <v>0</v>
      </c>
      <c r="T858" s="154">
        <v>0</v>
      </c>
      <c r="U858" s="154"/>
      <c r="V858" s="154"/>
      <c r="W858" s="154" t="s">
        <v>47</v>
      </c>
      <c r="X858" s="154"/>
      <c r="Y858" s="154"/>
      <c r="Z858" s="154" t="s">
        <v>980</v>
      </c>
      <c r="AA858" s="154"/>
      <c r="AB858" s="154" t="s">
        <v>980</v>
      </c>
      <c r="AC858" s="154">
        <v>2195</v>
      </c>
      <c r="AD858" s="154" t="s">
        <v>51</v>
      </c>
      <c r="AE858" s="154" t="s">
        <v>51</v>
      </c>
      <c r="AF858" s="154" t="s">
        <v>51</v>
      </c>
      <c r="AG858" s="154"/>
      <c r="AH858" s="154" t="s">
        <v>52</v>
      </c>
      <c r="AI858" s="154">
        <v>0</v>
      </c>
      <c r="AJ858" s="154"/>
      <c r="AK858" s="154"/>
      <c r="AL858" s="154"/>
      <c r="AM858" s="154"/>
      <c r="AN858" s="154" t="s">
        <v>47</v>
      </c>
      <c r="AO858" s="154"/>
      <c r="AP858" s="154" t="s">
        <v>53</v>
      </c>
      <c r="AQ858" s="26">
        <v>0</v>
      </c>
    </row>
    <row r="859" s="26" customFormat="1" ht="12.75" spans="1:43">
      <c r="A859" s="154">
        <v>180661</v>
      </c>
      <c r="B859" s="154" t="s">
        <v>1144</v>
      </c>
      <c r="C859" s="154"/>
      <c r="D859" s="154"/>
      <c r="E859" s="154"/>
      <c r="F859" s="154">
        <v>2</v>
      </c>
      <c r="G859" s="154">
        <v>0</v>
      </c>
      <c r="H859" s="154" t="s">
        <v>45</v>
      </c>
      <c r="I859" s="154">
        <v>16</v>
      </c>
      <c r="J859" s="154">
        <v>0</v>
      </c>
      <c r="K859" s="154" t="s">
        <v>46</v>
      </c>
      <c r="L859" s="154" t="s">
        <v>47</v>
      </c>
      <c r="M859" s="105">
        <v>2010124</v>
      </c>
      <c r="N859" s="154">
        <v>0</v>
      </c>
      <c r="O859" s="154" t="s">
        <v>48</v>
      </c>
      <c r="P859" s="154">
        <v>1901</v>
      </c>
      <c r="Q859" s="154"/>
      <c r="R859" s="154"/>
      <c r="S859" s="154">
        <v>0</v>
      </c>
      <c r="T859" s="154">
        <v>0</v>
      </c>
      <c r="U859" s="154"/>
      <c r="V859" s="154"/>
      <c r="W859" s="154" t="s">
        <v>47</v>
      </c>
      <c r="X859" s="154"/>
      <c r="Y859" s="154"/>
      <c r="Z859" s="154" t="s">
        <v>982</v>
      </c>
      <c r="AA859" s="154"/>
      <c r="AB859" s="154" t="s">
        <v>982</v>
      </c>
      <c r="AC859" s="154">
        <v>2195</v>
      </c>
      <c r="AD859" s="154" t="s">
        <v>51</v>
      </c>
      <c r="AE859" s="154" t="s">
        <v>51</v>
      </c>
      <c r="AF859" s="154" t="s">
        <v>51</v>
      </c>
      <c r="AG859" s="154"/>
      <c r="AH859" s="154" t="s">
        <v>52</v>
      </c>
      <c r="AI859" s="154">
        <v>0</v>
      </c>
      <c r="AJ859" s="154"/>
      <c r="AK859" s="154"/>
      <c r="AL859" s="154"/>
      <c r="AM859" s="154"/>
      <c r="AN859" s="154" t="s">
        <v>47</v>
      </c>
      <c r="AO859" s="154"/>
      <c r="AP859" s="154" t="s">
        <v>53</v>
      </c>
      <c r="AQ859" s="26">
        <v>0</v>
      </c>
    </row>
    <row r="860" s="26" customFormat="1" ht="12.75" spans="1:43">
      <c r="A860" s="154">
        <v>180662</v>
      </c>
      <c r="B860" s="154" t="s">
        <v>1142</v>
      </c>
      <c r="C860" s="154"/>
      <c r="D860" s="154"/>
      <c r="E860" s="154"/>
      <c r="F860" s="154">
        <v>2</v>
      </c>
      <c r="G860" s="154">
        <v>0</v>
      </c>
      <c r="H860" s="154" t="s">
        <v>45</v>
      </c>
      <c r="I860" s="154">
        <v>16</v>
      </c>
      <c r="J860" s="154">
        <v>0</v>
      </c>
      <c r="K860" s="154" t="s">
        <v>46</v>
      </c>
      <c r="L860" s="154" t="s">
        <v>47</v>
      </c>
      <c r="M860" s="105">
        <v>2010125</v>
      </c>
      <c r="N860" s="154">
        <v>0</v>
      </c>
      <c r="O860" s="154" t="s">
        <v>48</v>
      </c>
      <c r="P860" s="154">
        <v>1901</v>
      </c>
      <c r="Q860" s="154"/>
      <c r="R860" s="154"/>
      <c r="S860" s="154">
        <v>0</v>
      </c>
      <c r="T860" s="154">
        <v>0</v>
      </c>
      <c r="U860" s="154"/>
      <c r="V860" s="154"/>
      <c r="W860" s="154" t="s">
        <v>47</v>
      </c>
      <c r="X860" s="154"/>
      <c r="Y860" s="154"/>
      <c r="Z860" s="154" t="s">
        <v>978</v>
      </c>
      <c r="AA860" s="154"/>
      <c r="AB860" s="154" t="s">
        <v>978</v>
      </c>
      <c r="AC860" s="154">
        <v>2195</v>
      </c>
      <c r="AD860" s="154" t="s">
        <v>51</v>
      </c>
      <c r="AE860" s="154" t="s">
        <v>51</v>
      </c>
      <c r="AF860" s="154" t="s">
        <v>51</v>
      </c>
      <c r="AG860" s="154"/>
      <c r="AH860" s="154" t="s">
        <v>52</v>
      </c>
      <c r="AI860" s="154">
        <v>0</v>
      </c>
      <c r="AJ860" s="154"/>
      <c r="AK860" s="154"/>
      <c r="AL860" s="154"/>
      <c r="AM860" s="154"/>
      <c r="AN860" s="154" t="s">
        <v>47</v>
      </c>
      <c r="AO860" s="154"/>
      <c r="AP860" s="154" t="s">
        <v>53</v>
      </c>
      <c r="AQ860" s="26">
        <v>0</v>
      </c>
    </row>
    <row r="861" s="26" customFormat="1" ht="12.75" spans="1:43">
      <c r="A861" s="154">
        <v>180663</v>
      </c>
      <c r="B861" s="154" t="s">
        <v>1143</v>
      </c>
      <c r="C861" s="154"/>
      <c r="D861" s="154"/>
      <c r="E861" s="154"/>
      <c r="F861" s="154">
        <v>3</v>
      </c>
      <c r="G861" s="154">
        <v>0</v>
      </c>
      <c r="H861" s="154" t="s">
        <v>45</v>
      </c>
      <c r="I861" s="154">
        <v>16</v>
      </c>
      <c r="J861" s="154">
        <v>0</v>
      </c>
      <c r="K861" s="154" t="s">
        <v>46</v>
      </c>
      <c r="L861" s="154" t="s">
        <v>47</v>
      </c>
      <c r="M861" s="105">
        <v>2010126</v>
      </c>
      <c r="N861" s="154">
        <v>0</v>
      </c>
      <c r="O861" s="154" t="s">
        <v>48</v>
      </c>
      <c r="P861" s="154">
        <v>1901</v>
      </c>
      <c r="Q861" s="154"/>
      <c r="R861" s="154"/>
      <c r="S861" s="154">
        <v>0</v>
      </c>
      <c r="T861" s="154">
        <v>0</v>
      </c>
      <c r="U861" s="154"/>
      <c r="V861" s="154"/>
      <c r="W861" s="154" t="s">
        <v>47</v>
      </c>
      <c r="X861" s="154"/>
      <c r="Y861" s="154"/>
      <c r="Z861" s="154" t="s">
        <v>980</v>
      </c>
      <c r="AA861" s="154"/>
      <c r="AB861" s="154" t="s">
        <v>980</v>
      </c>
      <c r="AC861" s="154">
        <v>2195</v>
      </c>
      <c r="AD861" s="154" t="s">
        <v>51</v>
      </c>
      <c r="AE861" s="154" t="s">
        <v>51</v>
      </c>
      <c r="AF861" s="154" t="s">
        <v>51</v>
      </c>
      <c r="AG861" s="154"/>
      <c r="AH861" s="154" t="s">
        <v>52</v>
      </c>
      <c r="AI861" s="154">
        <v>0</v>
      </c>
      <c r="AJ861" s="154"/>
      <c r="AK861" s="154"/>
      <c r="AL861" s="154"/>
      <c r="AM861" s="154"/>
      <c r="AN861" s="154" t="s">
        <v>47</v>
      </c>
      <c r="AO861" s="154"/>
      <c r="AP861" s="154" t="s">
        <v>53</v>
      </c>
      <c r="AQ861" s="26">
        <v>0</v>
      </c>
    </row>
    <row r="862" s="26" customFormat="1" ht="12.75" spans="1:43">
      <c r="A862" s="154">
        <v>180664</v>
      </c>
      <c r="B862" s="154" t="s">
        <v>1144</v>
      </c>
      <c r="C862" s="154"/>
      <c r="D862" s="154"/>
      <c r="E862" s="154"/>
      <c r="F862" s="154">
        <v>3</v>
      </c>
      <c r="G862" s="154">
        <v>0</v>
      </c>
      <c r="H862" s="154" t="s">
        <v>45</v>
      </c>
      <c r="I862" s="154">
        <v>16</v>
      </c>
      <c r="J862" s="154">
        <v>0</v>
      </c>
      <c r="K862" s="154" t="s">
        <v>46</v>
      </c>
      <c r="L862" s="154" t="s">
        <v>47</v>
      </c>
      <c r="M862" s="105">
        <v>2010127</v>
      </c>
      <c r="N862" s="154">
        <v>0</v>
      </c>
      <c r="O862" s="154" t="s">
        <v>48</v>
      </c>
      <c r="P862" s="154">
        <v>1901</v>
      </c>
      <c r="Q862" s="154"/>
      <c r="R862" s="154"/>
      <c r="S862" s="154">
        <v>0</v>
      </c>
      <c r="T862" s="154">
        <v>0</v>
      </c>
      <c r="U862" s="154"/>
      <c r="V862" s="154"/>
      <c r="W862" s="154" t="s">
        <v>47</v>
      </c>
      <c r="X862" s="154"/>
      <c r="Y862" s="154"/>
      <c r="Z862" s="154" t="s">
        <v>982</v>
      </c>
      <c r="AA862" s="154"/>
      <c r="AB862" s="154" t="s">
        <v>982</v>
      </c>
      <c r="AC862" s="154">
        <v>2195</v>
      </c>
      <c r="AD862" s="154" t="s">
        <v>51</v>
      </c>
      <c r="AE862" s="154" t="s">
        <v>51</v>
      </c>
      <c r="AF862" s="154" t="s">
        <v>51</v>
      </c>
      <c r="AG862" s="154"/>
      <c r="AH862" s="154" t="s">
        <v>52</v>
      </c>
      <c r="AI862" s="154">
        <v>0</v>
      </c>
      <c r="AJ862" s="154"/>
      <c r="AK862" s="154"/>
      <c r="AL862" s="154"/>
      <c r="AM862" s="154"/>
      <c r="AN862" s="154" t="s">
        <v>47</v>
      </c>
      <c r="AO862" s="154"/>
      <c r="AP862" s="154" t="s">
        <v>53</v>
      </c>
      <c r="AQ862" s="26">
        <v>0</v>
      </c>
    </row>
    <row r="863" s="26" customFormat="1" ht="12.75" spans="1:43">
      <c r="A863" s="154">
        <v>180665</v>
      </c>
      <c r="B863" s="154" t="s">
        <v>1142</v>
      </c>
      <c r="C863" s="154"/>
      <c r="D863" s="154"/>
      <c r="E863" s="154"/>
      <c r="F863" s="154">
        <v>3</v>
      </c>
      <c r="G863" s="154">
        <v>0</v>
      </c>
      <c r="H863" s="154" t="s">
        <v>45</v>
      </c>
      <c r="I863" s="154">
        <v>16</v>
      </c>
      <c r="J863" s="154">
        <v>0</v>
      </c>
      <c r="K863" s="154" t="s">
        <v>46</v>
      </c>
      <c r="L863" s="154" t="s">
        <v>47</v>
      </c>
      <c r="M863" s="105">
        <v>2010128</v>
      </c>
      <c r="N863" s="154">
        <v>0</v>
      </c>
      <c r="O863" s="154" t="s">
        <v>48</v>
      </c>
      <c r="P863" s="154">
        <v>1901</v>
      </c>
      <c r="Q863" s="154"/>
      <c r="R863" s="154"/>
      <c r="S863" s="154">
        <v>0</v>
      </c>
      <c r="T863" s="154">
        <v>0</v>
      </c>
      <c r="U863" s="154"/>
      <c r="V863" s="154"/>
      <c r="W863" s="154" t="s">
        <v>47</v>
      </c>
      <c r="X863" s="154"/>
      <c r="Y863" s="154"/>
      <c r="Z863" s="154" t="s">
        <v>978</v>
      </c>
      <c r="AA863" s="154"/>
      <c r="AB863" s="154" t="s">
        <v>978</v>
      </c>
      <c r="AC863" s="154">
        <v>2195</v>
      </c>
      <c r="AD863" s="154" t="s">
        <v>51</v>
      </c>
      <c r="AE863" s="154" t="s">
        <v>51</v>
      </c>
      <c r="AF863" s="154" t="s">
        <v>51</v>
      </c>
      <c r="AG863" s="154"/>
      <c r="AH863" s="154" t="s">
        <v>52</v>
      </c>
      <c r="AI863" s="154">
        <v>0</v>
      </c>
      <c r="AJ863" s="154"/>
      <c r="AK863" s="154"/>
      <c r="AL863" s="154"/>
      <c r="AM863" s="154"/>
      <c r="AN863" s="154" t="s">
        <v>47</v>
      </c>
      <c r="AO863" s="154"/>
      <c r="AP863" s="154" t="s">
        <v>53</v>
      </c>
      <c r="AQ863" s="26">
        <v>0</v>
      </c>
    </row>
    <row r="864" s="26" customFormat="1" ht="12.75" spans="1:43">
      <c r="A864" s="154">
        <v>180666</v>
      </c>
      <c r="B864" s="154" t="s">
        <v>1143</v>
      </c>
      <c r="C864" s="154"/>
      <c r="D864" s="154"/>
      <c r="E864" s="154"/>
      <c r="F864" s="154">
        <v>0</v>
      </c>
      <c r="G864" s="154">
        <v>0</v>
      </c>
      <c r="H864" s="154" t="s">
        <v>45</v>
      </c>
      <c r="I864" s="154">
        <v>16</v>
      </c>
      <c r="J864" s="154">
        <v>0</v>
      </c>
      <c r="K864" s="154" t="s">
        <v>46</v>
      </c>
      <c r="L864" s="154" t="s">
        <v>47</v>
      </c>
      <c r="M864" s="105">
        <v>2010129</v>
      </c>
      <c r="N864" s="154">
        <v>0</v>
      </c>
      <c r="O864" s="154" t="s">
        <v>48</v>
      </c>
      <c r="P864" s="154">
        <v>1901</v>
      </c>
      <c r="Q864" s="154"/>
      <c r="R864" s="154"/>
      <c r="S864" s="154">
        <v>0</v>
      </c>
      <c r="T864" s="154">
        <v>0</v>
      </c>
      <c r="U864" s="154"/>
      <c r="V864" s="154"/>
      <c r="W864" s="154" t="s">
        <v>47</v>
      </c>
      <c r="X864" s="154"/>
      <c r="Y864" s="154"/>
      <c r="Z864" s="154" t="s">
        <v>980</v>
      </c>
      <c r="AA864" s="154"/>
      <c r="AB864" s="154" t="s">
        <v>980</v>
      </c>
      <c r="AC864" s="154">
        <v>2195</v>
      </c>
      <c r="AD864" s="154" t="s">
        <v>51</v>
      </c>
      <c r="AE864" s="154" t="s">
        <v>51</v>
      </c>
      <c r="AF864" s="154" t="s">
        <v>51</v>
      </c>
      <c r="AG864" s="154"/>
      <c r="AH864" s="154" t="s">
        <v>52</v>
      </c>
      <c r="AI864" s="154">
        <v>0</v>
      </c>
      <c r="AJ864" s="154"/>
      <c r="AK864" s="154"/>
      <c r="AL864" s="154"/>
      <c r="AM864" s="154"/>
      <c r="AN864" s="154" t="s">
        <v>47</v>
      </c>
      <c r="AO864" s="154"/>
      <c r="AP864" s="154" t="s">
        <v>53</v>
      </c>
      <c r="AQ864" s="26">
        <v>0</v>
      </c>
    </row>
    <row r="865" s="26" customFormat="1" ht="12.75" spans="1:43">
      <c r="A865" s="154">
        <v>180667</v>
      </c>
      <c r="B865" s="154" t="s">
        <v>1144</v>
      </c>
      <c r="C865" s="154"/>
      <c r="D865" s="154"/>
      <c r="E865" s="154"/>
      <c r="F865" s="154">
        <v>2</v>
      </c>
      <c r="G865" s="154">
        <v>0</v>
      </c>
      <c r="H865" s="154" t="s">
        <v>45</v>
      </c>
      <c r="I865" s="154">
        <v>16</v>
      </c>
      <c r="J865" s="154">
        <v>0</v>
      </c>
      <c r="K865" s="154" t="s">
        <v>46</v>
      </c>
      <c r="L865" s="154" t="s">
        <v>47</v>
      </c>
      <c r="M865" s="105">
        <v>2010130</v>
      </c>
      <c r="N865" s="154">
        <v>0</v>
      </c>
      <c r="O865" s="154" t="s">
        <v>48</v>
      </c>
      <c r="P865" s="154">
        <v>1901</v>
      </c>
      <c r="Q865" s="154"/>
      <c r="R865" s="154"/>
      <c r="S865" s="154">
        <v>0</v>
      </c>
      <c r="T865" s="154">
        <v>0</v>
      </c>
      <c r="U865" s="154"/>
      <c r="V865" s="154"/>
      <c r="W865" s="154" t="s">
        <v>47</v>
      </c>
      <c r="X865" s="154"/>
      <c r="Y865" s="154"/>
      <c r="Z865" s="154" t="s">
        <v>982</v>
      </c>
      <c r="AA865" s="154"/>
      <c r="AB865" s="154" t="s">
        <v>982</v>
      </c>
      <c r="AC865" s="154">
        <v>2195</v>
      </c>
      <c r="AD865" s="154" t="s">
        <v>51</v>
      </c>
      <c r="AE865" s="154" t="s">
        <v>51</v>
      </c>
      <c r="AF865" s="154" t="s">
        <v>51</v>
      </c>
      <c r="AG865" s="154"/>
      <c r="AH865" s="154" t="s">
        <v>52</v>
      </c>
      <c r="AI865" s="154">
        <v>0</v>
      </c>
      <c r="AJ865" s="154"/>
      <c r="AK865" s="154"/>
      <c r="AL865" s="154"/>
      <c r="AM865" s="154"/>
      <c r="AN865" s="154" t="s">
        <v>47</v>
      </c>
      <c r="AO865" s="154"/>
      <c r="AP865" s="154" t="s">
        <v>53</v>
      </c>
      <c r="AQ865" s="26">
        <v>0</v>
      </c>
    </row>
    <row r="866" s="26" customFormat="1" ht="12.75" spans="1:43">
      <c r="A866" s="154">
        <v>180668</v>
      </c>
      <c r="B866" s="154" t="s">
        <v>1142</v>
      </c>
      <c r="C866" s="154"/>
      <c r="D866" s="154"/>
      <c r="E866" s="154"/>
      <c r="F866" s="154">
        <v>2</v>
      </c>
      <c r="G866" s="154">
        <v>0</v>
      </c>
      <c r="H866" s="154" t="s">
        <v>45</v>
      </c>
      <c r="I866" s="154">
        <v>16</v>
      </c>
      <c r="J866" s="154">
        <v>0</v>
      </c>
      <c r="K866" s="154" t="s">
        <v>46</v>
      </c>
      <c r="L866" s="154" t="s">
        <v>47</v>
      </c>
      <c r="M866" s="105">
        <v>2010131</v>
      </c>
      <c r="N866" s="154">
        <v>0</v>
      </c>
      <c r="O866" s="154" t="s">
        <v>48</v>
      </c>
      <c r="P866" s="154">
        <v>1901</v>
      </c>
      <c r="Q866" s="154"/>
      <c r="R866" s="154"/>
      <c r="S866" s="154">
        <v>0</v>
      </c>
      <c r="T866" s="154">
        <v>0</v>
      </c>
      <c r="U866" s="154"/>
      <c r="V866" s="154"/>
      <c r="W866" s="154" t="s">
        <v>47</v>
      </c>
      <c r="X866" s="154"/>
      <c r="Y866" s="154"/>
      <c r="Z866" s="154" t="s">
        <v>978</v>
      </c>
      <c r="AA866" s="154"/>
      <c r="AB866" s="154" t="s">
        <v>978</v>
      </c>
      <c r="AC866" s="154">
        <v>2195</v>
      </c>
      <c r="AD866" s="154" t="s">
        <v>51</v>
      </c>
      <c r="AE866" s="154" t="s">
        <v>51</v>
      </c>
      <c r="AF866" s="154" t="s">
        <v>51</v>
      </c>
      <c r="AG866" s="154"/>
      <c r="AH866" s="154" t="s">
        <v>52</v>
      </c>
      <c r="AI866" s="154">
        <v>0</v>
      </c>
      <c r="AJ866" s="154"/>
      <c r="AK866" s="154"/>
      <c r="AL866" s="154"/>
      <c r="AM866" s="154"/>
      <c r="AN866" s="154" t="s">
        <v>47</v>
      </c>
      <c r="AO866" s="154"/>
      <c r="AP866" s="154" t="s">
        <v>53</v>
      </c>
      <c r="AQ866" s="26">
        <v>0</v>
      </c>
    </row>
    <row r="867" s="26" customFormat="1" ht="12.75" spans="1:43">
      <c r="A867" s="154">
        <v>180669</v>
      </c>
      <c r="B867" s="154" t="s">
        <v>1143</v>
      </c>
      <c r="C867" s="154"/>
      <c r="D867" s="154"/>
      <c r="E867" s="154"/>
      <c r="F867" s="154">
        <v>2</v>
      </c>
      <c r="G867" s="154">
        <v>0</v>
      </c>
      <c r="H867" s="154" t="s">
        <v>45</v>
      </c>
      <c r="I867" s="154">
        <v>16</v>
      </c>
      <c r="J867" s="154">
        <v>0</v>
      </c>
      <c r="K867" s="154" t="s">
        <v>46</v>
      </c>
      <c r="L867" s="154" t="s">
        <v>47</v>
      </c>
      <c r="M867" s="105">
        <v>2010132</v>
      </c>
      <c r="N867" s="154">
        <v>0</v>
      </c>
      <c r="O867" s="154" t="s">
        <v>48</v>
      </c>
      <c r="P867" s="154">
        <v>1901</v>
      </c>
      <c r="Q867" s="154"/>
      <c r="R867" s="154"/>
      <c r="S867" s="154">
        <v>0</v>
      </c>
      <c r="T867" s="154">
        <v>0</v>
      </c>
      <c r="U867" s="154"/>
      <c r="V867" s="154"/>
      <c r="W867" s="154" t="s">
        <v>47</v>
      </c>
      <c r="X867" s="154"/>
      <c r="Y867" s="154"/>
      <c r="Z867" s="154" t="s">
        <v>980</v>
      </c>
      <c r="AA867" s="154"/>
      <c r="AB867" s="154" t="s">
        <v>980</v>
      </c>
      <c r="AC867" s="154">
        <v>2195</v>
      </c>
      <c r="AD867" s="154" t="s">
        <v>51</v>
      </c>
      <c r="AE867" s="154" t="s">
        <v>51</v>
      </c>
      <c r="AF867" s="154" t="s">
        <v>51</v>
      </c>
      <c r="AG867" s="154"/>
      <c r="AH867" s="154" t="s">
        <v>52</v>
      </c>
      <c r="AI867" s="154">
        <v>0</v>
      </c>
      <c r="AJ867" s="154"/>
      <c r="AK867" s="154"/>
      <c r="AL867" s="154"/>
      <c r="AM867" s="154"/>
      <c r="AN867" s="154" t="s">
        <v>47</v>
      </c>
      <c r="AO867" s="154"/>
      <c r="AP867" s="154" t="s">
        <v>53</v>
      </c>
      <c r="AQ867" s="26">
        <v>0</v>
      </c>
    </row>
    <row r="868" s="26" customFormat="1" ht="12.75" spans="1:43">
      <c r="A868" s="154">
        <v>180670</v>
      </c>
      <c r="B868" s="154" t="s">
        <v>1144</v>
      </c>
      <c r="C868" s="154"/>
      <c r="D868" s="154"/>
      <c r="E868" s="154"/>
      <c r="F868" s="154">
        <v>3</v>
      </c>
      <c r="G868" s="154">
        <v>0</v>
      </c>
      <c r="H868" s="154" t="s">
        <v>45</v>
      </c>
      <c r="I868" s="154">
        <v>16</v>
      </c>
      <c r="J868" s="154">
        <v>0</v>
      </c>
      <c r="K868" s="154" t="s">
        <v>46</v>
      </c>
      <c r="L868" s="154" t="s">
        <v>47</v>
      </c>
      <c r="M868" s="105">
        <v>2010133</v>
      </c>
      <c r="N868" s="154">
        <v>0</v>
      </c>
      <c r="O868" s="154" t="s">
        <v>48</v>
      </c>
      <c r="P868" s="154">
        <v>1901</v>
      </c>
      <c r="Q868" s="154"/>
      <c r="R868" s="154"/>
      <c r="S868" s="154">
        <v>0</v>
      </c>
      <c r="T868" s="154">
        <v>0</v>
      </c>
      <c r="U868" s="154"/>
      <c r="V868" s="154"/>
      <c r="W868" s="154" t="s">
        <v>47</v>
      </c>
      <c r="X868" s="154"/>
      <c r="Y868" s="154"/>
      <c r="Z868" s="154" t="s">
        <v>982</v>
      </c>
      <c r="AA868" s="154"/>
      <c r="AB868" s="154" t="s">
        <v>982</v>
      </c>
      <c r="AC868" s="154">
        <v>2195</v>
      </c>
      <c r="AD868" s="154" t="s">
        <v>51</v>
      </c>
      <c r="AE868" s="154" t="s">
        <v>51</v>
      </c>
      <c r="AF868" s="154" t="s">
        <v>51</v>
      </c>
      <c r="AG868" s="154"/>
      <c r="AH868" s="154" t="s">
        <v>52</v>
      </c>
      <c r="AI868" s="154">
        <v>0</v>
      </c>
      <c r="AJ868" s="154"/>
      <c r="AK868" s="154"/>
      <c r="AL868" s="154"/>
      <c r="AM868" s="154"/>
      <c r="AN868" s="154" t="s">
        <v>47</v>
      </c>
      <c r="AO868" s="154"/>
      <c r="AP868" s="154" t="s">
        <v>53</v>
      </c>
      <c r="AQ868" s="26">
        <v>0</v>
      </c>
    </row>
    <row r="869" s="26" customFormat="1" ht="12.75" spans="1:43">
      <c r="A869" s="154">
        <v>180671</v>
      </c>
      <c r="B869" s="154" t="s">
        <v>1142</v>
      </c>
      <c r="C869" s="154"/>
      <c r="D869" s="154"/>
      <c r="E869" s="154"/>
      <c r="F869" s="154">
        <v>3</v>
      </c>
      <c r="G869" s="154">
        <v>0</v>
      </c>
      <c r="H869" s="154" t="s">
        <v>45</v>
      </c>
      <c r="I869" s="154">
        <v>16</v>
      </c>
      <c r="J869" s="154">
        <v>0</v>
      </c>
      <c r="K869" s="154" t="s">
        <v>46</v>
      </c>
      <c r="L869" s="154" t="s">
        <v>47</v>
      </c>
      <c r="M869" s="105">
        <v>2010134</v>
      </c>
      <c r="N869" s="154">
        <v>0</v>
      </c>
      <c r="O869" s="154" t="s">
        <v>48</v>
      </c>
      <c r="P869" s="154">
        <v>1901</v>
      </c>
      <c r="Q869" s="154"/>
      <c r="R869" s="154"/>
      <c r="S869" s="154">
        <v>0</v>
      </c>
      <c r="T869" s="154">
        <v>0</v>
      </c>
      <c r="U869" s="154"/>
      <c r="V869" s="154"/>
      <c r="W869" s="154" t="s">
        <v>47</v>
      </c>
      <c r="X869" s="154"/>
      <c r="Y869" s="154"/>
      <c r="Z869" s="154" t="s">
        <v>978</v>
      </c>
      <c r="AA869" s="154"/>
      <c r="AB869" s="154" t="s">
        <v>978</v>
      </c>
      <c r="AC869" s="154">
        <v>2195</v>
      </c>
      <c r="AD869" s="154" t="s">
        <v>51</v>
      </c>
      <c r="AE869" s="154" t="s">
        <v>51</v>
      </c>
      <c r="AF869" s="154" t="s">
        <v>51</v>
      </c>
      <c r="AG869" s="154"/>
      <c r="AH869" s="154" t="s">
        <v>52</v>
      </c>
      <c r="AI869" s="154">
        <v>0</v>
      </c>
      <c r="AJ869" s="154"/>
      <c r="AK869" s="154"/>
      <c r="AL869" s="154"/>
      <c r="AM869" s="154"/>
      <c r="AN869" s="154" t="s">
        <v>47</v>
      </c>
      <c r="AO869" s="154"/>
      <c r="AP869" s="154" t="s">
        <v>53</v>
      </c>
      <c r="AQ869" s="26">
        <v>0</v>
      </c>
    </row>
    <row r="870" s="26" customFormat="1" ht="12.75" spans="1:43">
      <c r="A870" s="154">
        <v>180672</v>
      </c>
      <c r="B870" s="154" t="s">
        <v>1143</v>
      </c>
      <c r="C870" s="154"/>
      <c r="D870" s="154"/>
      <c r="E870" s="154"/>
      <c r="F870" s="154">
        <v>3</v>
      </c>
      <c r="G870" s="154">
        <v>0</v>
      </c>
      <c r="H870" s="154" t="s">
        <v>45</v>
      </c>
      <c r="I870" s="154">
        <v>16</v>
      </c>
      <c r="J870" s="154">
        <v>0</v>
      </c>
      <c r="K870" s="154" t="s">
        <v>46</v>
      </c>
      <c r="L870" s="154" t="s">
        <v>47</v>
      </c>
      <c r="M870" s="105">
        <v>2010135</v>
      </c>
      <c r="N870" s="154">
        <v>0</v>
      </c>
      <c r="O870" s="154" t="s">
        <v>48</v>
      </c>
      <c r="P870" s="154">
        <v>1901</v>
      </c>
      <c r="Q870" s="154"/>
      <c r="R870" s="154"/>
      <c r="S870" s="154">
        <v>0</v>
      </c>
      <c r="T870" s="154">
        <v>0</v>
      </c>
      <c r="U870" s="154"/>
      <c r="V870" s="154"/>
      <c r="W870" s="154" t="s">
        <v>47</v>
      </c>
      <c r="X870" s="154"/>
      <c r="Y870" s="154"/>
      <c r="Z870" s="154" t="s">
        <v>980</v>
      </c>
      <c r="AA870" s="154"/>
      <c r="AB870" s="154" t="s">
        <v>980</v>
      </c>
      <c r="AC870" s="154">
        <v>2195</v>
      </c>
      <c r="AD870" s="154" t="s">
        <v>51</v>
      </c>
      <c r="AE870" s="154" t="s">
        <v>51</v>
      </c>
      <c r="AF870" s="154" t="s">
        <v>51</v>
      </c>
      <c r="AG870" s="154"/>
      <c r="AH870" s="154" t="s">
        <v>52</v>
      </c>
      <c r="AI870" s="154">
        <v>0</v>
      </c>
      <c r="AJ870" s="154"/>
      <c r="AK870" s="154"/>
      <c r="AL870" s="154"/>
      <c r="AM870" s="154"/>
      <c r="AN870" s="154" t="s">
        <v>47</v>
      </c>
      <c r="AO870" s="154"/>
      <c r="AP870" s="154" t="s">
        <v>53</v>
      </c>
      <c r="AQ870" s="26">
        <v>0</v>
      </c>
    </row>
    <row r="871" s="26" customFormat="1" ht="12.75" spans="1:43">
      <c r="A871" s="154">
        <v>180673</v>
      </c>
      <c r="B871" s="154" t="s">
        <v>1144</v>
      </c>
      <c r="C871" s="154"/>
      <c r="D871" s="154"/>
      <c r="E871" s="154"/>
      <c r="F871" s="154">
        <v>0</v>
      </c>
      <c r="G871" s="154">
        <v>0</v>
      </c>
      <c r="H871" s="154" t="s">
        <v>45</v>
      </c>
      <c r="I871" s="154">
        <v>16</v>
      </c>
      <c r="J871" s="154">
        <v>0</v>
      </c>
      <c r="K871" s="154" t="s">
        <v>46</v>
      </c>
      <c r="L871" s="154" t="s">
        <v>47</v>
      </c>
      <c r="M871" s="105">
        <v>2010136</v>
      </c>
      <c r="N871" s="154">
        <v>0</v>
      </c>
      <c r="O871" s="154" t="s">
        <v>48</v>
      </c>
      <c r="P871" s="154">
        <v>1901</v>
      </c>
      <c r="Q871" s="154"/>
      <c r="R871" s="154"/>
      <c r="S871" s="154">
        <v>0</v>
      </c>
      <c r="T871" s="154">
        <v>0</v>
      </c>
      <c r="U871" s="154"/>
      <c r="V871" s="154"/>
      <c r="W871" s="154" t="s">
        <v>47</v>
      </c>
      <c r="X871" s="154"/>
      <c r="Y871" s="154"/>
      <c r="Z871" s="154" t="s">
        <v>982</v>
      </c>
      <c r="AA871" s="154"/>
      <c r="AB871" s="154" t="s">
        <v>982</v>
      </c>
      <c r="AC871" s="154">
        <v>2195</v>
      </c>
      <c r="AD871" s="154" t="s">
        <v>51</v>
      </c>
      <c r="AE871" s="154" t="s">
        <v>51</v>
      </c>
      <c r="AF871" s="154" t="s">
        <v>51</v>
      </c>
      <c r="AG871" s="154"/>
      <c r="AH871" s="154" t="s">
        <v>52</v>
      </c>
      <c r="AI871" s="154">
        <v>0</v>
      </c>
      <c r="AJ871" s="154"/>
      <c r="AK871" s="154"/>
      <c r="AL871" s="154"/>
      <c r="AM871" s="154"/>
      <c r="AN871" s="154" t="s">
        <v>47</v>
      </c>
      <c r="AO871" s="154"/>
      <c r="AP871" s="154" t="s">
        <v>53</v>
      </c>
      <c r="AQ871" s="26">
        <v>0</v>
      </c>
    </row>
    <row r="872" s="26" customFormat="1" ht="12.75" spans="1:43">
      <c r="A872" s="154">
        <v>180674</v>
      </c>
      <c r="B872" s="154" t="s">
        <v>1145</v>
      </c>
      <c r="C872" s="154"/>
      <c r="D872" s="154"/>
      <c r="E872" s="154"/>
      <c r="F872" s="154">
        <v>2</v>
      </c>
      <c r="G872" s="154">
        <v>0</v>
      </c>
      <c r="H872" s="154">
        <v>1.35</v>
      </c>
      <c r="I872" s="154">
        <v>16</v>
      </c>
      <c r="J872" s="154">
        <v>0</v>
      </c>
      <c r="K872" s="154" t="s">
        <v>46</v>
      </c>
      <c r="L872" s="154" t="s">
        <v>47</v>
      </c>
      <c r="M872" s="105">
        <v>2010138</v>
      </c>
      <c r="N872" s="154">
        <v>0</v>
      </c>
      <c r="O872" s="154" t="s">
        <v>48</v>
      </c>
      <c r="P872" s="154">
        <v>1901</v>
      </c>
      <c r="Q872" s="154"/>
      <c r="R872" s="154"/>
      <c r="S872" s="154">
        <v>0</v>
      </c>
      <c r="T872" s="154">
        <v>0</v>
      </c>
      <c r="U872" s="154"/>
      <c r="V872" s="154"/>
      <c r="W872" s="154" t="s">
        <v>47</v>
      </c>
      <c r="X872" s="154"/>
      <c r="Y872" s="154"/>
      <c r="Z872" s="154" t="s">
        <v>984</v>
      </c>
      <c r="AA872" s="154"/>
      <c r="AB872" s="154" t="s">
        <v>984</v>
      </c>
      <c r="AC872" s="154">
        <v>2195</v>
      </c>
      <c r="AD872" s="154" t="s">
        <v>51</v>
      </c>
      <c r="AE872" s="154" t="s">
        <v>51</v>
      </c>
      <c r="AF872" s="154" t="s">
        <v>51</v>
      </c>
      <c r="AG872" s="154"/>
      <c r="AH872" s="154" t="s">
        <v>52</v>
      </c>
      <c r="AI872" s="154">
        <v>0</v>
      </c>
      <c r="AJ872" s="154"/>
      <c r="AK872" s="154"/>
      <c r="AL872" s="154"/>
      <c r="AM872" s="154"/>
      <c r="AN872" s="154" t="s">
        <v>47</v>
      </c>
      <c r="AO872" s="154"/>
      <c r="AP872" s="154" t="s">
        <v>53</v>
      </c>
      <c r="AQ872" s="26">
        <v>0</v>
      </c>
    </row>
    <row r="873" s="26" customFormat="1" ht="12.75" spans="1:43">
      <c r="A873" s="154">
        <v>180675</v>
      </c>
      <c r="B873" s="154" t="s">
        <v>1146</v>
      </c>
      <c r="C873" s="154"/>
      <c r="D873" s="154"/>
      <c r="E873" s="154"/>
      <c r="F873" s="154">
        <v>2</v>
      </c>
      <c r="G873" s="154">
        <v>0</v>
      </c>
      <c r="H873" s="154">
        <v>1.35</v>
      </c>
      <c r="I873" s="154">
        <v>16</v>
      </c>
      <c r="J873" s="154">
        <v>0</v>
      </c>
      <c r="K873" s="154" t="s">
        <v>46</v>
      </c>
      <c r="L873" s="154" t="s">
        <v>47</v>
      </c>
      <c r="M873" s="105">
        <v>2010138</v>
      </c>
      <c r="N873" s="154">
        <v>0</v>
      </c>
      <c r="O873" s="154" t="s">
        <v>48</v>
      </c>
      <c r="P873" s="154">
        <v>1901</v>
      </c>
      <c r="Q873" s="154"/>
      <c r="R873" s="154"/>
      <c r="S873" s="154">
        <v>0</v>
      </c>
      <c r="T873" s="154">
        <v>0</v>
      </c>
      <c r="U873" s="154"/>
      <c r="V873" s="154"/>
      <c r="W873" s="154" t="s">
        <v>47</v>
      </c>
      <c r="X873" s="154"/>
      <c r="Y873" s="154"/>
      <c r="Z873" s="154" t="s">
        <v>986</v>
      </c>
      <c r="AA873" s="154"/>
      <c r="AB873" s="154" t="s">
        <v>986</v>
      </c>
      <c r="AC873" s="154">
        <v>2195</v>
      </c>
      <c r="AD873" s="154" t="s">
        <v>51</v>
      </c>
      <c r="AE873" s="154" t="s">
        <v>51</v>
      </c>
      <c r="AF873" s="154" t="s">
        <v>51</v>
      </c>
      <c r="AG873" s="154"/>
      <c r="AH873" s="154" t="s">
        <v>52</v>
      </c>
      <c r="AI873" s="154">
        <v>0</v>
      </c>
      <c r="AJ873" s="154"/>
      <c r="AK873" s="154"/>
      <c r="AL873" s="154"/>
      <c r="AM873" s="154"/>
      <c r="AN873" s="154" t="s">
        <v>47</v>
      </c>
      <c r="AO873" s="154"/>
      <c r="AP873" s="154" t="s">
        <v>53</v>
      </c>
      <c r="AQ873" s="26">
        <v>0</v>
      </c>
    </row>
    <row r="874" s="26" customFormat="1" ht="12.75" spans="1:43">
      <c r="A874" s="154">
        <v>180676</v>
      </c>
      <c r="B874" s="154" t="s">
        <v>1147</v>
      </c>
      <c r="C874" s="154"/>
      <c r="D874" s="154"/>
      <c r="E874" s="154"/>
      <c r="F874" s="154">
        <v>2</v>
      </c>
      <c r="G874" s="154">
        <v>0</v>
      </c>
      <c r="H874" s="154">
        <v>1.35</v>
      </c>
      <c r="I874" s="154">
        <v>16</v>
      </c>
      <c r="J874" s="154">
        <v>0</v>
      </c>
      <c r="K874" s="154" t="s">
        <v>46</v>
      </c>
      <c r="L874" s="154" t="s">
        <v>47</v>
      </c>
      <c r="M874" s="105">
        <v>2010140</v>
      </c>
      <c r="N874" s="154">
        <v>0</v>
      </c>
      <c r="O874" s="154" t="s">
        <v>48</v>
      </c>
      <c r="P874" s="154">
        <v>1901</v>
      </c>
      <c r="Q874" s="154"/>
      <c r="R874" s="154"/>
      <c r="S874" s="154">
        <v>0</v>
      </c>
      <c r="T874" s="154">
        <v>0</v>
      </c>
      <c r="U874" s="154"/>
      <c r="V874" s="154"/>
      <c r="W874" s="154" t="s">
        <v>47</v>
      </c>
      <c r="X874" s="154"/>
      <c r="Y874" s="154"/>
      <c r="Z874" s="154" t="s">
        <v>988</v>
      </c>
      <c r="AA874" s="154"/>
      <c r="AB874" s="154" t="s">
        <v>988</v>
      </c>
      <c r="AC874" s="154">
        <v>2195</v>
      </c>
      <c r="AD874" s="154" t="s">
        <v>51</v>
      </c>
      <c r="AE874" s="154" t="s">
        <v>51</v>
      </c>
      <c r="AF874" s="154" t="s">
        <v>51</v>
      </c>
      <c r="AG874" s="154"/>
      <c r="AH874" s="154" t="s">
        <v>52</v>
      </c>
      <c r="AI874" s="154">
        <v>0</v>
      </c>
      <c r="AJ874" s="154"/>
      <c r="AK874" s="154"/>
      <c r="AL874" s="154"/>
      <c r="AM874" s="154"/>
      <c r="AN874" s="154" t="s">
        <v>47</v>
      </c>
      <c r="AO874" s="154"/>
      <c r="AP874" s="154" t="s">
        <v>53</v>
      </c>
      <c r="AQ874" s="26">
        <v>0</v>
      </c>
    </row>
    <row r="875" s="26" customFormat="1" ht="12.75" spans="1:43">
      <c r="A875" s="154">
        <v>180677</v>
      </c>
      <c r="B875" s="154" t="s">
        <v>1145</v>
      </c>
      <c r="C875" s="154"/>
      <c r="D875" s="154"/>
      <c r="E875" s="154"/>
      <c r="F875" s="154">
        <v>3</v>
      </c>
      <c r="G875" s="154">
        <v>0</v>
      </c>
      <c r="H875" s="154">
        <v>1.35</v>
      </c>
      <c r="I875" s="154">
        <v>16</v>
      </c>
      <c r="J875" s="154">
        <v>0</v>
      </c>
      <c r="K875" s="154" t="s">
        <v>46</v>
      </c>
      <c r="L875" s="154" t="s">
        <v>47</v>
      </c>
      <c r="M875" s="105">
        <v>2010142</v>
      </c>
      <c r="N875" s="154">
        <v>0</v>
      </c>
      <c r="O875" s="154" t="s">
        <v>48</v>
      </c>
      <c r="P875" s="154">
        <v>1901</v>
      </c>
      <c r="Q875" s="154"/>
      <c r="R875" s="154"/>
      <c r="S875" s="154">
        <v>0</v>
      </c>
      <c r="T875" s="154">
        <v>0</v>
      </c>
      <c r="U875" s="154"/>
      <c r="V875" s="154"/>
      <c r="W875" s="154" t="s">
        <v>47</v>
      </c>
      <c r="X875" s="154"/>
      <c r="Y875" s="154"/>
      <c r="Z875" s="154" t="s">
        <v>984</v>
      </c>
      <c r="AA875" s="154"/>
      <c r="AB875" s="154" t="s">
        <v>984</v>
      </c>
      <c r="AC875" s="154">
        <v>2195</v>
      </c>
      <c r="AD875" s="154" t="s">
        <v>51</v>
      </c>
      <c r="AE875" s="154" t="s">
        <v>51</v>
      </c>
      <c r="AF875" s="154" t="s">
        <v>51</v>
      </c>
      <c r="AG875" s="154"/>
      <c r="AH875" s="154" t="s">
        <v>52</v>
      </c>
      <c r="AI875" s="154">
        <v>0</v>
      </c>
      <c r="AJ875" s="154"/>
      <c r="AK875" s="154"/>
      <c r="AL875" s="154"/>
      <c r="AM875" s="154"/>
      <c r="AN875" s="154" t="s">
        <v>47</v>
      </c>
      <c r="AO875" s="154"/>
      <c r="AP875" s="154" t="s">
        <v>53</v>
      </c>
      <c r="AQ875" s="26">
        <v>0</v>
      </c>
    </row>
    <row r="876" s="26" customFormat="1" ht="12.75" spans="1:43">
      <c r="A876" s="154">
        <v>180678</v>
      </c>
      <c r="B876" s="154" t="s">
        <v>1146</v>
      </c>
      <c r="C876" s="154"/>
      <c r="D876" s="154"/>
      <c r="E876" s="154"/>
      <c r="F876" s="154">
        <v>3</v>
      </c>
      <c r="G876" s="154">
        <v>0</v>
      </c>
      <c r="H876" s="154">
        <v>1.35</v>
      </c>
      <c r="I876" s="154">
        <v>16</v>
      </c>
      <c r="J876" s="154">
        <v>0</v>
      </c>
      <c r="K876" s="154" t="s">
        <v>46</v>
      </c>
      <c r="L876" s="154" t="s">
        <v>47</v>
      </c>
      <c r="M876" s="105">
        <v>2010146</v>
      </c>
      <c r="N876" s="154">
        <v>0</v>
      </c>
      <c r="O876" s="154" t="s">
        <v>48</v>
      </c>
      <c r="P876" s="154">
        <v>1901</v>
      </c>
      <c r="Q876" s="154"/>
      <c r="R876" s="154"/>
      <c r="S876" s="154">
        <v>0</v>
      </c>
      <c r="T876" s="154">
        <v>0</v>
      </c>
      <c r="U876" s="154"/>
      <c r="V876" s="154"/>
      <c r="W876" s="154" t="s">
        <v>47</v>
      </c>
      <c r="X876" s="154"/>
      <c r="Y876" s="154"/>
      <c r="Z876" s="154" t="s">
        <v>986</v>
      </c>
      <c r="AA876" s="154"/>
      <c r="AB876" s="154" t="s">
        <v>986</v>
      </c>
      <c r="AC876" s="154">
        <v>2195</v>
      </c>
      <c r="AD876" s="154" t="s">
        <v>51</v>
      </c>
      <c r="AE876" s="154" t="s">
        <v>51</v>
      </c>
      <c r="AF876" s="154" t="s">
        <v>51</v>
      </c>
      <c r="AG876" s="154"/>
      <c r="AH876" s="154" t="s">
        <v>52</v>
      </c>
      <c r="AI876" s="154">
        <v>0</v>
      </c>
      <c r="AJ876" s="154"/>
      <c r="AK876" s="154"/>
      <c r="AL876" s="154"/>
      <c r="AM876" s="154"/>
      <c r="AN876" s="154" t="s">
        <v>47</v>
      </c>
      <c r="AO876" s="154"/>
      <c r="AP876" s="154" t="s">
        <v>53</v>
      </c>
      <c r="AQ876" s="26">
        <v>0</v>
      </c>
    </row>
    <row r="877" s="26" customFormat="1" ht="12.75" spans="1:43">
      <c r="A877" s="154">
        <v>180679</v>
      </c>
      <c r="B877" s="154" t="s">
        <v>1147</v>
      </c>
      <c r="C877" s="154"/>
      <c r="D877" s="154"/>
      <c r="E877" s="154"/>
      <c r="F877" s="154">
        <v>3</v>
      </c>
      <c r="G877" s="154">
        <v>0</v>
      </c>
      <c r="H877" s="154">
        <v>1.35</v>
      </c>
      <c r="I877" s="154">
        <v>16</v>
      </c>
      <c r="J877" s="154">
        <v>0</v>
      </c>
      <c r="K877" s="154" t="s">
        <v>46</v>
      </c>
      <c r="L877" s="154" t="s">
        <v>47</v>
      </c>
      <c r="M877" s="105">
        <v>2010147</v>
      </c>
      <c r="N877" s="154">
        <v>0</v>
      </c>
      <c r="O877" s="154" t="s">
        <v>48</v>
      </c>
      <c r="P877" s="154">
        <v>1901</v>
      </c>
      <c r="Q877" s="154"/>
      <c r="R877" s="154"/>
      <c r="S877" s="154">
        <v>0</v>
      </c>
      <c r="T877" s="154">
        <v>0</v>
      </c>
      <c r="U877" s="154"/>
      <c r="V877" s="154"/>
      <c r="W877" s="154" t="s">
        <v>47</v>
      </c>
      <c r="X877" s="154"/>
      <c r="Y877" s="154"/>
      <c r="Z877" s="154" t="s">
        <v>988</v>
      </c>
      <c r="AA877" s="154"/>
      <c r="AB877" s="154" t="s">
        <v>988</v>
      </c>
      <c r="AC877" s="154">
        <v>2195</v>
      </c>
      <c r="AD877" s="154" t="s">
        <v>51</v>
      </c>
      <c r="AE877" s="154" t="s">
        <v>51</v>
      </c>
      <c r="AF877" s="154" t="s">
        <v>51</v>
      </c>
      <c r="AG877" s="154"/>
      <c r="AH877" s="154" t="s">
        <v>52</v>
      </c>
      <c r="AI877" s="154">
        <v>0</v>
      </c>
      <c r="AJ877" s="154"/>
      <c r="AK877" s="154"/>
      <c r="AL877" s="154"/>
      <c r="AM877" s="154"/>
      <c r="AN877" s="154" t="s">
        <v>47</v>
      </c>
      <c r="AO877" s="154"/>
      <c r="AP877" s="154" t="s">
        <v>53</v>
      </c>
      <c r="AQ877" s="26">
        <v>0</v>
      </c>
    </row>
    <row r="878" s="26" customFormat="1" ht="12.75" spans="1:43">
      <c r="A878" s="154">
        <v>180680</v>
      </c>
      <c r="B878" s="154" t="s">
        <v>1145</v>
      </c>
      <c r="C878" s="154"/>
      <c r="D878" s="154"/>
      <c r="E878" s="154"/>
      <c r="F878" s="154">
        <v>0</v>
      </c>
      <c r="G878" s="154">
        <v>0</v>
      </c>
      <c r="H878" s="154">
        <v>1.35</v>
      </c>
      <c r="I878" s="154">
        <v>16</v>
      </c>
      <c r="J878" s="154">
        <v>0</v>
      </c>
      <c r="K878" s="154" t="s">
        <v>46</v>
      </c>
      <c r="L878" s="154" t="s">
        <v>47</v>
      </c>
      <c r="M878" s="105">
        <v>2010148</v>
      </c>
      <c r="N878" s="154">
        <v>0</v>
      </c>
      <c r="O878" s="154" t="s">
        <v>48</v>
      </c>
      <c r="P878" s="154">
        <v>1901</v>
      </c>
      <c r="Q878" s="154"/>
      <c r="R878" s="154"/>
      <c r="S878" s="154">
        <v>0</v>
      </c>
      <c r="T878" s="154">
        <v>0</v>
      </c>
      <c r="U878" s="154"/>
      <c r="V878" s="154"/>
      <c r="W878" s="154" t="s">
        <v>47</v>
      </c>
      <c r="X878" s="154"/>
      <c r="Y878" s="154"/>
      <c r="Z878" s="154" t="s">
        <v>984</v>
      </c>
      <c r="AA878" s="154"/>
      <c r="AB878" s="154" t="s">
        <v>984</v>
      </c>
      <c r="AC878" s="154">
        <v>2195</v>
      </c>
      <c r="AD878" s="154" t="s">
        <v>51</v>
      </c>
      <c r="AE878" s="154" t="s">
        <v>51</v>
      </c>
      <c r="AF878" s="154" t="s">
        <v>51</v>
      </c>
      <c r="AG878" s="154"/>
      <c r="AH878" s="154" t="s">
        <v>52</v>
      </c>
      <c r="AI878" s="154">
        <v>0</v>
      </c>
      <c r="AJ878" s="154"/>
      <c r="AK878" s="154"/>
      <c r="AL878" s="154"/>
      <c r="AM878" s="154"/>
      <c r="AN878" s="154" t="s">
        <v>47</v>
      </c>
      <c r="AO878" s="154"/>
      <c r="AP878" s="154" t="s">
        <v>53</v>
      </c>
      <c r="AQ878" s="26">
        <v>0</v>
      </c>
    </row>
    <row r="879" s="26" customFormat="1" ht="12.75" spans="1:43">
      <c r="A879" s="154">
        <v>180681</v>
      </c>
      <c r="B879" s="154" t="s">
        <v>1146</v>
      </c>
      <c r="C879" s="154"/>
      <c r="D879" s="154"/>
      <c r="E879" s="154"/>
      <c r="F879" s="154">
        <v>0</v>
      </c>
      <c r="G879" s="154">
        <v>0</v>
      </c>
      <c r="H879" s="154">
        <v>1.35</v>
      </c>
      <c r="I879" s="154">
        <v>16</v>
      </c>
      <c r="J879" s="154">
        <v>0</v>
      </c>
      <c r="K879" s="154" t="s">
        <v>46</v>
      </c>
      <c r="L879" s="154" t="s">
        <v>47</v>
      </c>
      <c r="M879" s="105">
        <v>2010149</v>
      </c>
      <c r="N879" s="154">
        <v>0</v>
      </c>
      <c r="O879" s="154" t="s">
        <v>48</v>
      </c>
      <c r="P879" s="154">
        <v>1901</v>
      </c>
      <c r="Q879" s="154"/>
      <c r="R879" s="154"/>
      <c r="S879" s="154">
        <v>0</v>
      </c>
      <c r="T879" s="154">
        <v>0</v>
      </c>
      <c r="U879" s="154"/>
      <c r="V879" s="154"/>
      <c r="W879" s="154" t="s">
        <v>47</v>
      </c>
      <c r="X879" s="154"/>
      <c r="Y879" s="154"/>
      <c r="Z879" s="154" t="s">
        <v>986</v>
      </c>
      <c r="AA879" s="154"/>
      <c r="AB879" s="154" t="s">
        <v>986</v>
      </c>
      <c r="AC879" s="154">
        <v>2195</v>
      </c>
      <c r="AD879" s="154" t="s">
        <v>51</v>
      </c>
      <c r="AE879" s="154" t="s">
        <v>51</v>
      </c>
      <c r="AF879" s="154" t="s">
        <v>51</v>
      </c>
      <c r="AG879" s="154"/>
      <c r="AH879" s="154" t="s">
        <v>52</v>
      </c>
      <c r="AI879" s="154">
        <v>0</v>
      </c>
      <c r="AJ879" s="154"/>
      <c r="AK879" s="154"/>
      <c r="AL879" s="154"/>
      <c r="AM879" s="154"/>
      <c r="AN879" s="154" t="s">
        <v>47</v>
      </c>
      <c r="AO879" s="154"/>
      <c r="AP879" s="154" t="s">
        <v>53</v>
      </c>
      <c r="AQ879" s="26">
        <v>0</v>
      </c>
    </row>
    <row r="880" s="26" customFormat="1" ht="12.75" spans="1:43">
      <c r="A880" s="154">
        <v>180682</v>
      </c>
      <c r="B880" s="154" t="s">
        <v>1147</v>
      </c>
      <c r="C880" s="154"/>
      <c r="D880" s="154"/>
      <c r="E880" s="154"/>
      <c r="F880" s="154">
        <v>0</v>
      </c>
      <c r="G880" s="154">
        <v>0</v>
      </c>
      <c r="H880" s="154">
        <v>1.35</v>
      </c>
      <c r="I880" s="154">
        <v>16</v>
      </c>
      <c r="J880" s="154">
        <v>0</v>
      </c>
      <c r="K880" s="154" t="s">
        <v>46</v>
      </c>
      <c r="L880" s="154" t="s">
        <v>47</v>
      </c>
      <c r="M880" s="105">
        <v>2010150</v>
      </c>
      <c r="N880" s="154">
        <v>0</v>
      </c>
      <c r="O880" s="154" t="s">
        <v>48</v>
      </c>
      <c r="P880" s="154">
        <v>1901</v>
      </c>
      <c r="Q880" s="154"/>
      <c r="R880" s="154"/>
      <c r="S880" s="154">
        <v>0</v>
      </c>
      <c r="T880" s="154">
        <v>0</v>
      </c>
      <c r="U880" s="154"/>
      <c r="V880" s="154"/>
      <c r="W880" s="154" t="s">
        <v>47</v>
      </c>
      <c r="X880" s="154"/>
      <c r="Y880" s="154"/>
      <c r="Z880" s="154" t="s">
        <v>988</v>
      </c>
      <c r="AA880" s="154"/>
      <c r="AB880" s="154" t="s">
        <v>988</v>
      </c>
      <c r="AC880" s="154">
        <v>2195</v>
      </c>
      <c r="AD880" s="154" t="s">
        <v>51</v>
      </c>
      <c r="AE880" s="154" t="s">
        <v>51</v>
      </c>
      <c r="AF880" s="154" t="s">
        <v>51</v>
      </c>
      <c r="AG880" s="154"/>
      <c r="AH880" s="154" t="s">
        <v>52</v>
      </c>
      <c r="AI880" s="154">
        <v>0</v>
      </c>
      <c r="AJ880" s="154"/>
      <c r="AK880" s="154"/>
      <c r="AL880" s="154"/>
      <c r="AM880" s="154"/>
      <c r="AN880" s="154" t="s">
        <v>47</v>
      </c>
      <c r="AO880" s="154"/>
      <c r="AP880" s="154" t="s">
        <v>53</v>
      </c>
      <c r="AQ880" s="26">
        <v>0</v>
      </c>
    </row>
    <row r="881" s="26" customFormat="1" ht="12.75" spans="1:43">
      <c r="A881" s="154">
        <v>180683</v>
      </c>
      <c r="B881" s="154" t="s">
        <v>1148</v>
      </c>
      <c r="C881" s="154"/>
      <c r="D881" s="154"/>
      <c r="E881" s="154"/>
      <c r="F881" s="154">
        <v>0</v>
      </c>
      <c r="G881" s="154">
        <v>0</v>
      </c>
      <c r="H881" s="154">
        <v>1.35</v>
      </c>
      <c r="I881" s="154">
        <v>16</v>
      </c>
      <c r="J881" s="154">
        <v>0</v>
      </c>
      <c r="K881" s="154" t="s">
        <v>46</v>
      </c>
      <c r="L881" s="154" t="s">
        <v>47</v>
      </c>
      <c r="M881" s="105">
        <v>2010151</v>
      </c>
      <c r="N881" s="154">
        <v>0</v>
      </c>
      <c r="O881" s="154" t="s">
        <v>48</v>
      </c>
      <c r="P881" s="154">
        <v>1901</v>
      </c>
      <c r="Q881" s="154"/>
      <c r="R881" s="154"/>
      <c r="S881" s="154">
        <v>0</v>
      </c>
      <c r="T881" s="154">
        <v>0</v>
      </c>
      <c r="U881" s="154"/>
      <c r="V881" s="154"/>
      <c r="W881" s="154" t="s">
        <v>47</v>
      </c>
      <c r="X881" s="154"/>
      <c r="Y881" s="154"/>
      <c r="Z881" s="154" t="s">
        <v>997</v>
      </c>
      <c r="AA881" s="154"/>
      <c r="AB881" s="154" t="s">
        <v>997</v>
      </c>
      <c r="AC881" s="154">
        <v>2195</v>
      </c>
      <c r="AD881" s="154" t="s">
        <v>51</v>
      </c>
      <c r="AE881" s="154" t="s">
        <v>51</v>
      </c>
      <c r="AF881" s="154" t="s">
        <v>51</v>
      </c>
      <c r="AG881" s="154"/>
      <c r="AH881" s="154" t="s">
        <v>52</v>
      </c>
      <c r="AI881" s="154">
        <v>0</v>
      </c>
      <c r="AJ881" s="154"/>
      <c r="AK881" s="154"/>
      <c r="AL881" s="154"/>
      <c r="AM881" s="154"/>
      <c r="AN881" s="154" t="s">
        <v>47</v>
      </c>
      <c r="AO881" s="154"/>
      <c r="AP881" s="154" t="s">
        <v>53</v>
      </c>
      <c r="AQ881" s="26">
        <v>0</v>
      </c>
    </row>
    <row r="882" s="27" customFormat="1" spans="1:43">
      <c r="A882" s="155">
        <v>180684</v>
      </c>
      <c r="B882" s="156" t="s">
        <v>1149</v>
      </c>
      <c r="C882" s="155"/>
      <c r="D882" s="155"/>
      <c r="E882" s="155"/>
      <c r="F882" s="155">
        <v>0</v>
      </c>
      <c r="G882" s="155">
        <v>0</v>
      </c>
      <c r="H882" s="157">
        <v>1.35</v>
      </c>
      <c r="I882" s="155">
        <v>7</v>
      </c>
      <c r="J882" s="155">
        <v>0</v>
      </c>
      <c r="K882" s="158" t="s">
        <v>46</v>
      </c>
      <c r="L882" s="117" t="s">
        <v>47</v>
      </c>
      <c r="M882" s="105">
        <v>2010152</v>
      </c>
      <c r="N882" s="155">
        <v>0</v>
      </c>
      <c r="O882" s="117" t="s">
        <v>48</v>
      </c>
      <c r="P882" s="155">
        <v>1801</v>
      </c>
      <c r="Q882" s="155"/>
      <c r="R882" s="155"/>
      <c r="S882" s="155">
        <v>0</v>
      </c>
      <c r="T882" s="155">
        <v>0</v>
      </c>
      <c r="U882" s="155"/>
      <c r="V882" s="155"/>
      <c r="W882" s="117" t="s">
        <v>47</v>
      </c>
      <c r="X882" s="117"/>
      <c r="Y882" s="117"/>
      <c r="Z882" s="155"/>
      <c r="AA882" s="155"/>
      <c r="AB882" s="159" t="s">
        <v>1149</v>
      </c>
      <c r="AC882" s="158">
        <v>2141</v>
      </c>
      <c r="AD882" s="158" t="s">
        <v>51</v>
      </c>
      <c r="AE882" s="158" t="s">
        <v>51</v>
      </c>
      <c r="AF882" s="158" t="s">
        <v>51</v>
      </c>
      <c r="AG882" s="158"/>
      <c r="AH882" s="117" t="s">
        <v>52</v>
      </c>
      <c r="AI882" s="155">
        <v>1</v>
      </c>
      <c r="AJ882" s="155"/>
      <c r="AK882" s="155"/>
      <c r="AL882" s="155"/>
      <c r="AM882" s="155"/>
      <c r="AN882" s="117" t="s">
        <v>47</v>
      </c>
      <c r="AO882" s="158"/>
      <c r="AP882" s="155" t="s">
        <v>53</v>
      </c>
      <c r="AQ882" s="2">
        <v>0</v>
      </c>
    </row>
    <row r="883" s="27" customFormat="1" spans="1:43">
      <c r="A883" s="155">
        <v>180685</v>
      </c>
      <c r="B883" s="156" t="s">
        <v>1149</v>
      </c>
      <c r="C883" s="155"/>
      <c r="D883" s="155"/>
      <c r="E883" s="155"/>
      <c r="F883" s="155">
        <v>0</v>
      </c>
      <c r="G883" s="155">
        <v>0</v>
      </c>
      <c r="H883" s="157">
        <v>1.35</v>
      </c>
      <c r="I883" s="155">
        <v>7</v>
      </c>
      <c r="J883" s="155">
        <v>0</v>
      </c>
      <c r="K883" s="158" t="s">
        <v>46</v>
      </c>
      <c r="L883" s="117" t="s">
        <v>47</v>
      </c>
      <c r="M883" s="105">
        <v>2010160</v>
      </c>
      <c r="N883" s="155">
        <v>0</v>
      </c>
      <c r="O883" s="117" t="s">
        <v>48</v>
      </c>
      <c r="P883" s="155">
        <v>1801</v>
      </c>
      <c r="Q883" s="155"/>
      <c r="R883" s="155"/>
      <c r="S883" s="155">
        <v>0</v>
      </c>
      <c r="T883" s="155">
        <v>0</v>
      </c>
      <c r="U883" s="155"/>
      <c r="V883" s="155"/>
      <c r="W883" s="117" t="s">
        <v>47</v>
      </c>
      <c r="X883" s="117"/>
      <c r="Y883" s="117"/>
      <c r="Z883" s="155"/>
      <c r="AA883" s="155"/>
      <c r="AB883" s="159" t="s">
        <v>1149</v>
      </c>
      <c r="AC883" s="158">
        <v>2141</v>
      </c>
      <c r="AD883" s="158" t="s">
        <v>51</v>
      </c>
      <c r="AE883" s="158" t="s">
        <v>51</v>
      </c>
      <c r="AF883" s="158" t="s">
        <v>51</v>
      </c>
      <c r="AG883" s="158"/>
      <c r="AH883" s="117" t="s">
        <v>52</v>
      </c>
      <c r="AI883" s="155">
        <v>1</v>
      </c>
      <c r="AJ883" s="155"/>
      <c r="AK883" s="155"/>
      <c r="AL883" s="155"/>
      <c r="AM883" s="155"/>
      <c r="AN883" s="117" t="s">
        <v>47</v>
      </c>
      <c r="AO883" s="158"/>
      <c r="AP883" s="155" t="s">
        <v>53</v>
      </c>
      <c r="AQ883" s="2">
        <v>0</v>
      </c>
    </row>
    <row r="884" s="27" customFormat="1" spans="1:43">
      <c r="A884" s="155">
        <v>180686</v>
      </c>
      <c r="B884" s="156" t="s">
        <v>1150</v>
      </c>
      <c r="C884" s="155"/>
      <c r="D884" s="155"/>
      <c r="E884" s="155"/>
      <c r="F884" s="155">
        <v>0</v>
      </c>
      <c r="G884" s="155">
        <v>0</v>
      </c>
      <c r="H884" s="157">
        <v>1.35</v>
      </c>
      <c r="I884" s="155">
        <v>7</v>
      </c>
      <c r="J884" s="155">
        <v>0</v>
      </c>
      <c r="K884" s="158" t="s">
        <v>46</v>
      </c>
      <c r="L884" s="117" t="s">
        <v>47</v>
      </c>
      <c r="M884" s="105">
        <v>2010166</v>
      </c>
      <c r="N884" s="155">
        <v>0</v>
      </c>
      <c r="O884" s="117" t="s">
        <v>48</v>
      </c>
      <c r="P884" s="155">
        <v>1801</v>
      </c>
      <c r="Q884" s="155"/>
      <c r="R884" s="155"/>
      <c r="S884" s="155">
        <v>0</v>
      </c>
      <c r="T884" s="155">
        <v>0</v>
      </c>
      <c r="U884" s="155"/>
      <c r="V884" s="155"/>
      <c r="W884" s="117" t="s">
        <v>47</v>
      </c>
      <c r="X884" s="117"/>
      <c r="Y884" s="117"/>
      <c r="Z884" s="155"/>
      <c r="AA884" s="155"/>
      <c r="AB884" s="159" t="s">
        <v>1150</v>
      </c>
      <c r="AC884" s="158">
        <v>2141</v>
      </c>
      <c r="AD884" s="158" t="s">
        <v>51</v>
      </c>
      <c r="AE884" s="158" t="s">
        <v>51</v>
      </c>
      <c r="AF884" s="158" t="s">
        <v>51</v>
      </c>
      <c r="AG884" s="158"/>
      <c r="AH884" s="117" t="s">
        <v>52</v>
      </c>
      <c r="AI884" s="155">
        <v>1</v>
      </c>
      <c r="AJ884" s="155"/>
      <c r="AK884" s="155"/>
      <c r="AL884" s="155"/>
      <c r="AM884" s="155"/>
      <c r="AN884" s="117" t="s">
        <v>47</v>
      </c>
      <c r="AO884" s="158"/>
      <c r="AP884" s="155" t="s">
        <v>53</v>
      </c>
      <c r="AQ884" s="2">
        <v>0</v>
      </c>
    </row>
    <row r="885" s="27" customFormat="1" spans="1:43">
      <c r="A885" s="155">
        <v>180687</v>
      </c>
      <c r="B885" s="156" t="s">
        <v>1150</v>
      </c>
      <c r="C885" s="155"/>
      <c r="D885" s="155"/>
      <c r="E885" s="155"/>
      <c r="F885" s="155">
        <v>0</v>
      </c>
      <c r="G885" s="155">
        <v>0</v>
      </c>
      <c r="H885" s="157">
        <v>1.35</v>
      </c>
      <c r="I885" s="155">
        <v>7</v>
      </c>
      <c r="J885" s="155">
        <v>0</v>
      </c>
      <c r="K885" s="158" t="s">
        <v>46</v>
      </c>
      <c r="L885" s="117" t="s">
        <v>47</v>
      </c>
      <c r="M885" s="105">
        <v>2010167</v>
      </c>
      <c r="N885" s="155">
        <v>0</v>
      </c>
      <c r="O885" s="117" t="s">
        <v>48</v>
      </c>
      <c r="P885" s="155">
        <v>1801</v>
      </c>
      <c r="Q885" s="155"/>
      <c r="R885" s="155"/>
      <c r="S885" s="155">
        <v>0</v>
      </c>
      <c r="T885" s="155">
        <v>0</v>
      </c>
      <c r="U885" s="155"/>
      <c r="V885" s="155"/>
      <c r="W885" s="117" t="s">
        <v>47</v>
      </c>
      <c r="X885" s="117"/>
      <c r="Y885" s="117"/>
      <c r="Z885" s="155"/>
      <c r="AA885" s="155"/>
      <c r="AB885" s="159" t="s">
        <v>1150</v>
      </c>
      <c r="AC885" s="158">
        <v>2141</v>
      </c>
      <c r="AD885" s="158" t="s">
        <v>51</v>
      </c>
      <c r="AE885" s="158" t="s">
        <v>51</v>
      </c>
      <c r="AF885" s="158" t="s">
        <v>51</v>
      </c>
      <c r="AG885" s="158"/>
      <c r="AH885" s="117" t="s">
        <v>52</v>
      </c>
      <c r="AI885" s="155">
        <v>1</v>
      </c>
      <c r="AJ885" s="155"/>
      <c r="AK885" s="155"/>
      <c r="AL885" s="155"/>
      <c r="AM885" s="155"/>
      <c r="AN885" s="117" t="s">
        <v>47</v>
      </c>
      <c r="AO885" s="158"/>
      <c r="AP885" s="155" t="s">
        <v>53</v>
      </c>
      <c r="AQ885" s="2">
        <v>0</v>
      </c>
    </row>
    <row r="886" s="27" customFormat="1" spans="1:43">
      <c r="A886" s="155">
        <v>180688</v>
      </c>
      <c r="B886" s="156" t="s">
        <v>1150</v>
      </c>
      <c r="C886" s="155"/>
      <c r="D886" s="155"/>
      <c r="E886" s="155"/>
      <c r="F886" s="155">
        <v>0</v>
      </c>
      <c r="G886" s="155">
        <v>0</v>
      </c>
      <c r="H886" s="157">
        <v>1.35</v>
      </c>
      <c r="I886" s="155">
        <v>7</v>
      </c>
      <c r="J886" s="155">
        <v>0</v>
      </c>
      <c r="K886" s="158" t="s">
        <v>46</v>
      </c>
      <c r="L886" s="117" t="s">
        <v>47</v>
      </c>
      <c r="M886" s="105">
        <v>2010168</v>
      </c>
      <c r="N886" s="155">
        <v>0</v>
      </c>
      <c r="O886" s="117" t="s">
        <v>48</v>
      </c>
      <c r="P886" s="155">
        <v>1801</v>
      </c>
      <c r="Q886" s="155"/>
      <c r="R886" s="155"/>
      <c r="S886" s="155">
        <v>0</v>
      </c>
      <c r="T886" s="155">
        <v>0</v>
      </c>
      <c r="U886" s="155"/>
      <c r="V886" s="155"/>
      <c r="W886" s="117" t="s">
        <v>47</v>
      </c>
      <c r="X886" s="117"/>
      <c r="Y886" s="117"/>
      <c r="Z886" s="155"/>
      <c r="AA886" s="155"/>
      <c r="AB886" s="159" t="s">
        <v>1150</v>
      </c>
      <c r="AC886" s="158">
        <v>2141</v>
      </c>
      <c r="AD886" s="158" t="s">
        <v>51</v>
      </c>
      <c r="AE886" s="158" t="s">
        <v>51</v>
      </c>
      <c r="AF886" s="158" t="s">
        <v>51</v>
      </c>
      <c r="AG886" s="158"/>
      <c r="AH886" s="117" t="s">
        <v>52</v>
      </c>
      <c r="AI886" s="155">
        <v>1</v>
      </c>
      <c r="AJ886" s="155"/>
      <c r="AK886" s="155"/>
      <c r="AL886" s="155"/>
      <c r="AM886" s="155"/>
      <c r="AN886" s="117" t="s">
        <v>47</v>
      </c>
      <c r="AO886" s="158"/>
      <c r="AP886" s="155" t="s">
        <v>53</v>
      </c>
      <c r="AQ886" s="2">
        <v>0</v>
      </c>
    </row>
    <row r="887" s="27" customFormat="1" spans="1:43">
      <c r="A887" s="155">
        <v>180689</v>
      </c>
      <c r="B887" s="156" t="s">
        <v>1150</v>
      </c>
      <c r="C887" s="155"/>
      <c r="D887" s="155"/>
      <c r="E887" s="155"/>
      <c r="F887" s="155">
        <v>0</v>
      </c>
      <c r="G887" s="155">
        <v>0</v>
      </c>
      <c r="H887" s="157">
        <v>1.35</v>
      </c>
      <c r="I887" s="155">
        <v>7</v>
      </c>
      <c r="J887" s="155">
        <v>0</v>
      </c>
      <c r="K887" s="158" t="s">
        <v>46</v>
      </c>
      <c r="L887" s="117" t="s">
        <v>47</v>
      </c>
      <c r="M887" s="105">
        <v>2010171</v>
      </c>
      <c r="N887" s="155">
        <v>0</v>
      </c>
      <c r="O887" s="117" t="s">
        <v>48</v>
      </c>
      <c r="P887" s="155">
        <v>1801</v>
      </c>
      <c r="Q887" s="155"/>
      <c r="R887" s="155"/>
      <c r="S887" s="155">
        <v>0</v>
      </c>
      <c r="T887" s="155">
        <v>0</v>
      </c>
      <c r="U887" s="155"/>
      <c r="V887" s="155"/>
      <c r="W887" s="117" t="s">
        <v>47</v>
      </c>
      <c r="X887" s="117"/>
      <c r="Y887" s="117"/>
      <c r="Z887" s="155"/>
      <c r="AA887" s="155"/>
      <c r="AB887" s="159" t="s">
        <v>1150</v>
      </c>
      <c r="AC887" s="158">
        <v>2141</v>
      </c>
      <c r="AD887" s="158" t="s">
        <v>51</v>
      </c>
      <c r="AE887" s="158" t="s">
        <v>51</v>
      </c>
      <c r="AF887" s="158" t="s">
        <v>51</v>
      </c>
      <c r="AG887" s="158"/>
      <c r="AH887" s="117" t="s">
        <v>52</v>
      </c>
      <c r="AI887" s="155">
        <v>1</v>
      </c>
      <c r="AJ887" s="155"/>
      <c r="AK887" s="155"/>
      <c r="AL887" s="155"/>
      <c r="AM887" s="155"/>
      <c r="AN887" s="117" t="s">
        <v>47</v>
      </c>
      <c r="AO887" s="158"/>
      <c r="AP887" s="155" t="s">
        <v>53</v>
      </c>
      <c r="AQ887" s="2">
        <v>0</v>
      </c>
    </row>
    <row r="888" s="27" customFormat="1" spans="1:43">
      <c r="A888" s="155">
        <v>180690</v>
      </c>
      <c r="B888" s="156" t="s">
        <v>1150</v>
      </c>
      <c r="C888" s="155"/>
      <c r="D888" s="155"/>
      <c r="E888" s="155"/>
      <c r="F888" s="155">
        <v>0</v>
      </c>
      <c r="G888" s="155">
        <v>0</v>
      </c>
      <c r="H888" s="157">
        <v>1.35</v>
      </c>
      <c r="I888" s="155">
        <v>7</v>
      </c>
      <c r="J888" s="155">
        <v>0</v>
      </c>
      <c r="K888" s="158" t="s">
        <v>46</v>
      </c>
      <c r="L888" s="117" t="s">
        <v>47</v>
      </c>
      <c r="M888" s="105">
        <v>2010172</v>
      </c>
      <c r="N888" s="155">
        <v>0</v>
      </c>
      <c r="O888" s="117" t="s">
        <v>48</v>
      </c>
      <c r="P888" s="155">
        <v>1801</v>
      </c>
      <c r="Q888" s="155"/>
      <c r="R888" s="155"/>
      <c r="S888" s="155">
        <v>0</v>
      </c>
      <c r="T888" s="155">
        <v>0</v>
      </c>
      <c r="U888" s="155"/>
      <c r="V888" s="155"/>
      <c r="W888" s="117" t="s">
        <v>47</v>
      </c>
      <c r="X888" s="117"/>
      <c r="Y888" s="117"/>
      <c r="Z888" s="155"/>
      <c r="AA888" s="155"/>
      <c r="AB888" s="159" t="s">
        <v>1150</v>
      </c>
      <c r="AC888" s="158">
        <v>2141</v>
      </c>
      <c r="AD888" s="158" t="s">
        <v>51</v>
      </c>
      <c r="AE888" s="158" t="s">
        <v>51</v>
      </c>
      <c r="AF888" s="158" t="s">
        <v>51</v>
      </c>
      <c r="AG888" s="158"/>
      <c r="AH888" s="117" t="s">
        <v>52</v>
      </c>
      <c r="AI888" s="155">
        <v>1</v>
      </c>
      <c r="AJ888" s="155"/>
      <c r="AK888" s="155"/>
      <c r="AL888" s="155"/>
      <c r="AM888" s="155"/>
      <c r="AN888" s="117" t="s">
        <v>47</v>
      </c>
      <c r="AO888" s="158"/>
      <c r="AP888" s="155" t="s">
        <v>53</v>
      </c>
      <c r="AQ888" s="2">
        <v>0</v>
      </c>
    </row>
    <row r="889" s="27" customFormat="1" spans="1:43">
      <c r="A889" s="155">
        <v>180691</v>
      </c>
      <c r="B889" s="156" t="s">
        <v>1151</v>
      </c>
      <c r="C889" s="155"/>
      <c r="D889" s="155"/>
      <c r="E889" s="155"/>
      <c r="F889" s="155">
        <v>0</v>
      </c>
      <c r="G889" s="155">
        <v>0</v>
      </c>
      <c r="H889" s="157">
        <v>1.35</v>
      </c>
      <c r="I889" s="155">
        <v>7</v>
      </c>
      <c r="J889" s="155">
        <v>0</v>
      </c>
      <c r="K889" s="158" t="s">
        <v>46</v>
      </c>
      <c r="L889" s="117" t="s">
        <v>47</v>
      </c>
      <c r="M889" s="105">
        <v>2010173</v>
      </c>
      <c r="N889" s="155">
        <v>0</v>
      </c>
      <c r="O889" s="117" t="s">
        <v>48</v>
      </c>
      <c r="P889" s="155">
        <v>1801</v>
      </c>
      <c r="Q889" s="155"/>
      <c r="R889" s="155"/>
      <c r="S889" s="155">
        <v>0</v>
      </c>
      <c r="T889" s="155">
        <v>0</v>
      </c>
      <c r="U889" s="155"/>
      <c r="V889" s="155"/>
      <c r="W889" s="117" t="s">
        <v>47</v>
      </c>
      <c r="X889" s="117"/>
      <c r="Y889" s="117"/>
      <c r="Z889" s="155"/>
      <c r="AA889" s="155"/>
      <c r="AB889" s="159" t="s">
        <v>1151</v>
      </c>
      <c r="AC889" s="155">
        <v>2199</v>
      </c>
      <c r="AD889" s="158" t="s">
        <v>51</v>
      </c>
      <c r="AE889" s="158" t="s">
        <v>51</v>
      </c>
      <c r="AF889" s="158" t="s">
        <v>51</v>
      </c>
      <c r="AG889" s="158"/>
      <c r="AH889" s="117" t="s">
        <v>52</v>
      </c>
      <c r="AI889" s="155">
        <v>1</v>
      </c>
      <c r="AJ889" s="155"/>
      <c r="AK889" s="155"/>
      <c r="AL889" s="155"/>
      <c r="AM889" s="155"/>
      <c r="AN889" s="117" t="s">
        <v>47</v>
      </c>
      <c r="AO889" s="158"/>
      <c r="AP889" s="155" t="s">
        <v>53</v>
      </c>
      <c r="AQ889" s="2">
        <v>0</v>
      </c>
    </row>
    <row r="890" s="27" customFormat="1" spans="1:43">
      <c r="A890" s="155">
        <v>180692</v>
      </c>
      <c r="B890" s="156" t="s">
        <v>1151</v>
      </c>
      <c r="C890" s="155"/>
      <c r="D890" s="155"/>
      <c r="E890" s="155"/>
      <c r="F890" s="155">
        <v>0</v>
      </c>
      <c r="G890" s="155">
        <v>0</v>
      </c>
      <c r="H890" s="157">
        <v>1.35</v>
      </c>
      <c r="I890" s="155">
        <v>7</v>
      </c>
      <c r="J890" s="155">
        <v>0</v>
      </c>
      <c r="K890" s="158" t="s">
        <v>46</v>
      </c>
      <c r="L890" s="117" t="s">
        <v>47</v>
      </c>
      <c r="M890" s="105">
        <v>2010174</v>
      </c>
      <c r="N890" s="155">
        <v>0</v>
      </c>
      <c r="O890" s="117" t="s">
        <v>48</v>
      </c>
      <c r="P890" s="155">
        <v>1801</v>
      </c>
      <c r="Q890" s="155"/>
      <c r="R890" s="155"/>
      <c r="S890" s="155">
        <v>0</v>
      </c>
      <c r="T890" s="155">
        <v>0</v>
      </c>
      <c r="U890" s="155"/>
      <c r="V890" s="155"/>
      <c r="W890" s="117" t="s">
        <v>47</v>
      </c>
      <c r="X890" s="117"/>
      <c r="Y890" s="117"/>
      <c r="Z890" s="155"/>
      <c r="AA890" s="155"/>
      <c r="AB890" s="159" t="s">
        <v>1151</v>
      </c>
      <c r="AC890" s="155">
        <v>2200</v>
      </c>
      <c r="AD890" s="158" t="s">
        <v>51</v>
      </c>
      <c r="AE890" s="158" t="s">
        <v>51</v>
      </c>
      <c r="AF890" s="158" t="s">
        <v>51</v>
      </c>
      <c r="AG890" s="158"/>
      <c r="AH890" s="117" t="s">
        <v>52</v>
      </c>
      <c r="AI890" s="155">
        <v>1</v>
      </c>
      <c r="AJ890" s="155"/>
      <c r="AK890" s="155"/>
      <c r="AL890" s="155"/>
      <c r="AM890" s="155"/>
      <c r="AN890" s="117" t="s">
        <v>47</v>
      </c>
      <c r="AO890" s="158"/>
      <c r="AP890" s="155" t="s">
        <v>53</v>
      </c>
      <c r="AQ890" s="2">
        <v>0</v>
      </c>
    </row>
    <row r="891" s="27" customFormat="1" spans="1:43">
      <c r="A891" s="155">
        <v>180693</v>
      </c>
      <c r="B891" s="156" t="s">
        <v>1151</v>
      </c>
      <c r="C891" s="155"/>
      <c r="D891" s="155"/>
      <c r="E891" s="155"/>
      <c r="F891" s="155">
        <v>0</v>
      </c>
      <c r="G891" s="155">
        <v>0</v>
      </c>
      <c r="H891" s="157">
        <v>1.35</v>
      </c>
      <c r="I891" s="155">
        <v>7</v>
      </c>
      <c r="J891" s="155">
        <v>0</v>
      </c>
      <c r="K891" s="158" t="s">
        <v>46</v>
      </c>
      <c r="L891" s="117" t="s">
        <v>47</v>
      </c>
      <c r="M891" s="105">
        <v>2010175</v>
      </c>
      <c r="N891" s="155">
        <v>0</v>
      </c>
      <c r="O891" s="117" t="s">
        <v>48</v>
      </c>
      <c r="P891" s="155">
        <v>1801</v>
      </c>
      <c r="Q891" s="155"/>
      <c r="R891" s="155"/>
      <c r="S891" s="155">
        <v>0</v>
      </c>
      <c r="T891" s="155">
        <v>0</v>
      </c>
      <c r="U891" s="155"/>
      <c r="V891" s="155"/>
      <c r="W891" s="117" t="s">
        <v>47</v>
      </c>
      <c r="X891" s="117"/>
      <c r="Y891" s="117"/>
      <c r="Z891" s="155"/>
      <c r="AA891" s="155"/>
      <c r="AB891" s="159" t="s">
        <v>1151</v>
      </c>
      <c r="AC891" s="155">
        <v>2201</v>
      </c>
      <c r="AD891" s="158" t="s">
        <v>51</v>
      </c>
      <c r="AE891" s="158" t="s">
        <v>51</v>
      </c>
      <c r="AF891" s="158" t="s">
        <v>51</v>
      </c>
      <c r="AG891" s="158"/>
      <c r="AH891" s="117" t="s">
        <v>52</v>
      </c>
      <c r="AI891" s="155">
        <v>1</v>
      </c>
      <c r="AJ891" s="155"/>
      <c r="AK891" s="155"/>
      <c r="AL891" s="155"/>
      <c r="AM891" s="155"/>
      <c r="AN891" s="117" t="s">
        <v>47</v>
      </c>
      <c r="AO891" s="158"/>
      <c r="AP891" s="155" t="s">
        <v>53</v>
      </c>
      <c r="AQ891" s="2">
        <v>0</v>
      </c>
    </row>
    <row r="892" s="27" customFormat="1" spans="1:43">
      <c r="A892" s="155">
        <v>180694</v>
      </c>
      <c r="B892" s="156" t="s">
        <v>1151</v>
      </c>
      <c r="C892" s="155"/>
      <c r="D892" s="155"/>
      <c r="E892" s="155"/>
      <c r="F892" s="155">
        <v>0</v>
      </c>
      <c r="G892" s="155">
        <v>0</v>
      </c>
      <c r="H892" s="157">
        <v>1.35</v>
      </c>
      <c r="I892" s="155">
        <v>7</v>
      </c>
      <c r="J892" s="155">
        <v>0</v>
      </c>
      <c r="K892" s="158" t="s">
        <v>46</v>
      </c>
      <c r="L892" s="117" t="s">
        <v>47</v>
      </c>
      <c r="M892" s="105">
        <v>2010176</v>
      </c>
      <c r="N892" s="155">
        <v>0</v>
      </c>
      <c r="O892" s="117" t="s">
        <v>48</v>
      </c>
      <c r="P892" s="155">
        <v>1801</v>
      </c>
      <c r="Q892" s="155"/>
      <c r="R892" s="155"/>
      <c r="S892" s="155">
        <v>0</v>
      </c>
      <c r="T892" s="155">
        <v>0</v>
      </c>
      <c r="U892" s="155"/>
      <c r="V892" s="155"/>
      <c r="W892" s="117" t="s">
        <v>47</v>
      </c>
      <c r="X892" s="117"/>
      <c r="Y892" s="117"/>
      <c r="Z892" s="155"/>
      <c r="AA892" s="155"/>
      <c r="AB892" s="159" t="s">
        <v>1151</v>
      </c>
      <c r="AC892" s="155">
        <v>2202</v>
      </c>
      <c r="AD892" s="158" t="s">
        <v>51</v>
      </c>
      <c r="AE892" s="158" t="s">
        <v>51</v>
      </c>
      <c r="AF892" s="158" t="s">
        <v>51</v>
      </c>
      <c r="AG892" s="158"/>
      <c r="AH892" s="117" t="s">
        <v>52</v>
      </c>
      <c r="AI892" s="155">
        <v>1</v>
      </c>
      <c r="AJ892" s="155"/>
      <c r="AK892" s="155"/>
      <c r="AL892" s="155"/>
      <c r="AM892" s="155"/>
      <c r="AN892" s="117" t="s">
        <v>47</v>
      </c>
      <c r="AO892" s="158"/>
      <c r="AP892" s="155" t="s">
        <v>53</v>
      </c>
      <c r="AQ892" s="2">
        <v>0</v>
      </c>
    </row>
    <row r="893" s="27" customFormat="1" spans="1:43">
      <c r="A893" s="155">
        <v>180695</v>
      </c>
      <c r="B893" s="156" t="s">
        <v>1151</v>
      </c>
      <c r="C893" s="155"/>
      <c r="D893" s="155"/>
      <c r="E893" s="155"/>
      <c r="F893" s="155">
        <v>0</v>
      </c>
      <c r="G893" s="155">
        <v>0</v>
      </c>
      <c r="H893" s="157">
        <v>1.35</v>
      </c>
      <c r="I893" s="155">
        <v>7</v>
      </c>
      <c r="J893" s="155">
        <v>0</v>
      </c>
      <c r="K893" s="158" t="s">
        <v>46</v>
      </c>
      <c r="L893" s="117" t="s">
        <v>47</v>
      </c>
      <c r="M893" s="71">
        <v>2010178</v>
      </c>
      <c r="N893" s="155">
        <v>0</v>
      </c>
      <c r="O893" s="117" t="s">
        <v>48</v>
      </c>
      <c r="P893" s="155">
        <v>1801</v>
      </c>
      <c r="Q893" s="155"/>
      <c r="R893" s="155"/>
      <c r="S893" s="155">
        <v>0</v>
      </c>
      <c r="T893" s="155">
        <v>0</v>
      </c>
      <c r="U893" s="155"/>
      <c r="V893" s="155"/>
      <c r="W893" s="117" t="s">
        <v>47</v>
      </c>
      <c r="X893" s="117"/>
      <c r="Y893" s="117"/>
      <c r="Z893" s="155"/>
      <c r="AA893" s="155"/>
      <c r="AB893" s="159" t="s">
        <v>1151</v>
      </c>
      <c r="AC893" s="155">
        <v>2203</v>
      </c>
      <c r="AD893" s="158" t="s">
        <v>51</v>
      </c>
      <c r="AE893" s="158" t="s">
        <v>51</v>
      </c>
      <c r="AF893" s="158" t="s">
        <v>51</v>
      </c>
      <c r="AG893" s="158"/>
      <c r="AH893" s="117" t="s">
        <v>52</v>
      </c>
      <c r="AI893" s="155">
        <v>1</v>
      </c>
      <c r="AJ893" s="155"/>
      <c r="AK893" s="155"/>
      <c r="AL893" s="155"/>
      <c r="AM893" s="155"/>
      <c r="AN893" s="117" t="s">
        <v>47</v>
      </c>
      <c r="AO893" s="158"/>
      <c r="AP893" s="155" t="s">
        <v>53</v>
      </c>
      <c r="AQ893" s="2">
        <v>0</v>
      </c>
    </row>
    <row r="894" s="27" customFormat="1" spans="1:43">
      <c r="A894" s="155">
        <v>180696</v>
      </c>
      <c r="B894" s="156" t="s">
        <v>1152</v>
      </c>
      <c r="C894" s="155"/>
      <c r="D894" s="155"/>
      <c r="E894" s="155"/>
      <c r="F894" s="155">
        <v>0</v>
      </c>
      <c r="G894" s="155">
        <v>0</v>
      </c>
      <c r="H894" s="157">
        <v>1.35</v>
      </c>
      <c r="I894" s="155">
        <v>7</v>
      </c>
      <c r="J894" s="155">
        <v>0</v>
      </c>
      <c r="K894" s="158" t="s">
        <v>46</v>
      </c>
      <c r="L894" s="117" t="s">
        <v>47</v>
      </c>
      <c r="M894" s="71">
        <v>2010179</v>
      </c>
      <c r="N894" s="155">
        <v>0</v>
      </c>
      <c r="O894" s="117" t="s">
        <v>48</v>
      </c>
      <c r="P894" s="155">
        <v>1801</v>
      </c>
      <c r="Q894" s="155"/>
      <c r="R894" s="155"/>
      <c r="S894" s="155">
        <v>0</v>
      </c>
      <c r="T894" s="155">
        <v>0</v>
      </c>
      <c r="U894" s="155"/>
      <c r="V894" s="155"/>
      <c r="W894" s="117" t="s">
        <v>47</v>
      </c>
      <c r="X894" s="117"/>
      <c r="Y894" s="117"/>
      <c r="Z894" s="155"/>
      <c r="AA894" s="155"/>
      <c r="AB894" s="159" t="s">
        <v>1152</v>
      </c>
      <c r="AC894" s="158">
        <v>2141</v>
      </c>
      <c r="AD894" s="158" t="s">
        <v>51</v>
      </c>
      <c r="AE894" s="158" t="s">
        <v>51</v>
      </c>
      <c r="AF894" s="158" t="s">
        <v>51</v>
      </c>
      <c r="AG894" s="158"/>
      <c r="AH894" s="117" t="s">
        <v>52</v>
      </c>
      <c r="AI894" s="155">
        <v>1</v>
      </c>
      <c r="AJ894" s="155"/>
      <c r="AK894" s="155"/>
      <c r="AL894" s="155"/>
      <c r="AM894" s="155"/>
      <c r="AN894" s="117" t="s">
        <v>47</v>
      </c>
      <c r="AO894" s="158"/>
      <c r="AP894" s="155" t="s">
        <v>53</v>
      </c>
      <c r="AQ894" s="2">
        <v>0</v>
      </c>
    </row>
    <row r="895" s="27" customFormat="1" spans="1:43">
      <c r="A895" s="155">
        <v>180697</v>
      </c>
      <c r="B895" s="156" t="s">
        <v>1152</v>
      </c>
      <c r="C895" s="155"/>
      <c r="D895" s="155"/>
      <c r="E895" s="155"/>
      <c r="F895" s="155">
        <v>0</v>
      </c>
      <c r="G895" s="155">
        <v>0</v>
      </c>
      <c r="H895" s="157">
        <v>1.35</v>
      </c>
      <c r="I895" s="155">
        <v>7</v>
      </c>
      <c r="J895" s="155">
        <v>0</v>
      </c>
      <c r="K895" s="158" t="s">
        <v>46</v>
      </c>
      <c r="L895" s="117" t="s">
        <v>47</v>
      </c>
      <c r="M895" s="71">
        <v>2010180</v>
      </c>
      <c r="N895" s="155">
        <v>0</v>
      </c>
      <c r="O895" s="117" t="s">
        <v>48</v>
      </c>
      <c r="P895" s="155">
        <v>1801</v>
      </c>
      <c r="Q895" s="155"/>
      <c r="R895" s="155"/>
      <c r="S895" s="155">
        <v>0</v>
      </c>
      <c r="T895" s="155">
        <v>0</v>
      </c>
      <c r="U895" s="155"/>
      <c r="V895" s="155"/>
      <c r="W895" s="117" t="s">
        <v>47</v>
      </c>
      <c r="X895" s="117"/>
      <c r="Y895" s="117"/>
      <c r="Z895" s="155"/>
      <c r="AA895" s="155"/>
      <c r="AB895" s="159" t="s">
        <v>1152</v>
      </c>
      <c r="AC895" s="158">
        <v>2141</v>
      </c>
      <c r="AD895" s="158" t="s">
        <v>51</v>
      </c>
      <c r="AE895" s="158" t="s">
        <v>51</v>
      </c>
      <c r="AF895" s="158" t="s">
        <v>51</v>
      </c>
      <c r="AG895" s="158"/>
      <c r="AH895" s="117" t="s">
        <v>52</v>
      </c>
      <c r="AI895" s="155">
        <v>1</v>
      </c>
      <c r="AJ895" s="155"/>
      <c r="AK895" s="155"/>
      <c r="AL895" s="155"/>
      <c r="AM895" s="155"/>
      <c r="AN895" s="117" t="s">
        <v>47</v>
      </c>
      <c r="AO895" s="158"/>
      <c r="AP895" s="155" t="s">
        <v>53</v>
      </c>
      <c r="AQ895" s="2">
        <v>0</v>
      </c>
    </row>
    <row r="896" s="27" customFormat="1" spans="1:43">
      <c r="A896" s="155">
        <v>180698</v>
      </c>
      <c r="B896" s="156" t="s">
        <v>1152</v>
      </c>
      <c r="C896" s="155"/>
      <c r="D896" s="155"/>
      <c r="E896" s="155"/>
      <c r="F896" s="155">
        <v>0</v>
      </c>
      <c r="G896" s="155">
        <v>0</v>
      </c>
      <c r="H896" s="157">
        <v>1.35</v>
      </c>
      <c r="I896" s="155">
        <v>7</v>
      </c>
      <c r="J896" s="155">
        <v>0</v>
      </c>
      <c r="K896" s="158" t="s">
        <v>46</v>
      </c>
      <c r="L896" s="117" t="s">
        <v>47</v>
      </c>
      <c r="M896" s="71">
        <v>2010178</v>
      </c>
      <c r="N896" s="155">
        <v>0</v>
      </c>
      <c r="O896" s="117" t="s">
        <v>48</v>
      </c>
      <c r="P896" s="155">
        <v>1801</v>
      </c>
      <c r="Q896" s="155"/>
      <c r="R896" s="155"/>
      <c r="S896" s="155">
        <v>0</v>
      </c>
      <c r="T896" s="155">
        <v>0</v>
      </c>
      <c r="U896" s="155"/>
      <c r="V896" s="155"/>
      <c r="W896" s="117" t="s">
        <v>47</v>
      </c>
      <c r="X896" s="117"/>
      <c r="Y896" s="117"/>
      <c r="Z896" s="155"/>
      <c r="AA896" s="155"/>
      <c r="AB896" s="159" t="s">
        <v>1152</v>
      </c>
      <c r="AC896" s="158">
        <v>2141</v>
      </c>
      <c r="AD896" s="158" t="s">
        <v>51</v>
      </c>
      <c r="AE896" s="158" t="s">
        <v>51</v>
      </c>
      <c r="AF896" s="158" t="s">
        <v>51</v>
      </c>
      <c r="AG896" s="158"/>
      <c r="AH896" s="117" t="s">
        <v>52</v>
      </c>
      <c r="AI896" s="155">
        <v>1</v>
      </c>
      <c r="AJ896" s="155"/>
      <c r="AK896" s="155"/>
      <c r="AL896" s="155"/>
      <c r="AM896" s="155"/>
      <c r="AN896" s="117" t="s">
        <v>47</v>
      </c>
      <c r="AO896" s="158"/>
      <c r="AP896" s="155" t="s">
        <v>53</v>
      </c>
      <c r="AQ896" s="2">
        <v>0</v>
      </c>
    </row>
    <row r="897" s="27" customFormat="1" spans="1:43">
      <c r="A897" s="155">
        <v>180699</v>
      </c>
      <c r="B897" s="156" t="s">
        <v>1152</v>
      </c>
      <c r="C897" s="155"/>
      <c r="D897" s="155"/>
      <c r="E897" s="155"/>
      <c r="F897" s="155">
        <v>0</v>
      </c>
      <c r="G897" s="155">
        <v>0</v>
      </c>
      <c r="H897" s="157">
        <v>1.35</v>
      </c>
      <c r="I897" s="155">
        <v>7</v>
      </c>
      <c r="J897" s="155">
        <v>0</v>
      </c>
      <c r="K897" s="158" t="s">
        <v>46</v>
      </c>
      <c r="L897" s="117" t="s">
        <v>47</v>
      </c>
      <c r="M897" s="71">
        <v>2010179</v>
      </c>
      <c r="N897" s="155">
        <v>0</v>
      </c>
      <c r="O897" s="117" t="s">
        <v>48</v>
      </c>
      <c r="P897" s="155">
        <v>1801</v>
      </c>
      <c r="Q897" s="155"/>
      <c r="R897" s="155"/>
      <c r="S897" s="155">
        <v>0</v>
      </c>
      <c r="T897" s="155">
        <v>0</v>
      </c>
      <c r="U897" s="155"/>
      <c r="V897" s="155"/>
      <c r="W897" s="117" t="s">
        <v>47</v>
      </c>
      <c r="X897" s="117"/>
      <c r="Y897" s="117"/>
      <c r="Z897" s="155"/>
      <c r="AA897" s="155"/>
      <c r="AB897" s="159" t="s">
        <v>1152</v>
      </c>
      <c r="AC897" s="158">
        <v>2141</v>
      </c>
      <c r="AD897" s="158" t="s">
        <v>51</v>
      </c>
      <c r="AE897" s="158" t="s">
        <v>51</v>
      </c>
      <c r="AF897" s="158" t="s">
        <v>51</v>
      </c>
      <c r="AG897" s="158"/>
      <c r="AH897" s="117" t="s">
        <v>52</v>
      </c>
      <c r="AI897" s="155">
        <v>1</v>
      </c>
      <c r="AJ897" s="155"/>
      <c r="AK897" s="155"/>
      <c r="AL897" s="155"/>
      <c r="AM897" s="155"/>
      <c r="AN897" s="117" t="s">
        <v>47</v>
      </c>
      <c r="AO897" s="158"/>
      <c r="AP897" s="155" t="s">
        <v>53</v>
      </c>
      <c r="AQ897" s="2">
        <v>0</v>
      </c>
    </row>
    <row r="898" s="27" customFormat="1" spans="1:43">
      <c r="A898" s="155">
        <v>180700</v>
      </c>
      <c r="B898" s="156" t="s">
        <v>1152</v>
      </c>
      <c r="C898" s="155"/>
      <c r="D898" s="155"/>
      <c r="E898" s="155"/>
      <c r="F898" s="155">
        <v>0</v>
      </c>
      <c r="G898" s="155">
        <v>0</v>
      </c>
      <c r="H898" s="157">
        <v>1.35</v>
      </c>
      <c r="I898" s="155">
        <v>7</v>
      </c>
      <c r="J898" s="155">
        <v>0</v>
      </c>
      <c r="K898" s="158" t="s">
        <v>46</v>
      </c>
      <c r="L898" s="117" t="s">
        <v>47</v>
      </c>
      <c r="M898" s="71">
        <v>2010180</v>
      </c>
      <c r="N898" s="155">
        <v>0</v>
      </c>
      <c r="O898" s="117" t="s">
        <v>48</v>
      </c>
      <c r="P898" s="155">
        <v>1801</v>
      </c>
      <c r="Q898" s="155"/>
      <c r="R898" s="155"/>
      <c r="S898" s="155">
        <v>0</v>
      </c>
      <c r="T898" s="155">
        <v>0</v>
      </c>
      <c r="U898" s="155"/>
      <c r="V898" s="155"/>
      <c r="W898" s="117" t="s">
        <v>47</v>
      </c>
      <c r="X898" s="117"/>
      <c r="Y898" s="117"/>
      <c r="Z898" s="155"/>
      <c r="AA898" s="155"/>
      <c r="AB898" s="159" t="s">
        <v>1152</v>
      </c>
      <c r="AC898" s="158">
        <v>2141</v>
      </c>
      <c r="AD898" s="158" t="s">
        <v>51</v>
      </c>
      <c r="AE898" s="158" t="s">
        <v>51</v>
      </c>
      <c r="AF898" s="158" t="s">
        <v>51</v>
      </c>
      <c r="AG898" s="158"/>
      <c r="AH898" s="117" t="s">
        <v>52</v>
      </c>
      <c r="AI898" s="155">
        <v>1</v>
      </c>
      <c r="AJ898" s="155"/>
      <c r="AK898" s="155"/>
      <c r="AL898" s="155"/>
      <c r="AM898" s="155"/>
      <c r="AN898" s="117" t="s">
        <v>47</v>
      </c>
      <c r="AO898" s="158"/>
      <c r="AP898" s="155" t="s">
        <v>53</v>
      </c>
      <c r="AQ898" s="2">
        <v>0</v>
      </c>
    </row>
    <row r="899" s="2" customFormat="1" ht="12.75" spans="1:43">
      <c r="A899" s="11">
        <v>180701</v>
      </c>
      <c r="B899" s="11" t="s">
        <v>1153</v>
      </c>
      <c r="C899" s="11"/>
      <c r="D899" s="11"/>
      <c r="E899" s="11"/>
      <c r="F899" s="11">
        <v>0</v>
      </c>
      <c r="G899" s="11">
        <v>0</v>
      </c>
      <c r="H899" s="11" t="s">
        <v>45</v>
      </c>
      <c r="I899" s="11">
        <v>7</v>
      </c>
      <c r="J899" s="11">
        <v>0</v>
      </c>
      <c r="K899" s="11" t="s">
        <v>46</v>
      </c>
      <c r="L899" s="47" t="s">
        <v>47</v>
      </c>
      <c r="M899" s="105">
        <v>2010150</v>
      </c>
      <c r="N899" s="11">
        <v>0</v>
      </c>
      <c r="O899" s="47" t="s">
        <v>48</v>
      </c>
      <c r="P899" s="11">
        <v>1801</v>
      </c>
      <c r="Q899" s="11"/>
      <c r="R899" s="11"/>
      <c r="S899" s="11">
        <v>0</v>
      </c>
      <c r="T899" s="11">
        <v>0</v>
      </c>
      <c r="U899" s="11"/>
      <c r="V899" s="11"/>
      <c r="W899" s="47" t="s">
        <v>47</v>
      </c>
      <c r="X899" s="47"/>
      <c r="Y899" s="47"/>
      <c r="Z899" s="11"/>
      <c r="AA899" s="11"/>
      <c r="AB899" s="11" t="s">
        <v>1154</v>
      </c>
      <c r="AC899" s="11">
        <v>2284</v>
      </c>
      <c r="AD899" s="11" t="s">
        <v>51</v>
      </c>
      <c r="AE899" s="11" t="s">
        <v>51</v>
      </c>
      <c r="AF899" s="11" t="s">
        <v>51</v>
      </c>
      <c r="AG899" s="11"/>
      <c r="AH899" s="47" t="s">
        <v>52</v>
      </c>
      <c r="AI899" s="11">
        <v>0</v>
      </c>
      <c r="AJ899" s="11"/>
      <c r="AK899" s="11"/>
      <c r="AL899" s="11"/>
      <c r="AM899" s="11"/>
      <c r="AN899" s="47" t="s">
        <v>47</v>
      </c>
      <c r="AO899" s="11"/>
      <c r="AP899" s="11" t="s">
        <v>53</v>
      </c>
      <c r="AQ899" s="2">
        <v>0</v>
      </c>
    </row>
    <row r="900" s="3" customFormat="1" ht="12.75" spans="1:43">
      <c r="A900" s="11">
        <v>180702</v>
      </c>
      <c r="B900" s="12" t="s">
        <v>1153</v>
      </c>
      <c r="C900" s="12"/>
      <c r="D900" s="12"/>
      <c r="E900" s="12"/>
      <c r="F900" s="12">
        <v>0</v>
      </c>
      <c r="G900" s="12">
        <v>0</v>
      </c>
      <c r="H900" s="12" t="s">
        <v>45</v>
      </c>
      <c r="I900" s="12">
        <v>7</v>
      </c>
      <c r="J900" s="12">
        <v>0</v>
      </c>
      <c r="K900" s="12" t="s">
        <v>46</v>
      </c>
      <c r="L900" s="47" t="s">
        <v>47</v>
      </c>
      <c r="M900" s="105">
        <v>2010151</v>
      </c>
      <c r="N900" s="12">
        <v>0</v>
      </c>
      <c r="O900" s="47" t="s">
        <v>48</v>
      </c>
      <c r="P900" s="12">
        <v>1801</v>
      </c>
      <c r="Q900" s="12"/>
      <c r="R900" s="12"/>
      <c r="S900" s="12">
        <v>0</v>
      </c>
      <c r="T900" s="12">
        <v>0</v>
      </c>
      <c r="U900" s="12"/>
      <c r="V900" s="12"/>
      <c r="W900" s="47" t="s">
        <v>47</v>
      </c>
      <c r="X900" s="47"/>
      <c r="Y900" s="47"/>
      <c r="Z900" s="12"/>
      <c r="AA900" s="12"/>
      <c r="AB900" s="12" t="s">
        <v>1155</v>
      </c>
      <c r="AC900" s="12">
        <v>2284</v>
      </c>
      <c r="AD900" s="12" t="s">
        <v>51</v>
      </c>
      <c r="AE900" s="12" t="s">
        <v>51</v>
      </c>
      <c r="AF900" s="12" t="s">
        <v>51</v>
      </c>
      <c r="AG900" s="12"/>
      <c r="AH900" s="47" t="s">
        <v>52</v>
      </c>
      <c r="AI900" s="12">
        <v>0</v>
      </c>
      <c r="AJ900" s="12"/>
      <c r="AK900" s="12"/>
      <c r="AL900" s="12"/>
      <c r="AM900" s="12"/>
      <c r="AN900" s="47" t="s">
        <v>47</v>
      </c>
      <c r="AO900" s="12"/>
      <c r="AP900" s="12" t="s">
        <v>53</v>
      </c>
      <c r="AQ900" s="2">
        <v>0</v>
      </c>
    </row>
    <row r="901" s="2" customFormat="1" ht="12.75" spans="1:43">
      <c r="A901" s="11">
        <v>180703</v>
      </c>
      <c r="B901" s="11" t="s">
        <v>1156</v>
      </c>
      <c r="C901" s="11"/>
      <c r="D901" s="11"/>
      <c r="E901" s="11"/>
      <c r="F901" s="11">
        <v>0</v>
      </c>
      <c r="G901" s="11">
        <v>0</v>
      </c>
      <c r="H901" s="11" t="s">
        <v>45</v>
      </c>
      <c r="I901" s="11">
        <v>7</v>
      </c>
      <c r="J901" s="11">
        <v>0</v>
      </c>
      <c r="K901" s="11" t="s">
        <v>46</v>
      </c>
      <c r="L901" s="47" t="s">
        <v>47</v>
      </c>
      <c r="M901" s="105">
        <v>2010152</v>
      </c>
      <c r="N901" s="11">
        <v>0</v>
      </c>
      <c r="O901" s="47" t="s">
        <v>48</v>
      </c>
      <c r="P901" s="11">
        <v>1801</v>
      </c>
      <c r="Q901" s="11"/>
      <c r="R901" s="11"/>
      <c r="S901" s="11">
        <v>0</v>
      </c>
      <c r="T901" s="11">
        <v>0</v>
      </c>
      <c r="U901" s="11"/>
      <c r="V901" s="11"/>
      <c r="W901" s="47" t="s">
        <v>47</v>
      </c>
      <c r="X901" s="47"/>
      <c r="Y901" s="47"/>
      <c r="Z901" s="11"/>
      <c r="AA901" s="11"/>
      <c r="AB901" s="11" t="s">
        <v>1157</v>
      </c>
      <c r="AC901" s="11">
        <v>2284</v>
      </c>
      <c r="AD901" s="11" t="s">
        <v>51</v>
      </c>
      <c r="AE901" s="11" t="s">
        <v>51</v>
      </c>
      <c r="AF901" s="11" t="s">
        <v>51</v>
      </c>
      <c r="AG901" s="11"/>
      <c r="AH901" s="47" t="s">
        <v>52</v>
      </c>
      <c r="AI901" s="11">
        <v>0</v>
      </c>
      <c r="AJ901" s="11"/>
      <c r="AK901" s="11"/>
      <c r="AL901" s="11"/>
      <c r="AM901" s="11"/>
      <c r="AN901" s="47" t="s">
        <v>47</v>
      </c>
      <c r="AO901" s="11"/>
      <c r="AP901" s="11" t="s">
        <v>53</v>
      </c>
      <c r="AQ901" s="2">
        <v>0</v>
      </c>
    </row>
    <row r="902" s="3" customFormat="1" ht="12.75" spans="1:43">
      <c r="A902" s="11">
        <v>180704</v>
      </c>
      <c r="B902" s="12" t="s">
        <v>1156</v>
      </c>
      <c r="C902" s="12"/>
      <c r="D902" s="12"/>
      <c r="E902" s="12"/>
      <c r="F902" s="12">
        <v>0</v>
      </c>
      <c r="G902" s="12">
        <v>0</v>
      </c>
      <c r="H902" s="12" t="s">
        <v>45</v>
      </c>
      <c r="I902" s="12">
        <v>7</v>
      </c>
      <c r="J902" s="12">
        <v>0</v>
      </c>
      <c r="K902" s="12" t="s">
        <v>46</v>
      </c>
      <c r="L902" s="47" t="s">
        <v>47</v>
      </c>
      <c r="M902" s="105">
        <v>2010160</v>
      </c>
      <c r="N902" s="12">
        <v>0</v>
      </c>
      <c r="O902" s="47" t="s">
        <v>48</v>
      </c>
      <c r="P902" s="12">
        <v>1801</v>
      </c>
      <c r="Q902" s="12"/>
      <c r="R902" s="12"/>
      <c r="S902" s="12">
        <v>0</v>
      </c>
      <c r="T902" s="12">
        <v>0</v>
      </c>
      <c r="U902" s="12"/>
      <c r="V902" s="12"/>
      <c r="W902" s="47" t="s">
        <v>47</v>
      </c>
      <c r="X902" s="47"/>
      <c r="Y902" s="47"/>
      <c r="Z902" s="12"/>
      <c r="AA902" s="12"/>
      <c r="AB902" s="12" t="s">
        <v>1158</v>
      </c>
      <c r="AC902" s="12">
        <v>2284</v>
      </c>
      <c r="AD902" s="12" t="s">
        <v>51</v>
      </c>
      <c r="AE902" s="12" t="s">
        <v>51</v>
      </c>
      <c r="AF902" s="12" t="s">
        <v>51</v>
      </c>
      <c r="AG902" s="12"/>
      <c r="AH902" s="47" t="s">
        <v>52</v>
      </c>
      <c r="AI902" s="12">
        <v>0</v>
      </c>
      <c r="AJ902" s="12"/>
      <c r="AK902" s="12"/>
      <c r="AL902" s="12"/>
      <c r="AM902" s="12"/>
      <c r="AN902" s="47" t="s">
        <v>47</v>
      </c>
      <c r="AO902" s="12"/>
      <c r="AP902" s="12" t="s">
        <v>53</v>
      </c>
      <c r="AQ902" s="2">
        <v>0</v>
      </c>
    </row>
    <row r="903" s="2" customFormat="1" ht="12.75" spans="1:43">
      <c r="A903" s="11">
        <v>180705</v>
      </c>
      <c r="B903" s="11" t="s">
        <v>1159</v>
      </c>
      <c r="C903" s="11"/>
      <c r="D903" s="11"/>
      <c r="E903" s="11"/>
      <c r="F903" s="11">
        <v>0</v>
      </c>
      <c r="G903" s="11">
        <v>0</v>
      </c>
      <c r="H903" s="11" t="s">
        <v>45</v>
      </c>
      <c r="I903" s="11">
        <v>7</v>
      </c>
      <c r="J903" s="11">
        <v>0</v>
      </c>
      <c r="K903" s="11" t="s">
        <v>46</v>
      </c>
      <c r="L903" s="47" t="s">
        <v>47</v>
      </c>
      <c r="M903" s="105">
        <v>2010166</v>
      </c>
      <c r="N903" s="11">
        <v>0</v>
      </c>
      <c r="O903" s="47" t="s">
        <v>48</v>
      </c>
      <c r="P903" s="11">
        <v>1801</v>
      </c>
      <c r="Q903" s="11"/>
      <c r="R903" s="11"/>
      <c r="S903" s="11">
        <v>0</v>
      </c>
      <c r="T903" s="11">
        <v>0</v>
      </c>
      <c r="U903" s="11"/>
      <c r="V903" s="11"/>
      <c r="W903" s="47" t="s">
        <v>47</v>
      </c>
      <c r="X903" s="47"/>
      <c r="Y903" s="47"/>
      <c r="Z903" s="11"/>
      <c r="AA903" s="11"/>
      <c r="AB903" s="11" t="s">
        <v>1160</v>
      </c>
      <c r="AC903" s="11">
        <v>2284</v>
      </c>
      <c r="AD903" s="11" t="s">
        <v>51</v>
      </c>
      <c r="AE903" s="11" t="s">
        <v>51</v>
      </c>
      <c r="AF903" s="11" t="s">
        <v>51</v>
      </c>
      <c r="AG903" s="11"/>
      <c r="AH903" s="47" t="s">
        <v>52</v>
      </c>
      <c r="AI903" s="11">
        <v>0</v>
      </c>
      <c r="AJ903" s="11"/>
      <c r="AK903" s="11"/>
      <c r="AL903" s="11"/>
      <c r="AM903" s="11"/>
      <c r="AN903" s="47" t="s">
        <v>47</v>
      </c>
      <c r="AO903" s="11"/>
      <c r="AP903" s="11" t="s">
        <v>53</v>
      </c>
      <c r="AQ903" s="2">
        <v>0</v>
      </c>
    </row>
    <row r="904" s="3" customFormat="1" ht="12.75" spans="1:43">
      <c r="A904" s="11">
        <v>180706</v>
      </c>
      <c r="B904" s="12" t="s">
        <v>1159</v>
      </c>
      <c r="C904" s="12"/>
      <c r="D904" s="12"/>
      <c r="E904" s="12"/>
      <c r="F904" s="12">
        <v>0</v>
      </c>
      <c r="G904" s="12">
        <v>0</v>
      </c>
      <c r="H904" s="12" t="s">
        <v>45</v>
      </c>
      <c r="I904" s="12">
        <v>7</v>
      </c>
      <c r="J904" s="12">
        <v>0</v>
      </c>
      <c r="K904" s="12" t="s">
        <v>46</v>
      </c>
      <c r="L904" s="47" t="s">
        <v>47</v>
      </c>
      <c r="M904" s="105">
        <v>2010167</v>
      </c>
      <c r="N904" s="12">
        <v>0</v>
      </c>
      <c r="O904" s="47" t="s">
        <v>48</v>
      </c>
      <c r="P904" s="12">
        <v>1801</v>
      </c>
      <c r="Q904" s="12"/>
      <c r="R904" s="12"/>
      <c r="S904" s="12">
        <v>0</v>
      </c>
      <c r="T904" s="12">
        <v>0</v>
      </c>
      <c r="U904" s="12"/>
      <c r="V904" s="12"/>
      <c r="W904" s="47" t="s">
        <v>47</v>
      </c>
      <c r="X904" s="47"/>
      <c r="Y904" s="47"/>
      <c r="Z904" s="12"/>
      <c r="AA904" s="12"/>
      <c r="AB904" s="12" t="s">
        <v>1161</v>
      </c>
      <c r="AC904" s="12">
        <v>2284</v>
      </c>
      <c r="AD904" s="12" t="s">
        <v>51</v>
      </c>
      <c r="AE904" s="12" t="s">
        <v>51</v>
      </c>
      <c r="AF904" s="12" t="s">
        <v>51</v>
      </c>
      <c r="AG904" s="12"/>
      <c r="AH904" s="47" t="s">
        <v>52</v>
      </c>
      <c r="AI904" s="12">
        <v>0</v>
      </c>
      <c r="AJ904" s="12"/>
      <c r="AK904" s="12"/>
      <c r="AL904" s="12"/>
      <c r="AM904" s="12"/>
      <c r="AN904" s="47" t="s">
        <v>47</v>
      </c>
      <c r="AO904" s="12"/>
      <c r="AP904" s="12" t="s">
        <v>53</v>
      </c>
      <c r="AQ904" s="2">
        <v>0</v>
      </c>
    </row>
    <row r="905" s="2" customFormat="1" ht="12.75" spans="1:43">
      <c r="A905" s="11">
        <v>180707</v>
      </c>
      <c r="B905" s="11" t="s">
        <v>1162</v>
      </c>
      <c r="C905" s="11"/>
      <c r="D905" s="11"/>
      <c r="E905" s="11"/>
      <c r="F905" s="11">
        <v>0</v>
      </c>
      <c r="G905" s="11">
        <v>0</v>
      </c>
      <c r="H905" s="11" t="s">
        <v>45</v>
      </c>
      <c r="I905" s="11">
        <v>7</v>
      </c>
      <c r="J905" s="11">
        <v>0</v>
      </c>
      <c r="K905" s="11" t="s">
        <v>46</v>
      </c>
      <c r="L905" s="47" t="s">
        <v>47</v>
      </c>
      <c r="M905" s="105">
        <v>2010168</v>
      </c>
      <c r="N905" s="11">
        <v>0</v>
      </c>
      <c r="O905" s="47" t="s">
        <v>48</v>
      </c>
      <c r="P905" s="11">
        <v>1801</v>
      </c>
      <c r="Q905" s="11"/>
      <c r="R905" s="11"/>
      <c r="S905" s="11">
        <v>0</v>
      </c>
      <c r="T905" s="11">
        <v>0</v>
      </c>
      <c r="U905" s="11"/>
      <c r="V905" s="11"/>
      <c r="W905" s="47" t="s">
        <v>47</v>
      </c>
      <c r="X905" s="47"/>
      <c r="Y905" s="47"/>
      <c r="Z905" s="11"/>
      <c r="AA905" s="11"/>
      <c r="AB905" s="11" t="s">
        <v>1163</v>
      </c>
      <c r="AC905" s="11">
        <v>2284</v>
      </c>
      <c r="AD905" s="11" t="s">
        <v>51</v>
      </c>
      <c r="AE905" s="11" t="s">
        <v>51</v>
      </c>
      <c r="AF905" s="11" t="s">
        <v>51</v>
      </c>
      <c r="AG905" s="11"/>
      <c r="AH905" s="47" t="s">
        <v>52</v>
      </c>
      <c r="AI905" s="11">
        <v>0</v>
      </c>
      <c r="AJ905" s="11"/>
      <c r="AK905" s="11"/>
      <c r="AL905" s="11"/>
      <c r="AM905" s="11"/>
      <c r="AN905" s="47" t="s">
        <v>47</v>
      </c>
      <c r="AO905" s="11"/>
      <c r="AP905" s="11" t="s">
        <v>53</v>
      </c>
      <c r="AQ905" s="2">
        <v>0</v>
      </c>
    </row>
    <row r="906" s="3" customFormat="1" ht="12.75" spans="1:43">
      <c r="A906" s="11">
        <v>180708</v>
      </c>
      <c r="B906" s="12" t="s">
        <v>1162</v>
      </c>
      <c r="C906" s="12"/>
      <c r="D906" s="12"/>
      <c r="E906" s="12"/>
      <c r="F906" s="12">
        <v>0</v>
      </c>
      <c r="G906" s="12">
        <v>0</v>
      </c>
      <c r="H906" s="12" t="s">
        <v>45</v>
      </c>
      <c r="I906" s="12">
        <v>7</v>
      </c>
      <c r="J906" s="12">
        <v>0</v>
      </c>
      <c r="K906" s="12" t="s">
        <v>46</v>
      </c>
      <c r="L906" s="47" t="s">
        <v>47</v>
      </c>
      <c r="M906" s="105">
        <v>2010171</v>
      </c>
      <c r="N906" s="12">
        <v>0</v>
      </c>
      <c r="O906" s="47" t="s">
        <v>48</v>
      </c>
      <c r="P906" s="12">
        <v>1801</v>
      </c>
      <c r="Q906" s="12"/>
      <c r="R906" s="12"/>
      <c r="S906" s="12">
        <v>0</v>
      </c>
      <c r="T906" s="12">
        <v>0</v>
      </c>
      <c r="U906" s="12"/>
      <c r="V906" s="12"/>
      <c r="W906" s="47" t="s">
        <v>47</v>
      </c>
      <c r="X906" s="47"/>
      <c r="Y906" s="47"/>
      <c r="Z906" s="12"/>
      <c r="AA906" s="12"/>
      <c r="AB906" s="12" t="s">
        <v>1164</v>
      </c>
      <c r="AC906" s="12">
        <v>2284</v>
      </c>
      <c r="AD906" s="12" t="s">
        <v>51</v>
      </c>
      <c r="AE906" s="12" t="s">
        <v>51</v>
      </c>
      <c r="AF906" s="12" t="s">
        <v>51</v>
      </c>
      <c r="AG906" s="12"/>
      <c r="AH906" s="47" t="s">
        <v>52</v>
      </c>
      <c r="AI906" s="12">
        <v>0</v>
      </c>
      <c r="AJ906" s="12"/>
      <c r="AK906" s="12"/>
      <c r="AL906" s="12"/>
      <c r="AM906" s="12"/>
      <c r="AN906" s="47" t="s">
        <v>47</v>
      </c>
      <c r="AO906" s="12"/>
      <c r="AP906" s="12" t="s">
        <v>53</v>
      </c>
      <c r="AQ906" s="2">
        <v>0</v>
      </c>
    </row>
    <row r="907" s="2" customFormat="1" ht="12.75" spans="1:43">
      <c r="A907" s="11">
        <v>180709</v>
      </c>
      <c r="B907" s="11" t="s">
        <v>1165</v>
      </c>
      <c r="C907" s="11"/>
      <c r="D907" s="11"/>
      <c r="E907" s="11"/>
      <c r="F907" s="11">
        <v>0</v>
      </c>
      <c r="G907" s="11">
        <v>0</v>
      </c>
      <c r="H907" s="11" t="s">
        <v>45</v>
      </c>
      <c r="I907" s="11">
        <v>7</v>
      </c>
      <c r="J907" s="11">
        <v>0</v>
      </c>
      <c r="K907" s="11" t="s">
        <v>46</v>
      </c>
      <c r="L907" s="47" t="s">
        <v>47</v>
      </c>
      <c r="M907" s="105">
        <v>2010172</v>
      </c>
      <c r="N907" s="11">
        <v>0</v>
      </c>
      <c r="O907" s="47" t="s">
        <v>48</v>
      </c>
      <c r="P907" s="11">
        <v>1801</v>
      </c>
      <c r="Q907" s="11"/>
      <c r="R907" s="11"/>
      <c r="S907" s="11">
        <v>0</v>
      </c>
      <c r="T907" s="11">
        <v>0</v>
      </c>
      <c r="U907" s="11"/>
      <c r="V907" s="11"/>
      <c r="W907" s="47" t="s">
        <v>47</v>
      </c>
      <c r="X907" s="47"/>
      <c r="Y907" s="47"/>
      <c r="Z907" s="11"/>
      <c r="AA907" s="11"/>
      <c r="AB907" s="11" t="s">
        <v>1166</v>
      </c>
      <c r="AC907" s="11">
        <v>2284</v>
      </c>
      <c r="AD907" s="11" t="s">
        <v>51</v>
      </c>
      <c r="AE907" s="11" t="s">
        <v>51</v>
      </c>
      <c r="AF907" s="11" t="s">
        <v>51</v>
      </c>
      <c r="AG907" s="11"/>
      <c r="AH907" s="47" t="s">
        <v>52</v>
      </c>
      <c r="AI907" s="11">
        <v>0</v>
      </c>
      <c r="AJ907" s="11"/>
      <c r="AK907" s="11"/>
      <c r="AL907" s="11"/>
      <c r="AM907" s="11"/>
      <c r="AN907" s="47" t="s">
        <v>47</v>
      </c>
      <c r="AO907" s="11"/>
      <c r="AP907" s="11" t="s">
        <v>53</v>
      </c>
      <c r="AQ907" s="2">
        <v>0</v>
      </c>
    </row>
    <row r="908" s="3" customFormat="1" ht="12.75" spans="1:43">
      <c r="A908" s="11">
        <v>180710</v>
      </c>
      <c r="B908" s="12" t="s">
        <v>1165</v>
      </c>
      <c r="C908" s="12"/>
      <c r="D908" s="12"/>
      <c r="E908" s="12"/>
      <c r="F908" s="12">
        <v>0</v>
      </c>
      <c r="G908" s="12">
        <v>0</v>
      </c>
      <c r="H908" s="12" t="s">
        <v>45</v>
      </c>
      <c r="I908" s="12">
        <v>7</v>
      </c>
      <c r="J908" s="12">
        <v>0</v>
      </c>
      <c r="K908" s="12" t="s">
        <v>46</v>
      </c>
      <c r="L908" s="47" t="s">
        <v>47</v>
      </c>
      <c r="M908" s="105">
        <v>2010173</v>
      </c>
      <c r="N908" s="12">
        <v>0</v>
      </c>
      <c r="O908" s="47" t="s">
        <v>48</v>
      </c>
      <c r="P908" s="12">
        <v>1801</v>
      </c>
      <c r="Q908" s="12"/>
      <c r="R908" s="12"/>
      <c r="S908" s="12">
        <v>0</v>
      </c>
      <c r="T908" s="12">
        <v>0</v>
      </c>
      <c r="U908" s="12"/>
      <c r="V908" s="12"/>
      <c r="W908" s="47" t="s">
        <v>47</v>
      </c>
      <c r="X908" s="47"/>
      <c r="Y908" s="47"/>
      <c r="Z908" s="12"/>
      <c r="AA908" s="12"/>
      <c r="AB908" s="12" t="s">
        <v>1167</v>
      </c>
      <c r="AC908" s="12">
        <v>2284</v>
      </c>
      <c r="AD908" s="12" t="s">
        <v>51</v>
      </c>
      <c r="AE908" s="12" t="s">
        <v>51</v>
      </c>
      <c r="AF908" s="12" t="s">
        <v>51</v>
      </c>
      <c r="AG908" s="12"/>
      <c r="AH908" s="47" t="s">
        <v>52</v>
      </c>
      <c r="AI908" s="12">
        <v>0</v>
      </c>
      <c r="AJ908" s="12"/>
      <c r="AK908" s="12"/>
      <c r="AL908" s="12"/>
      <c r="AM908" s="12"/>
      <c r="AN908" s="47" t="s">
        <v>47</v>
      </c>
      <c r="AO908" s="12"/>
      <c r="AP908" s="12" t="s">
        <v>53</v>
      </c>
      <c r="AQ908" s="2">
        <v>0</v>
      </c>
    </row>
    <row r="909" s="2" customFormat="1" ht="12.75" spans="1:43">
      <c r="A909" s="11">
        <v>181000</v>
      </c>
      <c r="B909" s="11" t="s">
        <v>1168</v>
      </c>
      <c r="C909" s="11"/>
      <c r="D909" s="11"/>
      <c r="E909" s="11"/>
      <c r="F909" s="11">
        <v>0</v>
      </c>
      <c r="G909" s="11">
        <v>0</v>
      </c>
      <c r="H909" s="11" t="s">
        <v>45</v>
      </c>
      <c r="I909" s="11">
        <v>27</v>
      </c>
      <c r="J909" s="11">
        <v>0</v>
      </c>
      <c r="K909" s="11" t="s">
        <v>46</v>
      </c>
      <c r="L909" s="47" t="s">
        <v>47</v>
      </c>
      <c r="M909" s="105">
        <v>2010174</v>
      </c>
      <c r="N909" s="11">
        <v>0</v>
      </c>
      <c r="O909" s="47" t="s">
        <v>48</v>
      </c>
      <c r="P909" s="11">
        <v>0</v>
      </c>
      <c r="Q909" s="11"/>
      <c r="R909" s="11"/>
      <c r="S909" s="11">
        <v>0</v>
      </c>
      <c r="T909" s="11">
        <v>0</v>
      </c>
      <c r="U909" s="11"/>
      <c r="V909" s="11"/>
      <c r="W909" s="47" t="s">
        <v>47</v>
      </c>
      <c r="X909" s="47"/>
      <c r="Y909" s="47"/>
      <c r="Z909" s="11" t="s">
        <v>1169</v>
      </c>
      <c r="AA909" s="11"/>
      <c r="AB909" s="11" t="s">
        <v>761</v>
      </c>
      <c r="AC909" s="11">
        <v>2193</v>
      </c>
      <c r="AD909" s="11" t="s">
        <v>51</v>
      </c>
      <c r="AE909" s="11" t="s">
        <v>51</v>
      </c>
      <c r="AF909" s="11" t="s">
        <v>51</v>
      </c>
      <c r="AG909" s="11"/>
      <c r="AH909" s="47" t="s">
        <v>52</v>
      </c>
      <c r="AI909" s="11">
        <v>0</v>
      </c>
      <c r="AJ909" s="11"/>
      <c r="AK909" s="11"/>
      <c r="AL909" s="11"/>
      <c r="AM909" s="11"/>
      <c r="AN909" s="47" t="s">
        <v>47</v>
      </c>
      <c r="AO909" s="11">
        <v>2464</v>
      </c>
      <c r="AP909" s="11" t="s">
        <v>53</v>
      </c>
      <c r="AQ909" s="2">
        <v>0</v>
      </c>
    </row>
    <row r="910" s="3" customFormat="1" ht="12.75" spans="1:43">
      <c r="A910" s="12">
        <v>182101</v>
      </c>
      <c r="B910" s="44" t="s">
        <v>1170</v>
      </c>
      <c r="C910" s="12"/>
      <c r="D910" s="12"/>
      <c r="E910" s="12"/>
      <c r="F910" s="12">
        <v>0</v>
      </c>
      <c r="G910" s="12">
        <v>0</v>
      </c>
      <c r="H910" s="12" t="s">
        <v>45</v>
      </c>
      <c r="I910" s="12">
        <v>7</v>
      </c>
      <c r="J910" s="12">
        <v>0</v>
      </c>
      <c r="K910" s="12" t="s">
        <v>46</v>
      </c>
      <c r="L910" s="47" t="s">
        <v>47</v>
      </c>
      <c r="M910" s="54" t="s">
        <v>365</v>
      </c>
      <c r="N910" s="12">
        <v>0</v>
      </c>
      <c r="O910" s="47" t="s">
        <v>48</v>
      </c>
      <c r="P910" s="12">
        <v>0</v>
      </c>
      <c r="Q910" s="12">
        <v>540</v>
      </c>
      <c r="R910" s="12">
        <v>766</v>
      </c>
      <c r="S910" s="12">
        <v>21</v>
      </c>
      <c r="T910" s="12">
        <v>24</v>
      </c>
      <c r="U910" s="12">
        <v>3</v>
      </c>
      <c r="V910" s="12"/>
      <c r="W910" s="47" t="s">
        <v>47</v>
      </c>
      <c r="X910" s="47"/>
      <c r="Y910" s="47"/>
      <c r="Z910" s="12"/>
      <c r="AA910" s="12"/>
      <c r="AB910" s="12" t="s">
        <v>1171</v>
      </c>
      <c r="AC910" s="12">
        <v>2362</v>
      </c>
      <c r="AD910" s="12" t="s">
        <v>51</v>
      </c>
      <c r="AE910" s="12" t="s">
        <v>51</v>
      </c>
      <c r="AF910" s="12" t="s">
        <v>51</v>
      </c>
      <c r="AG910" s="12"/>
      <c r="AH910" s="47" t="s">
        <v>52</v>
      </c>
      <c r="AI910" s="12">
        <v>0</v>
      </c>
      <c r="AJ910" s="12"/>
      <c r="AK910" s="12"/>
      <c r="AL910" s="12"/>
      <c r="AM910" s="12"/>
      <c r="AN910" s="47" t="s">
        <v>47</v>
      </c>
      <c r="AO910" s="12">
        <v>3001</v>
      </c>
      <c r="AP910" s="12" t="s">
        <v>53</v>
      </c>
      <c r="AQ910" s="2">
        <v>0</v>
      </c>
    </row>
    <row r="911" s="2" customFormat="1" ht="12.75" spans="1:43">
      <c r="A911" s="11">
        <v>182102</v>
      </c>
      <c r="B911" s="11" t="s">
        <v>1172</v>
      </c>
      <c r="C911" s="11"/>
      <c r="D911" s="11"/>
      <c r="E911" s="11"/>
      <c r="F911" s="11">
        <v>0</v>
      </c>
      <c r="G911" s="11">
        <v>0</v>
      </c>
      <c r="H911" s="11" t="s">
        <v>45</v>
      </c>
      <c r="I911" s="11">
        <v>7</v>
      </c>
      <c r="J911" s="11">
        <v>0</v>
      </c>
      <c r="K911" s="11" t="s">
        <v>46</v>
      </c>
      <c r="L911" s="47" t="s">
        <v>47</v>
      </c>
      <c r="M911" s="54">
        <v>1010113</v>
      </c>
      <c r="N911" s="11">
        <v>0</v>
      </c>
      <c r="O911" s="47" t="s">
        <v>48</v>
      </c>
      <c r="P911" s="11">
        <v>0</v>
      </c>
      <c r="Q911" s="12">
        <v>129</v>
      </c>
      <c r="R911" s="12">
        <v>1290</v>
      </c>
      <c r="S911" s="11">
        <v>50</v>
      </c>
      <c r="T911" s="11">
        <v>17</v>
      </c>
      <c r="U911" s="11">
        <v>5</v>
      </c>
      <c r="V911" s="11"/>
      <c r="W911" s="47" t="s">
        <v>47</v>
      </c>
      <c r="X911" s="47"/>
      <c r="Y911" s="47"/>
      <c r="Z911" s="11"/>
      <c r="AA911" s="11"/>
      <c r="AB911" s="11" t="s">
        <v>1171</v>
      </c>
      <c r="AC911" s="11" t="s">
        <v>51</v>
      </c>
      <c r="AD911" s="11" t="s">
        <v>51</v>
      </c>
      <c r="AE911" s="11" t="s">
        <v>51</v>
      </c>
      <c r="AF911" s="11" t="s">
        <v>51</v>
      </c>
      <c r="AG911" s="11"/>
      <c r="AH911" s="47" t="s">
        <v>52</v>
      </c>
      <c r="AI911" s="11">
        <v>0</v>
      </c>
      <c r="AJ911" s="11"/>
      <c r="AK911" s="11"/>
      <c r="AL911" s="11"/>
      <c r="AM911" s="11"/>
      <c r="AN911" s="47" t="s">
        <v>47</v>
      </c>
      <c r="AO911" s="11">
        <v>3002</v>
      </c>
      <c r="AP911" s="11" t="s">
        <v>53</v>
      </c>
      <c r="AQ911" s="2">
        <v>0</v>
      </c>
    </row>
    <row r="912" s="3" customFormat="1" ht="12.75" spans="1:43">
      <c r="A912" s="12">
        <v>182103</v>
      </c>
      <c r="B912" s="44" t="s">
        <v>1173</v>
      </c>
      <c r="C912" s="12"/>
      <c r="D912" s="12"/>
      <c r="E912" s="12"/>
      <c r="F912" s="12">
        <v>0</v>
      </c>
      <c r="G912" s="12">
        <v>0</v>
      </c>
      <c r="H912" s="12" t="s">
        <v>45</v>
      </c>
      <c r="I912" s="12">
        <v>7</v>
      </c>
      <c r="J912" s="12">
        <v>0</v>
      </c>
      <c r="K912" s="12" t="s">
        <v>46</v>
      </c>
      <c r="L912" s="47" t="s">
        <v>47</v>
      </c>
      <c r="M912" s="54">
        <v>1010140</v>
      </c>
      <c r="N912" s="12">
        <v>0</v>
      </c>
      <c r="O912" s="47" t="s">
        <v>48</v>
      </c>
      <c r="P912" s="12">
        <v>0</v>
      </c>
      <c r="Q912" s="12">
        <v>1138</v>
      </c>
      <c r="R912" s="12">
        <v>1435</v>
      </c>
      <c r="S912" s="12">
        <v>61</v>
      </c>
      <c r="T912" s="12">
        <v>62</v>
      </c>
      <c r="U912" s="12">
        <v>1</v>
      </c>
      <c r="V912" s="12"/>
      <c r="W912" s="47" t="s">
        <v>47</v>
      </c>
      <c r="X912" s="47"/>
      <c r="Y912" s="47"/>
      <c r="Z912" s="12"/>
      <c r="AA912" s="12"/>
      <c r="AB912" s="12" t="s">
        <v>1171</v>
      </c>
      <c r="AC912" s="12" t="s">
        <v>51</v>
      </c>
      <c r="AD912" s="12" t="s">
        <v>51</v>
      </c>
      <c r="AE912" s="12" t="s">
        <v>51</v>
      </c>
      <c r="AF912" s="12" t="s">
        <v>51</v>
      </c>
      <c r="AG912" s="12"/>
      <c r="AH912" s="47" t="s">
        <v>52</v>
      </c>
      <c r="AI912" s="12">
        <v>0</v>
      </c>
      <c r="AJ912" s="12"/>
      <c r="AK912" s="12"/>
      <c r="AL912" s="12"/>
      <c r="AM912" s="12"/>
      <c r="AN912" s="47" t="s">
        <v>47</v>
      </c>
      <c r="AO912" s="12">
        <v>3003</v>
      </c>
      <c r="AP912" s="12" t="s">
        <v>53</v>
      </c>
      <c r="AQ912" s="2">
        <v>0</v>
      </c>
    </row>
    <row r="913" s="2" customFormat="1" ht="12.75" spans="1:43">
      <c r="A913" s="11">
        <v>182104</v>
      </c>
      <c r="B913" s="11" t="s">
        <v>1174</v>
      </c>
      <c r="C913" s="11"/>
      <c r="D913" s="11"/>
      <c r="E913" s="11"/>
      <c r="F913" s="11">
        <v>0</v>
      </c>
      <c r="G913" s="11">
        <v>0</v>
      </c>
      <c r="H913" s="11" t="s">
        <v>45</v>
      </c>
      <c r="I913" s="11">
        <v>7</v>
      </c>
      <c r="J913" s="11">
        <v>0</v>
      </c>
      <c r="K913" s="11" t="s">
        <v>46</v>
      </c>
      <c r="L913" s="47" t="s">
        <v>47</v>
      </c>
      <c r="M913" s="54">
        <v>1010114</v>
      </c>
      <c r="N913" s="11">
        <v>0</v>
      </c>
      <c r="O913" s="47" t="s">
        <v>48</v>
      </c>
      <c r="P913" s="11">
        <v>0</v>
      </c>
      <c r="Q913" s="12">
        <v>1435</v>
      </c>
      <c r="R913" s="12">
        <v>601</v>
      </c>
      <c r="S913" s="11">
        <v>86</v>
      </c>
      <c r="T913" s="11">
        <v>45</v>
      </c>
      <c r="U913" s="11">
        <v>7</v>
      </c>
      <c r="V913" s="11"/>
      <c r="W913" s="47" t="s">
        <v>47</v>
      </c>
      <c r="X913" s="47"/>
      <c r="Y913" s="47"/>
      <c r="Z913" s="11"/>
      <c r="AA913" s="11"/>
      <c r="AB913" s="11" t="s">
        <v>1171</v>
      </c>
      <c r="AC913" s="11" t="s">
        <v>51</v>
      </c>
      <c r="AD913" s="11" t="s">
        <v>51</v>
      </c>
      <c r="AE913" s="11" t="s">
        <v>51</v>
      </c>
      <c r="AF913" s="11" t="s">
        <v>51</v>
      </c>
      <c r="AG913" s="11"/>
      <c r="AH913" s="47" t="s">
        <v>52</v>
      </c>
      <c r="AI913" s="11">
        <v>0</v>
      </c>
      <c r="AJ913" s="11"/>
      <c r="AK913" s="11"/>
      <c r="AL913" s="11"/>
      <c r="AM913" s="11"/>
      <c r="AN913" s="47" t="s">
        <v>47</v>
      </c>
      <c r="AO913" s="11">
        <v>3004</v>
      </c>
      <c r="AP913" s="11" t="s">
        <v>53</v>
      </c>
      <c r="AQ913" s="2">
        <v>0</v>
      </c>
    </row>
    <row r="914" s="3" customFormat="1" ht="12.75" spans="1:43">
      <c r="A914" s="60">
        <v>182105</v>
      </c>
      <c r="B914" s="60" t="s">
        <v>1175</v>
      </c>
      <c r="C914" s="60"/>
      <c r="D914" s="60"/>
      <c r="E914" s="60"/>
      <c r="F914" s="60">
        <v>0</v>
      </c>
      <c r="G914" s="60">
        <v>0</v>
      </c>
      <c r="H914" s="60">
        <v>1.35</v>
      </c>
      <c r="I914" s="60">
        <v>7</v>
      </c>
      <c r="J914" s="60">
        <v>0</v>
      </c>
      <c r="K914" s="60" t="s">
        <v>46</v>
      </c>
      <c r="L914" s="47" t="s">
        <v>47</v>
      </c>
      <c r="M914" s="54">
        <v>1010142</v>
      </c>
      <c r="N914" s="60">
        <v>0</v>
      </c>
      <c r="O914" s="47" t="s">
        <v>48</v>
      </c>
      <c r="P914" s="60">
        <v>0</v>
      </c>
      <c r="Q914" s="60">
        <v>703</v>
      </c>
      <c r="R914" s="60">
        <v>211</v>
      </c>
      <c r="S914" s="60">
        <v>100</v>
      </c>
      <c r="T914" s="60">
        <v>32</v>
      </c>
      <c r="U914" s="60">
        <v>5</v>
      </c>
      <c r="V914" s="60"/>
      <c r="W914" s="47" t="s">
        <v>47</v>
      </c>
      <c r="X914" s="47"/>
      <c r="Y914" s="47"/>
      <c r="Z914" s="60"/>
      <c r="AA914" s="60"/>
      <c r="AB914" s="60" t="s">
        <v>1171</v>
      </c>
      <c r="AC914" s="60">
        <v>2355</v>
      </c>
      <c r="AD914" s="60" t="s">
        <v>51</v>
      </c>
      <c r="AE914" s="60" t="s">
        <v>51</v>
      </c>
      <c r="AF914" s="60" t="s">
        <v>51</v>
      </c>
      <c r="AG914" s="60"/>
      <c r="AH914" s="47" t="s">
        <v>52</v>
      </c>
      <c r="AI914" s="60">
        <v>0</v>
      </c>
      <c r="AJ914" s="60"/>
      <c r="AK914" s="60"/>
      <c r="AL914" s="60"/>
      <c r="AM914" s="60"/>
      <c r="AN914" s="47" t="s">
        <v>47</v>
      </c>
      <c r="AO914" s="60">
        <v>3005</v>
      </c>
      <c r="AP914" s="60" t="s">
        <v>53</v>
      </c>
      <c r="AQ914" s="2">
        <v>0</v>
      </c>
    </row>
    <row r="915" s="2" customFormat="1" ht="12.75" spans="1:43">
      <c r="A915" s="11">
        <v>182201</v>
      </c>
      <c r="B915" s="11" t="s">
        <v>1176</v>
      </c>
      <c r="C915" s="11"/>
      <c r="D915" s="11"/>
      <c r="E915" s="11"/>
      <c r="F915" s="11">
        <v>0</v>
      </c>
      <c r="G915" s="11">
        <v>0</v>
      </c>
      <c r="H915" s="11" t="s">
        <v>45</v>
      </c>
      <c r="I915" s="11">
        <v>7</v>
      </c>
      <c r="J915" s="11">
        <v>0</v>
      </c>
      <c r="K915" s="11" t="s">
        <v>46</v>
      </c>
      <c r="L915" s="47" t="s">
        <v>47</v>
      </c>
      <c r="M915" s="54">
        <v>1010174</v>
      </c>
      <c r="N915" s="11">
        <v>0</v>
      </c>
      <c r="O915" s="47" t="s">
        <v>48</v>
      </c>
      <c r="P915" s="11">
        <v>0</v>
      </c>
      <c r="Q915" s="12">
        <v>236</v>
      </c>
      <c r="R915" s="12">
        <v>610</v>
      </c>
      <c r="S915" s="12">
        <v>21</v>
      </c>
      <c r="T915" s="12">
        <v>24</v>
      </c>
      <c r="U915" s="11">
        <v>1</v>
      </c>
      <c r="V915" s="11"/>
      <c r="W915" s="47" t="s">
        <v>47</v>
      </c>
      <c r="X915" s="47"/>
      <c r="Y915" s="47"/>
      <c r="Z915" s="11"/>
      <c r="AA915" s="11"/>
      <c r="AB915" s="11" t="s">
        <v>1171</v>
      </c>
      <c r="AC915" s="11" t="s">
        <v>51</v>
      </c>
      <c r="AD915" s="11" t="s">
        <v>51</v>
      </c>
      <c r="AE915" s="11" t="s">
        <v>51</v>
      </c>
      <c r="AF915" s="11" t="s">
        <v>51</v>
      </c>
      <c r="AG915" s="11"/>
      <c r="AH915" s="47" t="s">
        <v>52</v>
      </c>
      <c r="AI915" s="11">
        <v>0</v>
      </c>
      <c r="AJ915" s="11"/>
      <c r="AK915" s="11"/>
      <c r="AL915" s="11"/>
      <c r="AM915" s="11"/>
      <c r="AN915" s="47" t="s">
        <v>47</v>
      </c>
      <c r="AO915" s="11">
        <v>3006</v>
      </c>
      <c r="AP915" s="11" t="s">
        <v>53</v>
      </c>
      <c r="AQ915" s="2">
        <v>0</v>
      </c>
    </row>
    <row r="916" s="3" customFormat="1" spans="1:43">
      <c r="A916" s="11">
        <v>182202</v>
      </c>
      <c r="B916" s="160" t="s">
        <v>1177</v>
      </c>
      <c r="C916" s="12"/>
      <c r="D916" s="12"/>
      <c r="E916" s="12"/>
      <c r="F916" s="12">
        <v>0</v>
      </c>
      <c r="G916" s="12">
        <v>0</v>
      </c>
      <c r="H916" s="12" t="s">
        <v>45</v>
      </c>
      <c r="I916" s="12">
        <v>7</v>
      </c>
      <c r="J916" s="12">
        <v>0</v>
      </c>
      <c r="K916" s="12" t="s">
        <v>46</v>
      </c>
      <c r="L916" s="47" t="s">
        <v>47</v>
      </c>
      <c r="M916" s="54">
        <v>1010120</v>
      </c>
      <c r="N916" s="12">
        <v>0</v>
      </c>
      <c r="O916" s="47" t="s">
        <v>48</v>
      </c>
      <c r="P916" s="12">
        <v>0</v>
      </c>
      <c r="Q916" s="12">
        <v>251</v>
      </c>
      <c r="R916" s="12">
        <v>1456</v>
      </c>
      <c r="S916" s="11">
        <v>50</v>
      </c>
      <c r="T916" s="11">
        <v>17</v>
      </c>
      <c r="U916" s="12">
        <v>5</v>
      </c>
      <c r="V916" s="12"/>
      <c r="W916" s="47" t="s">
        <v>47</v>
      </c>
      <c r="X916" s="47"/>
      <c r="Y916" s="47"/>
      <c r="Z916" s="12"/>
      <c r="AA916" s="12"/>
      <c r="AB916" s="12" t="s">
        <v>1171</v>
      </c>
      <c r="AC916" s="12" t="s">
        <v>51</v>
      </c>
      <c r="AD916" s="12" t="s">
        <v>51</v>
      </c>
      <c r="AE916" s="12" t="s">
        <v>51</v>
      </c>
      <c r="AF916" s="12" t="s">
        <v>51</v>
      </c>
      <c r="AG916" s="12"/>
      <c r="AH916" s="47" t="s">
        <v>52</v>
      </c>
      <c r="AI916" s="12">
        <v>0</v>
      </c>
      <c r="AJ916" s="12"/>
      <c r="AK916" s="12"/>
      <c r="AL916" s="12"/>
      <c r="AM916" s="12"/>
      <c r="AN916" s="47" t="s">
        <v>47</v>
      </c>
      <c r="AO916" s="12">
        <v>3007</v>
      </c>
      <c r="AP916" s="12" t="s">
        <v>53</v>
      </c>
      <c r="AQ916" s="2">
        <v>0</v>
      </c>
    </row>
    <row r="917" s="2" customFormat="1" ht="12.75" spans="1:43">
      <c r="A917" s="11">
        <v>182203</v>
      </c>
      <c r="B917" s="11" t="s">
        <v>1178</v>
      </c>
      <c r="C917" s="11"/>
      <c r="D917" s="11"/>
      <c r="E917" s="11"/>
      <c r="F917" s="11">
        <v>0</v>
      </c>
      <c r="G917" s="11">
        <v>0</v>
      </c>
      <c r="H917" s="11" t="s">
        <v>45</v>
      </c>
      <c r="I917" s="11">
        <v>7</v>
      </c>
      <c r="J917" s="11">
        <v>0</v>
      </c>
      <c r="K917" s="11" t="s">
        <v>46</v>
      </c>
      <c r="L917" s="47" t="s">
        <v>47</v>
      </c>
      <c r="M917" s="54">
        <v>1010121</v>
      </c>
      <c r="N917" s="11">
        <v>0</v>
      </c>
      <c r="O917" s="47" t="s">
        <v>48</v>
      </c>
      <c r="P917" s="11">
        <v>0</v>
      </c>
      <c r="Q917" s="12">
        <v>1140</v>
      </c>
      <c r="R917" s="12">
        <v>889</v>
      </c>
      <c r="S917" s="12">
        <v>61</v>
      </c>
      <c r="T917" s="12">
        <v>62</v>
      </c>
      <c r="U917" s="11">
        <v>5</v>
      </c>
      <c r="V917" s="11"/>
      <c r="W917" s="47" t="s">
        <v>47</v>
      </c>
      <c r="X917" s="47"/>
      <c r="Y917" s="47"/>
      <c r="Z917" s="11"/>
      <c r="AA917" s="11"/>
      <c r="AB917" s="11" t="s">
        <v>1171</v>
      </c>
      <c r="AC917" s="11" t="s">
        <v>51</v>
      </c>
      <c r="AD917" s="11" t="s">
        <v>51</v>
      </c>
      <c r="AE917" s="11" t="s">
        <v>51</v>
      </c>
      <c r="AF917" s="11" t="s">
        <v>51</v>
      </c>
      <c r="AG917" s="11"/>
      <c r="AH917" s="47" t="s">
        <v>52</v>
      </c>
      <c r="AI917" s="11">
        <v>0</v>
      </c>
      <c r="AJ917" s="11"/>
      <c r="AK917" s="11"/>
      <c r="AL917" s="11"/>
      <c r="AM917" s="11"/>
      <c r="AN917" s="47" t="s">
        <v>47</v>
      </c>
      <c r="AO917" s="11">
        <v>3008</v>
      </c>
      <c r="AP917" s="11" t="s">
        <v>53</v>
      </c>
      <c r="AQ917" s="2">
        <v>0</v>
      </c>
    </row>
    <row r="918" s="3" customFormat="1" ht="12.75" spans="1:43">
      <c r="A918" s="11">
        <v>182204</v>
      </c>
      <c r="B918" s="44" t="s">
        <v>1179</v>
      </c>
      <c r="C918" s="12"/>
      <c r="D918" s="12"/>
      <c r="E918" s="12"/>
      <c r="F918" s="12">
        <v>0</v>
      </c>
      <c r="G918" s="12">
        <v>0</v>
      </c>
      <c r="H918" s="12" t="s">
        <v>45</v>
      </c>
      <c r="I918" s="12">
        <v>7</v>
      </c>
      <c r="J918" s="12">
        <v>0</v>
      </c>
      <c r="K918" s="12" t="s">
        <v>46</v>
      </c>
      <c r="L918" s="47" t="s">
        <v>47</v>
      </c>
      <c r="M918" s="54">
        <v>1010118</v>
      </c>
      <c r="N918" s="12">
        <v>0</v>
      </c>
      <c r="O918" s="47" t="s">
        <v>48</v>
      </c>
      <c r="P918" s="12">
        <v>0</v>
      </c>
      <c r="Q918" s="12">
        <v>1460</v>
      </c>
      <c r="R918" s="12">
        <v>1630</v>
      </c>
      <c r="S918" s="11">
        <v>86</v>
      </c>
      <c r="T918" s="11">
        <v>45</v>
      </c>
      <c r="U918" s="12">
        <v>3</v>
      </c>
      <c r="V918" s="12"/>
      <c r="W918" s="47" t="s">
        <v>47</v>
      </c>
      <c r="X918" s="47"/>
      <c r="Y918" s="47"/>
      <c r="Z918" s="12"/>
      <c r="AA918" s="12"/>
      <c r="AB918" s="12" t="s">
        <v>1171</v>
      </c>
      <c r="AC918" s="12" t="s">
        <v>51</v>
      </c>
      <c r="AD918" s="12" t="s">
        <v>51</v>
      </c>
      <c r="AE918" s="12" t="s">
        <v>51</v>
      </c>
      <c r="AF918" s="12" t="s">
        <v>51</v>
      </c>
      <c r="AG918" s="12"/>
      <c r="AH918" s="47" t="s">
        <v>52</v>
      </c>
      <c r="AI918" s="12">
        <v>0</v>
      </c>
      <c r="AJ918" s="12"/>
      <c r="AK918" s="12"/>
      <c r="AL918" s="12"/>
      <c r="AM918" s="12"/>
      <c r="AN918" s="47" t="s">
        <v>47</v>
      </c>
      <c r="AO918" s="12">
        <v>3009</v>
      </c>
      <c r="AP918" s="12" t="s">
        <v>53</v>
      </c>
      <c r="AQ918" s="2">
        <v>0</v>
      </c>
    </row>
    <row r="919" s="8" customFormat="1" ht="12.75" spans="1:43">
      <c r="A919" s="60">
        <v>182205</v>
      </c>
      <c r="B919" s="60" t="s">
        <v>1180</v>
      </c>
      <c r="C919" s="60"/>
      <c r="D919" s="60"/>
      <c r="E919" s="60"/>
      <c r="F919" s="60">
        <v>0</v>
      </c>
      <c r="G919" s="60">
        <v>0</v>
      </c>
      <c r="H919" s="60">
        <v>1.35</v>
      </c>
      <c r="I919" s="60">
        <v>7</v>
      </c>
      <c r="J919" s="60">
        <v>0</v>
      </c>
      <c r="K919" s="60" t="s">
        <v>46</v>
      </c>
      <c r="L919" s="47" t="s">
        <v>47</v>
      </c>
      <c r="M919" s="54">
        <v>1010125</v>
      </c>
      <c r="N919" s="60">
        <v>0</v>
      </c>
      <c r="O919" s="47" t="s">
        <v>48</v>
      </c>
      <c r="P919" s="60">
        <v>0</v>
      </c>
      <c r="Q919" s="60">
        <v>2016</v>
      </c>
      <c r="R919" s="60">
        <v>874</v>
      </c>
      <c r="S919" s="60">
        <v>100</v>
      </c>
      <c r="T919" s="60">
        <v>32</v>
      </c>
      <c r="U919" s="60">
        <v>3</v>
      </c>
      <c r="V919" s="60"/>
      <c r="W919" s="47" t="s">
        <v>47</v>
      </c>
      <c r="X919" s="47"/>
      <c r="Y919" s="47"/>
      <c r="Z919" s="60"/>
      <c r="AA919" s="60"/>
      <c r="AB919" s="60" t="s">
        <v>1171</v>
      </c>
      <c r="AC919" s="60">
        <v>2356</v>
      </c>
      <c r="AD919" s="60" t="s">
        <v>51</v>
      </c>
      <c r="AE919" s="60" t="s">
        <v>51</v>
      </c>
      <c r="AF919" s="60" t="s">
        <v>51</v>
      </c>
      <c r="AG919" s="60"/>
      <c r="AH919" s="47" t="s">
        <v>52</v>
      </c>
      <c r="AI919" s="60">
        <v>0</v>
      </c>
      <c r="AJ919" s="60"/>
      <c r="AK919" s="60"/>
      <c r="AL919" s="60"/>
      <c r="AM919" s="60"/>
      <c r="AN919" s="47" t="s">
        <v>47</v>
      </c>
      <c r="AO919" s="60">
        <v>3010</v>
      </c>
      <c r="AP919" s="60" t="s">
        <v>53</v>
      </c>
      <c r="AQ919" s="2">
        <v>0</v>
      </c>
    </row>
    <row r="920" s="3" customFormat="1" ht="12.75" spans="1:43">
      <c r="A920" s="12">
        <v>182301</v>
      </c>
      <c r="B920" s="44" t="s">
        <v>1181</v>
      </c>
      <c r="C920" s="12"/>
      <c r="D920" s="12"/>
      <c r="E920" s="12"/>
      <c r="F920" s="12">
        <v>0</v>
      </c>
      <c r="G920" s="12">
        <v>0</v>
      </c>
      <c r="H920" s="12" t="s">
        <v>45</v>
      </c>
      <c r="I920" s="12">
        <v>7</v>
      </c>
      <c r="J920" s="12">
        <v>0</v>
      </c>
      <c r="K920" s="12" t="s">
        <v>46</v>
      </c>
      <c r="L920" s="47" t="s">
        <v>47</v>
      </c>
      <c r="M920" s="54">
        <v>1010124</v>
      </c>
      <c r="N920" s="12">
        <v>0</v>
      </c>
      <c r="O920" s="47" t="s">
        <v>48</v>
      </c>
      <c r="P920" s="12">
        <v>0</v>
      </c>
      <c r="Q920" s="12">
        <v>563</v>
      </c>
      <c r="R920" s="12">
        <v>789</v>
      </c>
      <c r="S920" s="12">
        <v>21</v>
      </c>
      <c r="T920" s="12">
        <v>24</v>
      </c>
      <c r="U920" s="12">
        <v>3</v>
      </c>
      <c r="V920" s="12"/>
      <c r="W920" s="47" t="s">
        <v>47</v>
      </c>
      <c r="X920" s="47"/>
      <c r="Y920" s="47"/>
      <c r="Z920" s="12"/>
      <c r="AA920" s="12"/>
      <c r="AB920" s="12" t="s">
        <v>1171</v>
      </c>
      <c r="AC920" s="12" t="s">
        <v>51</v>
      </c>
      <c r="AD920" s="12" t="s">
        <v>51</v>
      </c>
      <c r="AE920" s="12" t="s">
        <v>51</v>
      </c>
      <c r="AF920" s="12" t="s">
        <v>51</v>
      </c>
      <c r="AG920" s="12"/>
      <c r="AH920" s="47" t="s">
        <v>52</v>
      </c>
      <c r="AI920" s="12">
        <v>0</v>
      </c>
      <c r="AJ920" s="12"/>
      <c r="AK920" s="12"/>
      <c r="AL920" s="12"/>
      <c r="AM920" s="12"/>
      <c r="AN920" s="47" t="s">
        <v>47</v>
      </c>
      <c r="AO920" s="12">
        <v>3011</v>
      </c>
      <c r="AP920" s="12" t="s">
        <v>53</v>
      </c>
      <c r="AQ920" s="2">
        <v>0</v>
      </c>
    </row>
    <row r="921" s="2" customFormat="1" spans="1:43">
      <c r="A921" s="12">
        <v>182302</v>
      </c>
      <c r="B921" s="160" t="s">
        <v>1182</v>
      </c>
      <c r="C921" s="11"/>
      <c r="D921" s="11"/>
      <c r="E921" s="11"/>
      <c r="F921" s="11">
        <v>0</v>
      </c>
      <c r="G921" s="11">
        <v>0</v>
      </c>
      <c r="H921" s="11" t="s">
        <v>45</v>
      </c>
      <c r="I921" s="11">
        <v>7</v>
      </c>
      <c r="J921" s="11">
        <v>0</v>
      </c>
      <c r="K921" s="11" t="s">
        <v>46</v>
      </c>
      <c r="L921" s="47" t="s">
        <v>47</v>
      </c>
      <c r="M921" s="54">
        <v>1010126</v>
      </c>
      <c r="N921" s="11">
        <v>0</v>
      </c>
      <c r="O921" s="47" t="s">
        <v>48</v>
      </c>
      <c r="P921" s="11">
        <v>0</v>
      </c>
      <c r="Q921" s="12">
        <v>130</v>
      </c>
      <c r="R921" s="12">
        <v>1237</v>
      </c>
      <c r="S921" s="11">
        <v>50</v>
      </c>
      <c r="T921" s="11">
        <v>17</v>
      </c>
      <c r="U921" s="11">
        <v>5</v>
      </c>
      <c r="V921" s="11"/>
      <c r="W921" s="47" t="s">
        <v>47</v>
      </c>
      <c r="X921" s="47"/>
      <c r="Y921" s="47"/>
      <c r="Z921" s="11"/>
      <c r="AA921" s="11"/>
      <c r="AB921" s="11" t="s">
        <v>1171</v>
      </c>
      <c r="AC921" s="11" t="s">
        <v>51</v>
      </c>
      <c r="AD921" s="11" t="s">
        <v>51</v>
      </c>
      <c r="AE921" s="11" t="s">
        <v>51</v>
      </c>
      <c r="AF921" s="11" t="s">
        <v>51</v>
      </c>
      <c r="AG921" s="11"/>
      <c r="AH921" s="47" t="s">
        <v>52</v>
      </c>
      <c r="AI921" s="11">
        <v>0</v>
      </c>
      <c r="AJ921" s="11"/>
      <c r="AK921" s="11"/>
      <c r="AL921" s="11"/>
      <c r="AM921" s="11"/>
      <c r="AN921" s="47" t="s">
        <v>47</v>
      </c>
      <c r="AO921" s="11">
        <v>3012</v>
      </c>
      <c r="AP921" s="11" t="s">
        <v>53</v>
      </c>
      <c r="AQ921" s="2">
        <v>0</v>
      </c>
    </row>
    <row r="922" s="3" customFormat="1" ht="12.75" spans="1:43">
      <c r="A922" s="12">
        <v>182303</v>
      </c>
      <c r="B922" s="44" t="s">
        <v>1183</v>
      </c>
      <c r="C922" s="12"/>
      <c r="D922" s="12"/>
      <c r="E922" s="12"/>
      <c r="F922" s="12">
        <v>0</v>
      </c>
      <c r="G922" s="12">
        <v>0</v>
      </c>
      <c r="H922" s="12" t="s">
        <v>45</v>
      </c>
      <c r="I922" s="12">
        <v>7</v>
      </c>
      <c r="J922" s="12">
        <v>0</v>
      </c>
      <c r="K922" s="12" t="s">
        <v>46</v>
      </c>
      <c r="L922" s="47" t="s">
        <v>47</v>
      </c>
      <c r="M922" s="54">
        <v>1010120</v>
      </c>
      <c r="N922" s="12">
        <v>0</v>
      </c>
      <c r="O922" s="47" t="s">
        <v>48</v>
      </c>
      <c r="P922" s="12">
        <v>0</v>
      </c>
      <c r="Q922" s="12">
        <v>1138</v>
      </c>
      <c r="R922" s="12">
        <v>1441</v>
      </c>
      <c r="S922" s="12">
        <v>61</v>
      </c>
      <c r="T922" s="12">
        <v>62</v>
      </c>
      <c r="U922" s="12">
        <v>1</v>
      </c>
      <c r="V922" s="12"/>
      <c r="W922" s="47" t="s">
        <v>47</v>
      </c>
      <c r="X922" s="47"/>
      <c r="Y922" s="47"/>
      <c r="Z922" s="12"/>
      <c r="AA922" s="12"/>
      <c r="AB922" s="12" t="s">
        <v>1171</v>
      </c>
      <c r="AC922" s="12" t="s">
        <v>51</v>
      </c>
      <c r="AD922" s="12" t="s">
        <v>51</v>
      </c>
      <c r="AE922" s="12" t="s">
        <v>51</v>
      </c>
      <c r="AF922" s="12" t="s">
        <v>51</v>
      </c>
      <c r="AG922" s="12"/>
      <c r="AH922" s="47" t="s">
        <v>52</v>
      </c>
      <c r="AI922" s="12">
        <v>0</v>
      </c>
      <c r="AJ922" s="12"/>
      <c r="AK922" s="12"/>
      <c r="AL922" s="12"/>
      <c r="AM922" s="12"/>
      <c r="AN922" s="47" t="s">
        <v>47</v>
      </c>
      <c r="AO922" s="12">
        <v>3013</v>
      </c>
      <c r="AP922" s="12" t="s">
        <v>53</v>
      </c>
      <c r="AQ922" s="2">
        <v>0</v>
      </c>
    </row>
    <row r="923" s="2" customFormat="1" ht="12.75" spans="1:43">
      <c r="A923" s="12">
        <v>182304</v>
      </c>
      <c r="B923" s="11" t="s">
        <v>1184</v>
      </c>
      <c r="C923" s="11"/>
      <c r="D923" s="11"/>
      <c r="E923" s="11"/>
      <c r="F923" s="11">
        <v>0</v>
      </c>
      <c r="G923" s="11">
        <v>0</v>
      </c>
      <c r="H923" s="11" t="s">
        <v>45</v>
      </c>
      <c r="I923" s="11">
        <v>7</v>
      </c>
      <c r="J923" s="11">
        <v>0</v>
      </c>
      <c r="K923" s="11" t="s">
        <v>46</v>
      </c>
      <c r="L923" s="47" t="s">
        <v>47</v>
      </c>
      <c r="M923" s="54">
        <v>1010121</v>
      </c>
      <c r="N923" s="11">
        <v>0</v>
      </c>
      <c r="O923" s="47" t="s">
        <v>48</v>
      </c>
      <c r="P923" s="11">
        <v>0</v>
      </c>
      <c r="Q923" s="12">
        <v>1364</v>
      </c>
      <c r="R923" s="12">
        <v>621</v>
      </c>
      <c r="S923" s="11">
        <v>86</v>
      </c>
      <c r="T923" s="11">
        <v>45</v>
      </c>
      <c r="U923" s="11">
        <v>7</v>
      </c>
      <c r="V923" s="11"/>
      <c r="W923" s="47" t="s">
        <v>47</v>
      </c>
      <c r="X923" s="47"/>
      <c r="Y923" s="47"/>
      <c r="Z923" s="11"/>
      <c r="AA923" s="11"/>
      <c r="AB923" s="11" t="s">
        <v>1171</v>
      </c>
      <c r="AC923" s="11" t="s">
        <v>51</v>
      </c>
      <c r="AD923" s="11" t="s">
        <v>51</v>
      </c>
      <c r="AE923" s="11" t="s">
        <v>51</v>
      </c>
      <c r="AF923" s="11" t="s">
        <v>51</v>
      </c>
      <c r="AG923" s="11"/>
      <c r="AH923" s="47" t="s">
        <v>52</v>
      </c>
      <c r="AI923" s="11">
        <v>0</v>
      </c>
      <c r="AJ923" s="11"/>
      <c r="AK923" s="11"/>
      <c r="AL923" s="11"/>
      <c r="AM923" s="11"/>
      <c r="AN923" s="47" t="s">
        <v>47</v>
      </c>
      <c r="AO923" s="11">
        <v>3014</v>
      </c>
      <c r="AP923" s="11" t="s">
        <v>53</v>
      </c>
      <c r="AQ923" s="2">
        <v>0</v>
      </c>
    </row>
    <row r="924" s="8" customFormat="1" ht="12.75" spans="1:43">
      <c r="A924" s="60">
        <v>182305</v>
      </c>
      <c r="B924" s="60" t="s">
        <v>1185</v>
      </c>
      <c r="C924" s="60"/>
      <c r="D924" s="60"/>
      <c r="E924" s="60"/>
      <c r="F924" s="60">
        <v>0</v>
      </c>
      <c r="G924" s="60">
        <v>0</v>
      </c>
      <c r="H924" s="60">
        <v>1.35</v>
      </c>
      <c r="I924" s="60">
        <v>7</v>
      </c>
      <c r="J924" s="60">
        <v>0</v>
      </c>
      <c r="K924" s="60" t="s">
        <v>46</v>
      </c>
      <c r="L924" s="47" t="s">
        <v>47</v>
      </c>
      <c r="M924" s="54" t="s">
        <v>378</v>
      </c>
      <c r="N924" s="60">
        <v>0</v>
      </c>
      <c r="O924" s="47" t="s">
        <v>48</v>
      </c>
      <c r="P924" s="60">
        <v>0</v>
      </c>
      <c r="Q924" s="60">
        <v>755</v>
      </c>
      <c r="R924" s="60">
        <v>207</v>
      </c>
      <c r="S924" s="60">
        <v>100</v>
      </c>
      <c r="T924" s="60">
        <v>32</v>
      </c>
      <c r="U924" s="60">
        <v>5</v>
      </c>
      <c r="V924" s="60"/>
      <c r="W924" s="47" t="s">
        <v>47</v>
      </c>
      <c r="X924" s="47"/>
      <c r="Y924" s="47"/>
      <c r="Z924" s="60"/>
      <c r="AA924" s="60"/>
      <c r="AB924" s="60" t="s">
        <v>1171</v>
      </c>
      <c r="AC924" s="60">
        <v>2357</v>
      </c>
      <c r="AD924" s="60" t="s">
        <v>51</v>
      </c>
      <c r="AE924" s="60" t="s">
        <v>51</v>
      </c>
      <c r="AF924" s="60" t="s">
        <v>51</v>
      </c>
      <c r="AG924" s="60"/>
      <c r="AH924" s="47" t="s">
        <v>52</v>
      </c>
      <c r="AI924" s="60">
        <v>0</v>
      </c>
      <c r="AJ924" s="60"/>
      <c r="AK924" s="60"/>
      <c r="AL924" s="60"/>
      <c r="AM924" s="60"/>
      <c r="AN924" s="47" t="s">
        <v>47</v>
      </c>
      <c r="AO924" s="60">
        <v>3015</v>
      </c>
      <c r="AP924" s="60" t="s">
        <v>53</v>
      </c>
      <c r="AQ924" s="2">
        <v>0</v>
      </c>
    </row>
    <row r="925" s="2" customFormat="1" spans="1:43">
      <c r="A925" s="11">
        <v>182401</v>
      </c>
      <c r="B925" s="11" t="s">
        <v>1186</v>
      </c>
      <c r="C925" s="11"/>
      <c r="D925" s="11"/>
      <c r="E925" s="11"/>
      <c r="F925" s="11">
        <v>0</v>
      </c>
      <c r="G925" s="11">
        <v>0</v>
      </c>
      <c r="H925" s="11" t="s">
        <v>45</v>
      </c>
      <c r="I925" s="11">
        <v>7</v>
      </c>
      <c r="J925" s="11">
        <v>0</v>
      </c>
      <c r="K925" s="11" t="s">
        <v>46</v>
      </c>
      <c r="L925" s="47" t="s">
        <v>47</v>
      </c>
      <c r="M925" s="54">
        <v>1010122</v>
      </c>
      <c r="N925" s="11">
        <v>0</v>
      </c>
      <c r="O925" s="47" t="s">
        <v>48</v>
      </c>
      <c r="P925" s="11">
        <v>0</v>
      </c>
      <c r="Q925" s="12">
        <v>230</v>
      </c>
      <c r="R925" s="12">
        <v>636</v>
      </c>
      <c r="S925" s="12">
        <v>21</v>
      </c>
      <c r="T925" s="12">
        <v>24</v>
      </c>
      <c r="U925" s="11">
        <v>1</v>
      </c>
      <c r="V925" s="11"/>
      <c r="W925" s="47" t="s">
        <v>47</v>
      </c>
      <c r="X925" s="47"/>
      <c r="Y925" s="47"/>
      <c r="Z925" s="11"/>
      <c r="AA925" s="11"/>
      <c r="AB925" s="11" t="s">
        <v>1171</v>
      </c>
      <c r="AC925" s="164">
        <v>2383</v>
      </c>
      <c r="AD925" s="11" t="s">
        <v>51</v>
      </c>
      <c r="AE925" s="11" t="s">
        <v>51</v>
      </c>
      <c r="AF925" s="11" t="s">
        <v>51</v>
      </c>
      <c r="AG925" s="11"/>
      <c r="AH925" s="47" t="s">
        <v>52</v>
      </c>
      <c r="AI925" s="11">
        <v>0</v>
      </c>
      <c r="AJ925" s="11"/>
      <c r="AK925" s="11"/>
      <c r="AL925" s="11"/>
      <c r="AM925" s="11"/>
      <c r="AN925" s="47" t="s">
        <v>47</v>
      </c>
      <c r="AO925" s="11">
        <v>3016</v>
      </c>
      <c r="AP925" s="11" t="s">
        <v>53</v>
      </c>
      <c r="AQ925" s="2">
        <v>0</v>
      </c>
    </row>
    <row r="926" s="3" customFormat="1" spans="1:43">
      <c r="A926" s="11">
        <v>182402</v>
      </c>
      <c r="B926" s="44" t="s">
        <v>1187</v>
      </c>
      <c r="C926" s="12"/>
      <c r="D926" s="12"/>
      <c r="E926" s="12"/>
      <c r="F926" s="12">
        <v>0</v>
      </c>
      <c r="G926" s="12">
        <v>0</v>
      </c>
      <c r="H926" s="12" t="s">
        <v>45</v>
      </c>
      <c r="I926" s="12">
        <v>7</v>
      </c>
      <c r="J926" s="12">
        <v>0</v>
      </c>
      <c r="K926" s="12" t="s">
        <v>46</v>
      </c>
      <c r="L926" s="47" t="s">
        <v>47</v>
      </c>
      <c r="M926" s="54">
        <v>1010175</v>
      </c>
      <c r="N926" s="12">
        <v>0</v>
      </c>
      <c r="O926" s="47" t="s">
        <v>48</v>
      </c>
      <c r="P926" s="12">
        <v>0</v>
      </c>
      <c r="Q926" s="12">
        <v>158</v>
      </c>
      <c r="R926" s="12">
        <v>1168</v>
      </c>
      <c r="S926" s="11">
        <v>50</v>
      </c>
      <c r="T926" s="11">
        <v>17</v>
      </c>
      <c r="U926" s="12">
        <v>5</v>
      </c>
      <c r="V926" s="12"/>
      <c r="W926" s="47" t="s">
        <v>47</v>
      </c>
      <c r="X926" s="47"/>
      <c r="Y926" s="47"/>
      <c r="Z926" s="12"/>
      <c r="AA926" s="12"/>
      <c r="AB926" s="12" t="s">
        <v>1171</v>
      </c>
      <c r="AC926" s="164">
        <v>2384</v>
      </c>
      <c r="AD926" s="12" t="s">
        <v>51</v>
      </c>
      <c r="AE926" s="12" t="s">
        <v>51</v>
      </c>
      <c r="AF926" s="12" t="s">
        <v>51</v>
      </c>
      <c r="AG926" s="12"/>
      <c r="AH926" s="47" t="s">
        <v>52</v>
      </c>
      <c r="AI926" s="12">
        <v>0</v>
      </c>
      <c r="AJ926" s="12"/>
      <c r="AK926" s="12"/>
      <c r="AL926" s="12"/>
      <c r="AM926" s="12"/>
      <c r="AN926" s="47" t="s">
        <v>47</v>
      </c>
      <c r="AO926" s="12">
        <v>3017</v>
      </c>
      <c r="AP926" s="12" t="s">
        <v>53</v>
      </c>
      <c r="AQ926" s="2">
        <v>0</v>
      </c>
    </row>
    <row r="927" s="2" customFormat="1" spans="1:43">
      <c r="A927" s="11">
        <v>182403</v>
      </c>
      <c r="B927" s="11" t="s">
        <v>1188</v>
      </c>
      <c r="C927" s="11"/>
      <c r="D927" s="11"/>
      <c r="E927" s="11"/>
      <c r="F927" s="11">
        <v>0</v>
      </c>
      <c r="G927" s="11">
        <v>0</v>
      </c>
      <c r="H927" s="11" t="s">
        <v>45</v>
      </c>
      <c r="I927" s="11">
        <v>7</v>
      </c>
      <c r="J927" s="11">
        <v>0</v>
      </c>
      <c r="K927" s="11" t="s">
        <v>46</v>
      </c>
      <c r="L927" s="47" t="s">
        <v>47</v>
      </c>
      <c r="M927" s="50">
        <v>1020113</v>
      </c>
      <c r="N927" s="11">
        <v>0</v>
      </c>
      <c r="O927" s="47" t="s">
        <v>48</v>
      </c>
      <c r="P927" s="11">
        <v>0</v>
      </c>
      <c r="Q927" s="12">
        <v>1194</v>
      </c>
      <c r="R927" s="12">
        <v>943</v>
      </c>
      <c r="S927" s="12">
        <v>61</v>
      </c>
      <c r="T927" s="12">
        <v>62</v>
      </c>
      <c r="U927" s="11">
        <v>5</v>
      </c>
      <c r="V927" s="11"/>
      <c r="W927" s="47" t="s">
        <v>47</v>
      </c>
      <c r="X927" s="47"/>
      <c r="Y927" s="47"/>
      <c r="Z927" s="11"/>
      <c r="AA927" s="11"/>
      <c r="AB927" s="11" t="s">
        <v>1171</v>
      </c>
      <c r="AC927" s="164">
        <v>2385</v>
      </c>
      <c r="AD927" s="11" t="s">
        <v>51</v>
      </c>
      <c r="AE927" s="11" t="s">
        <v>51</v>
      </c>
      <c r="AF927" s="11" t="s">
        <v>51</v>
      </c>
      <c r="AG927" s="11"/>
      <c r="AH927" s="47" t="s">
        <v>52</v>
      </c>
      <c r="AI927" s="11">
        <v>0</v>
      </c>
      <c r="AJ927" s="11"/>
      <c r="AK927" s="11"/>
      <c r="AL927" s="11"/>
      <c r="AM927" s="11"/>
      <c r="AN927" s="47" t="s">
        <v>47</v>
      </c>
      <c r="AO927" s="11">
        <v>3018</v>
      </c>
      <c r="AP927" s="11" t="s">
        <v>53</v>
      </c>
      <c r="AQ927" s="2">
        <v>0</v>
      </c>
    </row>
    <row r="928" s="3" customFormat="1" spans="1:43">
      <c r="A928" s="11">
        <v>182404</v>
      </c>
      <c r="B928" s="44" t="s">
        <v>1189</v>
      </c>
      <c r="C928" s="12"/>
      <c r="D928" s="12"/>
      <c r="E928" s="12"/>
      <c r="F928" s="12">
        <v>0</v>
      </c>
      <c r="G928" s="12">
        <v>0</v>
      </c>
      <c r="H928" s="12" t="s">
        <v>45</v>
      </c>
      <c r="I928" s="12">
        <v>7</v>
      </c>
      <c r="J928" s="12">
        <v>0</v>
      </c>
      <c r="K928" s="12" t="s">
        <v>46</v>
      </c>
      <c r="L928" s="47" t="s">
        <v>47</v>
      </c>
      <c r="M928" s="54">
        <v>1010126</v>
      </c>
      <c r="N928" s="12">
        <v>0</v>
      </c>
      <c r="O928" s="47" t="s">
        <v>48</v>
      </c>
      <c r="P928" s="12">
        <v>0</v>
      </c>
      <c r="Q928" s="12">
        <v>1599</v>
      </c>
      <c r="R928" s="12">
        <v>1642</v>
      </c>
      <c r="S928" s="11">
        <v>86</v>
      </c>
      <c r="T928" s="11">
        <v>45</v>
      </c>
      <c r="U928" s="12">
        <v>3</v>
      </c>
      <c r="V928" s="12"/>
      <c r="W928" s="47" t="s">
        <v>47</v>
      </c>
      <c r="X928" s="47"/>
      <c r="Y928" s="47"/>
      <c r="Z928" s="12"/>
      <c r="AA928" s="12"/>
      <c r="AB928" s="12" t="s">
        <v>1171</v>
      </c>
      <c r="AC928" s="164">
        <v>2386</v>
      </c>
      <c r="AD928" s="12" t="s">
        <v>51</v>
      </c>
      <c r="AE928" s="12" t="s">
        <v>51</v>
      </c>
      <c r="AF928" s="12" t="s">
        <v>51</v>
      </c>
      <c r="AG928" s="12"/>
      <c r="AH928" s="47" t="s">
        <v>52</v>
      </c>
      <c r="AI928" s="12">
        <v>0</v>
      </c>
      <c r="AJ928" s="12"/>
      <c r="AK928" s="12"/>
      <c r="AL928" s="12"/>
      <c r="AM928" s="12"/>
      <c r="AN928" s="47" t="s">
        <v>47</v>
      </c>
      <c r="AO928" s="12">
        <v>3019</v>
      </c>
      <c r="AP928" s="12" t="s">
        <v>53</v>
      </c>
      <c r="AQ928" s="2">
        <v>0</v>
      </c>
    </row>
    <row r="929" s="8" customFormat="1" ht="12.75" spans="1:43">
      <c r="A929" s="60">
        <v>182405</v>
      </c>
      <c r="B929" s="60" t="s">
        <v>1190</v>
      </c>
      <c r="C929" s="60"/>
      <c r="D929" s="60"/>
      <c r="E929" s="60"/>
      <c r="F929" s="60">
        <v>0</v>
      </c>
      <c r="G929" s="60">
        <v>0</v>
      </c>
      <c r="H929" s="60">
        <v>1.35</v>
      </c>
      <c r="I929" s="60">
        <v>7</v>
      </c>
      <c r="J929" s="60">
        <v>0</v>
      </c>
      <c r="K929" s="60" t="s">
        <v>46</v>
      </c>
      <c r="L929" s="47" t="s">
        <v>47</v>
      </c>
      <c r="M929" s="50">
        <v>1020113</v>
      </c>
      <c r="N929" s="60">
        <v>0</v>
      </c>
      <c r="O929" s="47" t="s">
        <v>48</v>
      </c>
      <c r="P929" s="60">
        <v>0</v>
      </c>
      <c r="Q929" s="60">
        <v>1148</v>
      </c>
      <c r="R929" s="60">
        <v>1157</v>
      </c>
      <c r="S929" s="60">
        <v>100</v>
      </c>
      <c r="T929" s="60">
        <v>32</v>
      </c>
      <c r="U929" s="60">
        <v>3</v>
      </c>
      <c r="V929" s="60"/>
      <c r="W929" s="47" t="s">
        <v>47</v>
      </c>
      <c r="X929" s="47"/>
      <c r="Y929" s="47"/>
      <c r="Z929" s="60"/>
      <c r="AA929" s="60"/>
      <c r="AB929" s="60" t="s">
        <v>1171</v>
      </c>
      <c r="AC929" s="60">
        <v>2358</v>
      </c>
      <c r="AD929" s="60" t="s">
        <v>51</v>
      </c>
      <c r="AE929" s="60" t="s">
        <v>51</v>
      </c>
      <c r="AF929" s="60" t="s">
        <v>51</v>
      </c>
      <c r="AG929" s="60"/>
      <c r="AH929" s="47" t="s">
        <v>52</v>
      </c>
      <c r="AI929" s="60">
        <v>0</v>
      </c>
      <c r="AJ929" s="60"/>
      <c r="AK929" s="60"/>
      <c r="AL929" s="60"/>
      <c r="AM929" s="60"/>
      <c r="AN929" s="47" t="s">
        <v>47</v>
      </c>
      <c r="AO929" s="60">
        <v>3020</v>
      </c>
      <c r="AP929" s="60" t="s">
        <v>53</v>
      </c>
      <c r="AQ929" s="2">
        <v>0</v>
      </c>
    </row>
    <row r="930" s="3" customFormat="1" spans="1:43">
      <c r="A930" s="12">
        <v>183901</v>
      </c>
      <c r="B930" s="44" t="s">
        <v>1191</v>
      </c>
      <c r="C930" s="12"/>
      <c r="D930" s="12"/>
      <c r="E930" s="12"/>
      <c r="F930" s="12">
        <v>0</v>
      </c>
      <c r="G930" s="12">
        <v>0</v>
      </c>
      <c r="H930" s="12" t="s">
        <v>45</v>
      </c>
      <c r="I930" s="12">
        <v>7</v>
      </c>
      <c r="J930" s="12">
        <v>0</v>
      </c>
      <c r="K930" s="12" t="s">
        <v>46</v>
      </c>
      <c r="L930" s="47" t="s">
        <v>47</v>
      </c>
      <c r="M930" s="50">
        <v>1020113</v>
      </c>
      <c r="N930" s="12">
        <v>0</v>
      </c>
      <c r="O930" s="47" t="s">
        <v>48</v>
      </c>
      <c r="P930" s="12">
        <v>0</v>
      </c>
      <c r="Q930" s="12">
        <v>544</v>
      </c>
      <c r="R930" s="12">
        <v>769</v>
      </c>
      <c r="S930" s="12">
        <v>21</v>
      </c>
      <c r="T930" s="12">
        <v>24</v>
      </c>
      <c r="U930" s="12">
        <v>3</v>
      </c>
      <c r="V930" s="12"/>
      <c r="W930" s="47" t="s">
        <v>47</v>
      </c>
      <c r="X930" s="47"/>
      <c r="Y930" s="47"/>
      <c r="Z930" s="12"/>
      <c r="AA930" s="12"/>
      <c r="AB930" s="12" t="s">
        <v>1171</v>
      </c>
      <c r="AC930" s="164">
        <v>2387</v>
      </c>
      <c r="AD930" s="12" t="s">
        <v>51</v>
      </c>
      <c r="AE930" s="12" t="s">
        <v>51</v>
      </c>
      <c r="AF930" s="12" t="s">
        <v>51</v>
      </c>
      <c r="AG930" s="12"/>
      <c r="AH930" s="47" t="s">
        <v>52</v>
      </c>
      <c r="AI930" s="12">
        <v>0</v>
      </c>
      <c r="AJ930" s="12"/>
      <c r="AK930" s="12"/>
      <c r="AL930" s="12"/>
      <c r="AM930" s="12"/>
      <c r="AN930" s="47" t="s">
        <v>47</v>
      </c>
      <c r="AO930" s="12">
        <v>3021</v>
      </c>
      <c r="AP930" s="12" t="s">
        <v>53</v>
      </c>
      <c r="AQ930" s="2">
        <v>0</v>
      </c>
    </row>
    <row r="931" s="2" customFormat="1" spans="1:43">
      <c r="A931" s="12">
        <v>183902</v>
      </c>
      <c r="B931" s="11" t="s">
        <v>1192</v>
      </c>
      <c r="C931" s="11"/>
      <c r="D931" s="11"/>
      <c r="E931" s="11"/>
      <c r="F931" s="11">
        <v>0</v>
      </c>
      <c r="G931" s="11">
        <v>0</v>
      </c>
      <c r="H931" s="11" t="s">
        <v>45</v>
      </c>
      <c r="I931" s="11">
        <v>7</v>
      </c>
      <c r="J931" s="11">
        <v>0</v>
      </c>
      <c r="K931" s="11" t="s">
        <v>46</v>
      </c>
      <c r="L931" s="47" t="s">
        <v>47</v>
      </c>
      <c r="M931" s="54">
        <v>1010167</v>
      </c>
      <c r="N931" s="11">
        <v>0</v>
      </c>
      <c r="O931" s="47" t="s">
        <v>48</v>
      </c>
      <c r="P931" s="11">
        <v>0</v>
      </c>
      <c r="Q931" s="12">
        <v>125</v>
      </c>
      <c r="R931" s="12">
        <v>1224</v>
      </c>
      <c r="S931" s="11">
        <v>50</v>
      </c>
      <c r="T931" s="11">
        <v>17</v>
      </c>
      <c r="U931" s="11">
        <v>5</v>
      </c>
      <c r="V931" s="11"/>
      <c r="W931" s="47" t="s">
        <v>47</v>
      </c>
      <c r="X931" s="47"/>
      <c r="Y931" s="47"/>
      <c r="Z931" s="11"/>
      <c r="AA931" s="11"/>
      <c r="AB931" s="11" t="s">
        <v>1171</v>
      </c>
      <c r="AC931" s="164">
        <v>2388</v>
      </c>
      <c r="AD931" s="11" t="s">
        <v>51</v>
      </c>
      <c r="AE931" s="11" t="s">
        <v>51</v>
      </c>
      <c r="AF931" s="11" t="s">
        <v>51</v>
      </c>
      <c r="AG931" s="11"/>
      <c r="AH931" s="47" t="s">
        <v>52</v>
      </c>
      <c r="AI931" s="11">
        <v>0</v>
      </c>
      <c r="AJ931" s="11"/>
      <c r="AK931" s="11"/>
      <c r="AL931" s="11"/>
      <c r="AM931" s="11"/>
      <c r="AN931" s="47" t="s">
        <v>47</v>
      </c>
      <c r="AO931" s="11">
        <v>3022</v>
      </c>
      <c r="AP931" s="11" t="s">
        <v>53</v>
      </c>
      <c r="AQ931" s="2">
        <v>0</v>
      </c>
    </row>
    <row r="932" s="3" customFormat="1" spans="1:43">
      <c r="A932" s="12">
        <v>183903</v>
      </c>
      <c r="B932" s="44" t="s">
        <v>1193</v>
      </c>
      <c r="C932" s="12"/>
      <c r="D932" s="12"/>
      <c r="E932" s="12"/>
      <c r="F932" s="12">
        <v>0</v>
      </c>
      <c r="G932" s="12">
        <v>0</v>
      </c>
      <c r="H932" s="12" t="s">
        <v>45</v>
      </c>
      <c r="I932" s="12">
        <v>7</v>
      </c>
      <c r="J932" s="12">
        <v>0</v>
      </c>
      <c r="K932" s="12" t="s">
        <v>46</v>
      </c>
      <c r="L932" s="47" t="s">
        <v>47</v>
      </c>
      <c r="M932" s="50">
        <v>1000105</v>
      </c>
      <c r="N932" s="12">
        <v>0</v>
      </c>
      <c r="O932" s="47" t="s">
        <v>48</v>
      </c>
      <c r="P932" s="12">
        <v>0</v>
      </c>
      <c r="Q932" s="12">
        <v>1139</v>
      </c>
      <c r="R932" s="12">
        <v>1423</v>
      </c>
      <c r="S932" s="12">
        <v>61</v>
      </c>
      <c r="T932" s="12">
        <v>62</v>
      </c>
      <c r="U932" s="12">
        <v>1</v>
      </c>
      <c r="V932" s="12"/>
      <c r="W932" s="47" t="s">
        <v>47</v>
      </c>
      <c r="X932" s="47"/>
      <c r="Y932" s="47"/>
      <c r="Z932" s="12"/>
      <c r="AA932" s="12"/>
      <c r="AB932" s="12" t="s">
        <v>1171</v>
      </c>
      <c r="AC932" s="164">
        <v>2389</v>
      </c>
      <c r="AD932" s="12" t="s">
        <v>51</v>
      </c>
      <c r="AE932" s="12" t="s">
        <v>51</v>
      </c>
      <c r="AF932" s="12" t="s">
        <v>51</v>
      </c>
      <c r="AG932" s="12"/>
      <c r="AH932" s="47" t="s">
        <v>52</v>
      </c>
      <c r="AI932" s="12">
        <v>0</v>
      </c>
      <c r="AJ932" s="12"/>
      <c r="AK932" s="12"/>
      <c r="AL932" s="12"/>
      <c r="AM932" s="12"/>
      <c r="AN932" s="47" t="s">
        <v>47</v>
      </c>
      <c r="AO932" s="12">
        <v>3023</v>
      </c>
      <c r="AP932" s="12" t="s">
        <v>53</v>
      </c>
      <c r="AQ932" s="2">
        <v>0</v>
      </c>
    </row>
    <row r="933" s="2" customFormat="1" spans="1:43">
      <c r="A933" s="12">
        <v>183904</v>
      </c>
      <c r="B933" s="11" t="s">
        <v>1194</v>
      </c>
      <c r="C933" s="11"/>
      <c r="D933" s="11"/>
      <c r="E933" s="11"/>
      <c r="F933" s="11">
        <v>0</v>
      </c>
      <c r="G933" s="11">
        <v>0</v>
      </c>
      <c r="H933" s="11" t="s">
        <v>45</v>
      </c>
      <c r="I933" s="11">
        <v>7</v>
      </c>
      <c r="J933" s="11">
        <v>0</v>
      </c>
      <c r="K933" s="11" t="s">
        <v>46</v>
      </c>
      <c r="L933" s="47" t="s">
        <v>47</v>
      </c>
      <c r="M933" s="54" t="s">
        <v>378</v>
      </c>
      <c r="N933" s="11">
        <v>0</v>
      </c>
      <c r="O933" s="47" t="s">
        <v>48</v>
      </c>
      <c r="P933" s="11">
        <v>0</v>
      </c>
      <c r="Q933" s="12">
        <v>1301</v>
      </c>
      <c r="R933" s="12">
        <v>607</v>
      </c>
      <c r="S933" s="11">
        <v>86</v>
      </c>
      <c r="T933" s="11">
        <v>45</v>
      </c>
      <c r="U933" s="11">
        <v>7</v>
      </c>
      <c r="V933" s="11"/>
      <c r="W933" s="47" t="s">
        <v>47</v>
      </c>
      <c r="X933" s="47"/>
      <c r="Y933" s="47"/>
      <c r="Z933" s="11"/>
      <c r="AA933" s="11"/>
      <c r="AB933" s="11" t="s">
        <v>1171</v>
      </c>
      <c r="AC933" s="164">
        <v>2390</v>
      </c>
      <c r="AD933" s="11" t="s">
        <v>51</v>
      </c>
      <c r="AE933" s="11" t="s">
        <v>51</v>
      </c>
      <c r="AF933" s="11" t="s">
        <v>51</v>
      </c>
      <c r="AG933" s="11"/>
      <c r="AH933" s="47" t="s">
        <v>52</v>
      </c>
      <c r="AI933" s="11">
        <v>0</v>
      </c>
      <c r="AJ933" s="11"/>
      <c r="AK933" s="11"/>
      <c r="AL933" s="11"/>
      <c r="AM933" s="11"/>
      <c r="AN933" s="47" t="s">
        <v>47</v>
      </c>
      <c r="AO933" s="11">
        <v>3024</v>
      </c>
      <c r="AP933" s="11" t="s">
        <v>53</v>
      </c>
      <c r="AQ933" s="2">
        <v>0</v>
      </c>
    </row>
    <row r="934" s="8" customFormat="1" ht="12.75" spans="1:43">
      <c r="A934" s="60">
        <v>183905</v>
      </c>
      <c r="B934" s="60" t="s">
        <v>1195</v>
      </c>
      <c r="C934" s="60"/>
      <c r="D934" s="60"/>
      <c r="E934" s="60"/>
      <c r="F934" s="60">
        <v>0</v>
      </c>
      <c r="G934" s="60">
        <v>0</v>
      </c>
      <c r="H934" s="60">
        <v>1.35</v>
      </c>
      <c r="I934" s="60">
        <v>7</v>
      </c>
      <c r="J934" s="60">
        <v>0</v>
      </c>
      <c r="K934" s="60" t="s">
        <v>46</v>
      </c>
      <c r="L934" s="47" t="s">
        <v>47</v>
      </c>
      <c r="M934" s="54">
        <v>1010134</v>
      </c>
      <c r="N934" s="60">
        <v>0</v>
      </c>
      <c r="O934" s="47" t="s">
        <v>48</v>
      </c>
      <c r="P934" s="60">
        <v>0</v>
      </c>
      <c r="Q934" s="60">
        <v>696</v>
      </c>
      <c r="R934" s="60">
        <v>217</v>
      </c>
      <c r="S934" s="60">
        <v>100</v>
      </c>
      <c r="T934" s="60">
        <v>32</v>
      </c>
      <c r="U934" s="60">
        <v>5</v>
      </c>
      <c r="V934" s="60"/>
      <c r="W934" s="47" t="s">
        <v>47</v>
      </c>
      <c r="X934" s="47"/>
      <c r="Y934" s="47"/>
      <c r="Z934" s="60"/>
      <c r="AA934" s="60"/>
      <c r="AB934" s="60" t="s">
        <v>1171</v>
      </c>
      <c r="AC934" s="60">
        <v>2359</v>
      </c>
      <c r="AD934" s="60" t="s">
        <v>51</v>
      </c>
      <c r="AE934" s="60" t="s">
        <v>51</v>
      </c>
      <c r="AF934" s="60" t="s">
        <v>51</v>
      </c>
      <c r="AG934" s="60"/>
      <c r="AH934" s="47" t="s">
        <v>52</v>
      </c>
      <c r="AI934" s="60">
        <v>0</v>
      </c>
      <c r="AJ934" s="60"/>
      <c r="AK934" s="60"/>
      <c r="AL934" s="60"/>
      <c r="AM934" s="60"/>
      <c r="AN934" s="47" t="s">
        <v>47</v>
      </c>
      <c r="AO934" s="60">
        <v>3025</v>
      </c>
      <c r="AP934" s="60" t="s">
        <v>53</v>
      </c>
      <c r="AQ934" s="2">
        <v>0</v>
      </c>
    </row>
    <row r="935" s="2" customFormat="1" spans="1:43">
      <c r="A935" s="11">
        <v>182501</v>
      </c>
      <c r="B935" s="161" t="s">
        <v>1196</v>
      </c>
      <c r="C935" s="11"/>
      <c r="D935" s="11"/>
      <c r="E935" s="11"/>
      <c r="F935" s="11">
        <v>0</v>
      </c>
      <c r="G935" s="11">
        <v>0</v>
      </c>
      <c r="H935" s="11" t="s">
        <v>45</v>
      </c>
      <c r="I935" s="11">
        <v>7</v>
      </c>
      <c r="J935" s="11">
        <v>0</v>
      </c>
      <c r="K935" s="11" t="s">
        <v>46</v>
      </c>
      <c r="L935" s="47" t="s">
        <v>47</v>
      </c>
      <c r="M935" s="54">
        <v>1010128</v>
      </c>
      <c r="N935" s="11">
        <v>0</v>
      </c>
      <c r="O935" s="47" t="s">
        <v>48</v>
      </c>
      <c r="P935" s="11">
        <v>0</v>
      </c>
      <c r="Q935" s="60">
        <v>376</v>
      </c>
      <c r="R935" s="60">
        <v>415</v>
      </c>
      <c r="S935" s="12">
        <v>16</v>
      </c>
      <c r="T935" s="12">
        <v>31</v>
      </c>
      <c r="U935" s="12">
        <v>3</v>
      </c>
      <c r="V935" s="12"/>
      <c r="W935" s="47" t="s">
        <v>47</v>
      </c>
      <c r="X935" s="47"/>
      <c r="Y935" s="47"/>
      <c r="Z935" s="11"/>
      <c r="AA935" s="11"/>
      <c r="AB935" s="11" t="s">
        <v>1197</v>
      </c>
      <c r="AC935" s="11">
        <v>2594</v>
      </c>
      <c r="AD935" s="11" t="s">
        <v>51</v>
      </c>
      <c r="AE935" s="11" t="s">
        <v>51</v>
      </c>
      <c r="AF935" s="11" t="s">
        <v>51</v>
      </c>
      <c r="AG935" s="11"/>
      <c r="AH935" s="47" t="s">
        <v>52</v>
      </c>
      <c r="AI935" s="11">
        <v>0</v>
      </c>
      <c r="AJ935" s="11"/>
      <c r="AK935" s="11"/>
      <c r="AL935" s="11"/>
      <c r="AM935" s="11"/>
      <c r="AN935" s="47" t="s">
        <v>47</v>
      </c>
      <c r="AO935" s="11">
        <v>3026</v>
      </c>
      <c r="AP935" s="11" t="s">
        <v>53</v>
      </c>
      <c r="AQ935" s="2">
        <v>0</v>
      </c>
    </row>
    <row r="936" s="3" customFormat="1" spans="1:43">
      <c r="A936" s="12">
        <v>182502</v>
      </c>
      <c r="B936" s="161" t="s">
        <v>1198</v>
      </c>
      <c r="C936" s="12"/>
      <c r="D936" s="12"/>
      <c r="E936" s="12"/>
      <c r="F936" s="12">
        <v>0</v>
      </c>
      <c r="G936" s="12">
        <v>0</v>
      </c>
      <c r="H936" s="12" t="s">
        <v>45</v>
      </c>
      <c r="I936" s="12">
        <v>7</v>
      </c>
      <c r="J936" s="12">
        <v>0</v>
      </c>
      <c r="K936" s="12" t="s">
        <v>46</v>
      </c>
      <c r="L936" s="47" t="s">
        <v>47</v>
      </c>
      <c r="M936" s="54">
        <v>1010129</v>
      </c>
      <c r="N936" s="12">
        <v>0</v>
      </c>
      <c r="O936" s="47" t="s">
        <v>48</v>
      </c>
      <c r="P936" s="12">
        <v>0</v>
      </c>
      <c r="Q936" s="60">
        <v>242</v>
      </c>
      <c r="R936" s="60">
        <v>817</v>
      </c>
      <c r="S936" s="12">
        <v>47</v>
      </c>
      <c r="T936" s="12">
        <v>31</v>
      </c>
      <c r="U936" s="11">
        <v>5</v>
      </c>
      <c r="V936" s="11"/>
      <c r="W936" s="47" t="s">
        <v>47</v>
      </c>
      <c r="X936" s="47"/>
      <c r="Y936" s="47"/>
      <c r="Z936" s="12"/>
      <c r="AA936" s="12"/>
      <c r="AB936" s="12" t="s">
        <v>1197</v>
      </c>
      <c r="AC936" s="12" t="s">
        <v>51</v>
      </c>
      <c r="AD936" s="12" t="s">
        <v>51</v>
      </c>
      <c r="AE936" s="12" t="s">
        <v>51</v>
      </c>
      <c r="AF936" s="12" t="s">
        <v>51</v>
      </c>
      <c r="AG936" s="12"/>
      <c r="AH936" s="47" t="s">
        <v>52</v>
      </c>
      <c r="AI936" s="12">
        <v>0</v>
      </c>
      <c r="AJ936" s="12"/>
      <c r="AK936" s="12"/>
      <c r="AL936" s="12"/>
      <c r="AM936" s="12"/>
      <c r="AN936" s="47" t="s">
        <v>47</v>
      </c>
      <c r="AO936" s="12">
        <v>3027</v>
      </c>
      <c r="AP936" s="12" t="s">
        <v>53</v>
      </c>
      <c r="AQ936" s="2">
        <v>0</v>
      </c>
    </row>
    <row r="937" s="2" customFormat="1" spans="1:43">
      <c r="A937" s="11">
        <v>182503</v>
      </c>
      <c r="B937" s="161" t="s">
        <v>1199</v>
      </c>
      <c r="C937" s="11"/>
      <c r="D937" s="11"/>
      <c r="E937" s="11"/>
      <c r="F937" s="11">
        <v>0</v>
      </c>
      <c r="G937" s="11">
        <v>0</v>
      </c>
      <c r="H937" s="11" t="s">
        <v>45</v>
      </c>
      <c r="I937" s="11">
        <v>7</v>
      </c>
      <c r="J937" s="11">
        <v>0</v>
      </c>
      <c r="K937" s="11" t="s">
        <v>46</v>
      </c>
      <c r="L937" s="47" t="s">
        <v>47</v>
      </c>
      <c r="M937" s="54">
        <v>1010133</v>
      </c>
      <c r="N937" s="11">
        <v>0</v>
      </c>
      <c r="O937" s="47" t="s">
        <v>48</v>
      </c>
      <c r="P937" s="11">
        <v>0</v>
      </c>
      <c r="Q937" s="60">
        <v>621</v>
      </c>
      <c r="R937" s="60">
        <v>1065</v>
      </c>
      <c r="S937" s="12">
        <v>79</v>
      </c>
      <c r="T937" s="12">
        <v>20</v>
      </c>
      <c r="U937" s="12">
        <v>1</v>
      </c>
      <c r="V937" s="12"/>
      <c r="W937" s="47" t="s">
        <v>47</v>
      </c>
      <c r="X937" s="47"/>
      <c r="Y937" s="47"/>
      <c r="Z937" s="11"/>
      <c r="AA937" s="11"/>
      <c r="AB937" s="11" t="s">
        <v>1197</v>
      </c>
      <c r="AC937" s="11" t="s">
        <v>51</v>
      </c>
      <c r="AD937" s="11" t="s">
        <v>51</v>
      </c>
      <c r="AE937" s="11" t="s">
        <v>51</v>
      </c>
      <c r="AF937" s="11" t="s">
        <v>51</v>
      </c>
      <c r="AG937" s="11"/>
      <c r="AH937" s="47" t="s">
        <v>52</v>
      </c>
      <c r="AI937" s="11">
        <v>0</v>
      </c>
      <c r="AJ937" s="11"/>
      <c r="AK937" s="11"/>
      <c r="AL937" s="11"/>
      <c r="AM937" s="11"/>
      <c r="AN937" s="47" t="s">
        <v>47</v>
      </c>
      <c r="AO937" s="11">
        <v>3028</v>
      </c>
      <c r="AP937" s="11" t="s">
        <v>53</v>
      </c>
      <c r="AQ937" s="2">
        <v>0</v>
      </c>
    </row>
    <row r="938" s="3" customFormat="1" spans="1:43">
      <c r="A938" s="12">
        <v>182504</v>
      </c>
      <c r="B938" s="161" t="s">
        <v>1200</v>
      </c>
      <c r="C938" s="12"/>
      <c r="D938" s="12"/>
      <c r="E938" s="12"/>
      <c r="F938" s="12">
        <v>0</v>
      </c>
      <c r="G938" s="12">
        <v>0</v>
      </c>
      <c r="H938" s="12" t="s">
        <v>45</v>
      </c>
      <c r="I938" s="12">
        <v>7</v>
      </c>
      <c r="J938" s="12">
        <v>0</v>
      </c>
      <c r="K938" s="12" t="s">
        <v>46</v>
      </c>
      <c r="L938" s="47" t="s">
        <v>47</v>
      </c>
      <c r="M938" s="54" t="s">
        <v>316</v>
      </c>
      <c r="N938" s="12">
        <v>0</v>
      </c>
      <c r="O938" s="47" t="s">
        <v>48</v>
      </c>
      <c r="P938" s="12">
        <v>0</v>
      </c>
      <c r="Q938" s="60">
        <v>994</v>
      </c>
      <c r="R938" s="60">
        <v>869</v>
      </c>
      <c r="S938" s="12">
        <v>15</v>
      </c>
      <c r="T938" s="12">
        <v>73</v>
      </c>
      <c r="U938" s="11">
        <v>7</v>
      </c>
      <c r="V938" s="11"/>
      <c r="W938" s="47" t="s">
        <v>47</v>
      </c>
      <c r="X938" s="47"/>
      <c r="Y938" s="47"/>
      <c r="Z938" s="12"/>
      <c r="AA938" s="12"/>
      <c r="AB938" s="12" t="s">
        <v>1197</v>
      </c>
      <c r="AC938" s="12" t="s">
        <v>51</v>
      </c>
      <c r="AD938" s="12" t="s">
        <v>51</v>
      </c>
      <c r="AE938" s="12" t="s">
        <v>51</v>
      </c>
      <c r="AF938" s="12" t="s">
        <v>51</v>
      </c>
      <c r="AG938" s="12"/>
      <c r="AH938" s="47" t="s">
        <v>52</v>
      </c>
      <c r="AI938" s="12">
        <v>0</v>
      </c>
      <c r="AJ938" s="12"/>
      <c r="AK938" s="12"/>
      <c r="AL938" s="12"/>
      <c r="AM938" s="12"/>
      <c r="AN938" s="47" t="s">
        <v>47</v>
      </c>
      <c r="AO938" s="12">
        <v>3029</v>
      </c>
      <c r="AP938" s="12" t="s">
        <v>53</v>
      </c>
      <c r="AQ938" s="2">
        <v>0</v>
      </c>
    </row>
    <row r="939" s="8" customFormat="1" spans="1:43">
      <c r="A939" s="60">
        <v>182505</v>
      </c>
      <c r="B939" s="162" t="s">
        <v>1201</v>
      </c>
      <c r="C939" s="60"/>
      <c r="D939" s="60"/>
      <c r="E939" s="60"/>
      <c r="F939" s="60">
        <v>0</v>
      </c>
      <c r="G939" s="60">
        <v>0</v>
      </c>
      <c r="H939" s="60">
        <v>1.35</v>
      </c>
      <c r="I939" s="60">
        <v>7</v>
      </c>
      <c r="J939" s="60">
        <v>0</v>
      </c>
      <c r="K939" s="60" t="s">
        <v>46</v>
      </c>
      <c r="L939" s="47" t="s">
        <v>47</v>
      </c>
      <c r="M939" s="54" t="s">
        <v>412</v>
      </c>
      <c r="N939" s="60">
        <v>0</v>
      </c>
      <c r="O939" s="47" t="s">
        <v>48</v>
      </c>
      <c r="P939" s="60">
        <v>0</v>
      </c>
      <c r="Q939" s="60">
        <v>1386</v>
      </c>
      <c r="R939" s="60">
        <v>1258</v>
      </c>
      <c r="S939" s="12">
        <v>82</v>
      </c>
      <c r="T939" s="12">
        <v>77</v>
      </c>
      <c r="U939" s="60">
        <v>5</v>
      </c>
      <c r="V939" s="60"/>
      <c r="W939" s="47" t="s">
        <v>47</v>
      </c>
      <c r="X939" s="47"/>
      <c r="Y939" s="47"/>
      <c r="Z939" s="60"/>
      <c r="AA939" s="60"/>
      <c r="AB939" s="60" t="s">
        <v>1197</v>
      </c>
      <c r="AC939" s="60">
        <v>2595</v>
      </c>
      <c r="AD939" s="60" t="s">
        <v>51</v>
      </c>
      <c r="AE939" s="60" t="s">
        <v>51</v>
      </c>
      <c r="AF939" s="60" t="s">
        <v>51</v>
      </c>
      <c r="AG939" s="60"/>
      <c r="AH939" s="47" t="s">
        <v>52</v>
      </c>
      <c r="AI939" s="60">
        <v>0</v>
      </c>
      <c r="AJ939" s="60"/>
      <c r="AK939" s="60"/>
      <c r="AL939" s="60"/>
      <c r="AM939" s="60"/>
      <c r="AN939" s="47" t="s">
        <v>47</v>
      </c>
      <c r="AO939" s="60">
        <v>3030</v>
      </c>
      <c r="AP939" s="60" t="s">
        <v>53</v>
      </c>
      <c r="AQ939" s="2">
        <v>0</v>
      </c>
    </row>
    <row r="940" s="3" customFormat="1" spans="1:43">
      <c r="A940" s="12">
        <v>182601</v>
      </c>
      <c r="B940" s="161" t="s">
        <v>1202</v>
      </c>
      <c r="C940" s="12"/>
      <c r="D940" s="12"/>
      <c r="E940" s="12"/>
      <c r="F940" s="12">
        <v>0</v>
      </c>
      <c r="G940" s="12">
        <v>0</v>
      </c>
      <c r="H940" s="12" t="s">
        <v>45</v>
      </c>
      <c r="I940" s="12">
        <v>7</v>
      </c>
      <c r="J940" s="12">
        <v>0</v>
      </c>
      <c r="K940" s="12" t="s">
        <v>46</v>
      </c>
      <c r="L940" s="47" t="s">
        <v>47</v>
      </c>
      <c r="M940" s="54" t="s">
        <v>594</v>
      </c>
      <c r="N940" s="12">
        <v>0</v>
      </c>
      <c r="O940" s="47" t="s">
        <v>48</v>
      </c>
      <c r="P940" s="12">
        <v>0</v>
      </c>
      <c r="Q940" s="12">
        <v>1534</v>
      </c>
      <c r="R940" s="12">
        <v>930</v>
      </c>
      <c r="S940" s="12">
        <v>37</v>
      </c>
      <c r="T940" s="12">
        <v>49</v>
      </c>
      <c r="U940" s="11">
        <v>1</v>
      </c>
      <c r="V940" s="11"/>
      <c r="W940" s="47" t="s">
        <v>47</v>
      </c>
      <c r="X940" s="47"/>
      <c r="Y940" s="47"/>
      <c r="Z940" s="12"/>
      <c r="AA940" s="12"/>
      <c r="AB940" s="12" t="s">
        <v>1197</v>
      </c>
      <c r="AC940" s="60">
        <v>2596</v>
      </c>
      <c r="AD940" s="12" t="s">
        <v>51</v>
      </c>
      <c r="AE940" s="12" t="s">
        <v>51</v>
      </c>
      <c r="AF940" s="12" t="s">
        <v>51</v>
      </c>
      <c r="AG940" s="12"/>
      <c r="AH940" s="47" t="s">
        <v>52</v>
      </c>
      <c r="AI940" s="12">
        <v>0</v>
      </c>
      <c r="AJ940" s="12"/>
      <c r="AK940" s="12"/>
      <c r="AL940" s="12"/>
      <c r="AM940" s="12"/>
      <c r="AN940" s="47" t="s">
        <v>47</v>
      </c>
      <c r="AO940" s="12">
        <v>3031</v>
      </c>
      <c r="AP940" s="12" t="s">
        <v>53</v>
      </c>
      <c r="AQ940" s="2">
        <v>0</v>
      </c>
    </row>
    <row r="941" s="2" customFormat="1" spans="1:43">
      <c r="A941" s="11">
        <v>182602</v>
      </c>
      <c r="B941" s="161" t="s">
        <v>1203</v>
      </c>
      <c r="C941" s="11"/>
      <c r="D941" s="11"/>
      <c r="E941" s="11"/>
      <c r="F941" s="11">
        <v>0</v>
      </c>
      <c r="G941" s="11">
        <v>0</v>
      </c>
      <c r="H941" s="11" t="s">
        <v>45</v>
      </c>
      <c r="I941" s="11">
        <v>7</v>
      </c>
      <c r="J941" s="11">
        <v>0</v>
      </c>
      <c r="K941" s="11" t="s">
        <v>46</v>
      </c>
      <c r="L941" s="47" t="s">
        <v>47</v>
      </c>
      <c r="M941" s="50">
        <v>2010149</v>
      </c>
      <c r="N941" s="11">
        <v>0</v>
      </c>
      <c r="O941" s="47" t="s">
        <v>48</v>
      </c>
      <c r="P941" s="11">
        <v>0</v>
      </c>
      <c r="Q941" s="12">
        <v>1217</v>
      </c>
      <c r="R941" s="12">
        <v>475</v>
      </c>
      <c r="S941" s="12">
        <v>74</v>
      </c>
      <c r="T941" s="12">
        <v>68</v>
      </c>
      <c r="U941" s="12">
        <v>5</v>
      </c>
      <c r="V941" s="12"/>
      <c r="W941" s="47" t="s">
        <v>47</v>
      </c>
      <c r="X941" s="47"/>
      <c r="Y941" s="47"/>
      <c r="Z941" s="11"/>
      <c r="AA941" s="11"/>
      <c r="AB941" s="11" t="s">
        <v>1197</v>
      </c>
      <c r="AC941" s="60">
        <v>2597</v>
      </c>
      <c r="AD941" s="11" t="s">
        <v>51</v>
      </c>
      <c r="AE941" s="11" t="s">
        <v>51</v>
      </c>
      <c r="AF941" s="11" t="s">
        <v>51</v>
      </c>
      <c r="AG941" s="11"/>
      <c r="AH941" s="47" t="s">
        <v>52</v>
      </c>
      <c r="AI941" s="11">
        <v>0</v>
      </c>
      <c r="AJ941" s="11"/>
      <c r="AK941" s="11"/>
      <c r="AL941" s="11"/>
      <c r="AM941" s="11"/>
      <c r="AN941" s="47" t="s">
        <v>47</v>
      </c>
      <c r="AO941" s="11">
        <v>3032</v>
      </c>
      <c r="AP941" s="11" t="s">
        <v>53</v>
      </c>
      <c r="AQ941" s="2">
        <v>0</v>
      </c>
    </row>
    <row r="942" s="3" customFormat="1" spans="1:43">
      <c r="A942" s="12">
        <v>182603</v>
      </c>
      <c r="B942" s="161" t="s">
        <v>1204</v>
      </c>
      <c r="C942" s="12"/>
      <c r="D942" s="12"/>
      <c r="E942" s="12"/>
      <c r="F942" s="12">
        <v>1</v>
      </c>
      <c r="G942" s="12">
        <v>0</v>
      </c>
      <c r="H942" s="12" t="s">
        <v>45</v>
      </c>
      <c r="I942" s="12">
        <v>7</v>
      </c>
      <c r="J942" s="12">
        <v>0</v>
      </c>
      <c r="K942" s="12" t="s">
        <v>46</v>
      </c>
      <c r="L942" s="47" t="s">
        <v>47</v>
      </c>
      <c r="M942" s="54">
        <v>1010129</v>
      </c>
      <c r="N942" s="12">
        <v>0</v>
      </c>
      <c r="O942" s="47" t="s">
        <v>48</v>
      </c>
      <c r="P942" s="12">
        <v>0</v>
      </c>
      <c r="Q942" s="12">
        <v>1002</v>
      </c>
      <c r="R942" s="12">
        <v>949</v>
      </c>
      <c r="S942" s="12">
        <v>70</v>
      </c>
      <c r="T942" s="12">
        <v>63</v>
      </c>
      <c r="U942" s="11">
        <v>5</v>
      </c>
      <c r="V942" s="11"/>
      <c r="W942" s="47" t="s">
        <v>47</v>
      </c>
      <c r="X942" s="47"/>
      <c r="Y942" s="47"/>
      <c r="Z942" s="12"/>
      <c r="AA942" s="12"/>
      <c r="AB942" s="12" t="s">
        <v>1197</v>
      </c>
      <c r="AC942" s="60">
        <v>2598</v>
      </c>
      <c r="AD942" s="12" t="s">
        <v>51</v>
      </c>
      <c r="AE942" s="12" t="s">
        <v>51</v>
      </c>
      <c r="AF942" s="12" t="s">
        <v>51</v>
      </c>
      <c r="AG942" s="12"/>
      <c r="AH942" s="47" t="s">
        <v>52</v>
      </c>
      <c r="AI942" s="12">
        <v>0</v>
      </c>
      <c r="AJ942" s="12"/>
      <c r="AK942" s="12"/>
      <c r="AL942" s="12"/>
      <c r="AM942" s="12"/>
      <c r="AN942" s="47" t="s">
        <v>47</v>
      </c>
      <c r="AO942" s="12">
        <v>3033</v>
      </c>
      <c r="AP942" s="12" t="s">
        <v>53</v>
      </c>
      <c r="AQ942" s="2">
        <v>0</v>
      </c>
    </row>
    <row r="943" s="2" customFormat="1" spans="1:43">
      <c r="A943" s="11">
        <v>182604</v>
      </c>
      <c r="B943" s="161" t="s">
        <v>1205</v>
      </c>
      <c r="C943" s="11"/>
      <c r="D943" s="11"/>
      <c r="E943" s="11"/>
      <c r="F943" s="11">
        <v>0</v>
      </c>
      <c r="G943" s="11">
        <v>0</v>
      </c>
      <c r="H943" s="11" t="s">
        <v>45</v>
      </c>
      <c r="I943" s="11">
        <v>7</v>
      </c>
      <c r="J943" s="11">
        <v>0</v>
      </c>
      <c r="K943" s="11" t="s">
        <v>46</v>
      </c>
      <c r="L943" s="47" t="s">
        <v>47</v>
      </c>
      <c r="M943" s="54" t="s">
        <v>815</v>
      </c>
      <c r="N943" s="11">
        <v>0</v>
      </c>
      <c r="O943" s="47" t="s">
        <v>48</v>
      </c>
      <c r="P943" s="11">
        <v>0</v>
      </c>
      <c r="Q943" s="12">
        <v>694</v>
      </c>
      <c r="R943" s="12">
        <v>1286</v>
      </c>
      <c r="S943" s="12">
        <v>81</v>
      </c>
      <c r="T943" s="12">
        <v>50</v>
      </c>
      <c r="U943" s="12">
        <v>3</v>
      </c>
      <c r="V943" s="12"/>
      <c r="W943" s="47" t="s">
        <v>47</v>
      </c>
      <c r="X943" s="47"/>
      <c r="Y943" s="47"/>
      <c r="Z943" s="11"/>
      <c r="AA943" s="11"/>
      <c r="AB943" s="11" t="s">
        <v>1197</v>
      </c>
      <c r="AC943" s="60">
        <v>2599</v>
      </c>
      <c r="AD943" s="11" t="s">
        <v>51</v>
      </c>
      <c r="AE943" s="11" t="s">
        <v>51</v>
      </c>
      <c r="AF943" s="11" t="s">
        <v>51</v>
      </c>
      <c r="AG943" s="11"/>
      <c r="AH943" s="47" t="s">
        <v>52</v>
      </c>
      <c r="AI943" s="11">
        <v>0</v>
      </c>
      <c r="AJ943" s="11"/>
      <c r="AK943" s="11"/>
      <c r="AL943" s="11"/>
      <c r="AM943" s="11"/>
      <c r="AN943" s="47" t="s">
        <v>47</v>
      </c>
      <c r="AO943" s="11">
        <v>3034</v>
      </c>
      <c r="AP943" s="11" t="s">
        <v>53</v>
      </c>
      <c r="AQ943" s="2">
        <v>0</v>
      </c>
    </row>
    <row r="944" s="8" customFormat="1" spans="1:43">
      <c r="A944" s="60">
        <v>182605</v>
      </c>
      <c r="B944" s="162" t="s">
        <v>1206</v>
      </c>
      <c r="C944" s="60"/>
      <c r="D944" s="60"/>
      <c r="E944" s="60"/>
      <c r="F944" s="60">
        <v>0</v>
      </c>
      <c r="G944" s="60">
        <v>0</v>
      </c>
      <c r="H944" s="60">
        <v>1.35</v>
      </c>
      <c r="I944" s="60">
        <v>7</v>
      </c>
      <c r="J944" s="60">
        <v>0</v>
      </c>
      <c r="K944" s="60" t="s">
        <v>46</v>
      </c>
      <c r="L944" s="47" t="s">
        <v>47</v>
      </c>
      <c r="M944" s="50">
        <v>1020110</v>
      </c>
      <c r="N944" s="60">
        <v>0</v>
      </c>
      <c r="O944" s="47" t="s">
        <v>48</v>
      </c>
      <c r="P944" s="60">
        <v>0</v>
      </c>
      <c r="Q944" s="60">
        <v>212</v>
      </c>
      <c r="R944" s="60">
        <v>1031</v>
      </c>
      <c r="S944" s="12">
        <v>96</v>
      </c>
      <c r="T944" s="12">
        <v>36</v>
      </c>
      <c r="U944" s="60">
        <v>3</v>
      </c>
      <c r="V944" s="60"/>
      <c r="W944" s="47" t="s">
        <v>47</v>
      </c>
      <c r="X944" s="47"/>
      <c r="Y944" s="47"/>
      <c r="Z944" s="60"/>
      <c r="AA944" s="60"/>
      <c r="AB944" s="60" t="s">
        <v>1197</v>
      </c>
      <c r="AC944" s="60">
        <v>2600</v>
      </c>
      <c r="AD944" s="60" t="s">
        <v>51</v>
      </c>
      <c r="AE944" s="60" t="s">
        <v>51</v>
      </c>
      <c r="AF944" s="60" t="s">
        <v>51</v>
      </c>
      <c r="AG944" s="60"/>
      <c r="AH944" s="47" t="s">
        <v>52</v>
      </c>
      <c r="AI944" s="60">
        <v>0</v>
      </c>
      <c r="AJ944" s="60"/>
      <c r="AK944" s="60"/>
      <c r="AL944" s="60"/>
      <c r="AM944" s="60"/>
      <c r="AN944" s="47" t="s">
        <v>47</v>
      </c>
      <c r="AO944" s="60">
        <v>3035</v>
      </c>
      <c r="AP944" s="60" t="s">
        <v>53</v>
      </c>
      <c r="AQ944" s="2">
        <v>0</v>
      </c>
    </row>
    <row r="945" s="2" customFormat="1" spans="1:43">
      <c r="A945" s="11">
        <v>182701</v>
      </c>
      <c r="B945" s="161" t="s">
        <v>1207</v>
      </c>
      <c r="C945" s="11"/>
      <c r="D945" s="11"/>
      <c r="E945" s="11"/>
      <c r="F945" s="11">
        <v>0</v>
      </c>
      <c r="G945" s="11">
        <v>0</v>
      </c>
      <c r="H945" s="11" t="s">
        <v>45</v>
      </c>
      <c r="I945" s="11">
        <v>7</v>
      </c>
      <c r="J945" s="11">
        <v>0</v>
      </c>
      <c r="K945" s="11" t="s">
        <v>46</v>
      </c>
      <c r="L945" s="47" t="s">
        <v>47</v>
      </c>
      <c r="M945" s="64">
        <v>1030005</v>
      </c>
      <c r="N945" s="11">
        <v>0</v>
      </c>
      <c r="O945" s="47" t="s">
        <v>48</v>
      </c>
      <c r="P945" s="11">
        <v>0</v>
      </c>
      <c r="Q945" s="60">
        <v>376</v>
      </c>
      <c r="R945" s="60">
        <v>415</v>
      </c>
      <c r="S945" s="12">
        <v>37</v>
      </c>
      <c r="T945" s="12">
        <v>49</v>
      </c>
      <c r="U945" s="12">
        <v>3</v>
      </c>
      <c r="V945" s="12"/>
      <c r="W945" s="47" t="s">
        <v>47</v>
      </c>
      <c r="X945" s="47"/>
      <c r="Y945" s="47"/>
      <c r="Z945" s="11"/>
      <c r="AA945" s="11"/>
      <c r="AB945" s="11" t="s">
        <v>1197</v>
      </c>
      <c r="AC945" s="60">
        <v>2601</v>
      </c>
      <c r="AD945" s="11" t="s">
        <v>51</v>
      </c>
      <c r="AE945" s="11" t="s">
        <v>51</v>
      </c>
      <c r="AF945" s="11" t="s">
        <v>51</v>
      </c>
      <c r="AG945" s="11"/>
      <c r="AH945" s="47" t="s">
        <v>52</v>
      </c>
      <c r="AI945" s="11">
        <v>0</v>
      </c>
      <c r="AJ945" s="11"/>
      <c r="AK945" s="11"/>
      <c r="AL945" s="11"/>
      <c r="AM945" s="11"/>
      <c r="AN945" s="47" t="s">
        <v>47</v>
      </c>
      <c r="AO945" s="11">
        <v>3036</v>
      </c>
      <c r="AP945" s="11" t="s">
        <v>53</v>
      </c>
      <c r="AQ945" s="2">
        <v>0</v>
      </c>
    </row>
    <row r="946" s="3" customFormat="1" spans="1:43">
      <c r="A946" s="12">
        <v>182702</v>
      </c>
      <c r="B946" s="161" t="s">
        <v>1208</v>
      </c>
      <c r="C946" s="12"/>
      <c r="D946" s="12"/>
      <c r="E946" s="12"/>
      <c r="F946" s="12">
        <v>0</v>
      </c>
      <c r="G946" s="12">
        <v>0</v>
      </c>
      <c r="H946" s="12" t="s">
        <v>45</v>
      </c>
      <c r="I946" s="12">
        <v>7</v>
      </c>
      <c r="J946" s="12">
        <v>0</v>
      </c>
      <c r="K946" s="12" t="s">
        <v>46</v>
      </c>
      <c r="L946" s="47" t="s">
        <v>47</v>
      </c>
      <c r="M946" s="64">
        <v>1030004</v>
      </c>
      <c r="N946" s="12">
        <v>0</v>
      </c>
      <c r="O946" s="47" t="s">
        <v>48</v>
      </c>
      <c r="P946" s="12">
        <v>0</v>
      </c>
      <c r="Q946" s="60">
        <v>242</v>
      </c>
      <c r="R946" s="60">
        <v>817</v>
      </c>
      <c r="S946" s="12">
        <v>57</v>
      </c>
      <c r="T946" s="12">
        <v>49</v>
      </c>
      <c r="U946" s="11">
        <v>5</v>
      </c>
      <c r="V946" s="11"/>
      <c r="W946" s="47" t="s">
        <v>47</v>
      </c>
      <c r="X946" s="47"/>
      <c r="Y946" s="47"/>
      <c r="Z946" s="12"/>
      <c r="AA946" s="12"/>
      <c r="AB946" s="12" t="s">
        <v>1197</v>
      </c>
      <c r="AC946" s="60">
        <v>2602</v>
      </c>
      <c r="AD946" s="12" t="s">
        <v>51</v>
      </c>
      <c r="AE946" s="12" t="s">
        <v>51</v>
      </c>
      <c r="AF946" s="12" t="s">
        <v>51</v>
      </c>
      <c r="AG946" s="12"/>
      <c r="AH946" s="47" t="s">
        <v>52</v>
      </c>
      <c r="AI946" s="12">
        <v>0</v>
      </c>
      <c r="AJ946" s="12"/>
      <c r="AK946" s="12"/>
      <c r="AL946" s="12"/>
      <c r="AM946" s="12"/>
      <c r="AN946" s="47" t="s">
        <v>47</v>
      </c>
      <c r="AO946" s="12">
        <v>3037</v>
      </c>
      <c r="AP946" s="12" t="s">
        <v>53</v>
      </c>
      <c r="AQ946" s="2">
        <v>0</v>
      </c>
    </row>
    <row r="947" s="2" customFormat="1" spans="1:43">
      <c r="A947" s="11">
        <v>182703</v>
      </c>
      <c r="B947" s="161" t="s">
        <v>1209</v>
      </c>
      <c r="C947" s="11"/>
      <c r="D947" s="11"/>
      <c r="E947" s="11"/>
      <c r="F947" s="11">
        <v>0</v>
      </c>
      <c r="G947" s="11">
        <v>0</v>
      </c>
      <c r="H947" s="11" t="s">
        <v>45</v>
      </c>
      <c r="I947" s="11">
        <v>7</v>
      </c>
      <c r="J947" s="11">
        <v>0</v>
      </c>
      <c r="K947" s="11" t="s">
        <v>46</v>
      </c>
      <c r="L947" s="47" t="s">
        <v>47</v>
      </c>
      <c r="M947" s="50">
        <v>2010171</v>
      </c>
      <c r="N947" s="11">
        <v>0</v>
      </c>
      <c r="O947" s="47" t="s">
        <v>48</v>
      </c>
      <c r="P947" s="11">
        <v>0</v>
      </c>
      <c r="Q947" s="60">
        <v>621</v>
      </c>
      <c r="R947" s="60">
        <v>1065</v>
      </c>
      <c r="S947" s="12">
        <v>70</v>
      </c>
      <c r="T947" s="12">
        <v>63</v>
      </c>
      <c r="U947" s="12">
        <v>1</v>
      </c>
      <c r="V947" s="12"/>
      <c r="W947" s="47" t="s">
        <v>47</v>
      </c>
      <c r="X947" s="47"/>
      <c r="Y947" s="47"/>
      <c r="Z947" s="11"/>
      <c r="AA947" s="11"/>
      <c r="AB947" s="11" t="s">
        <v>1197</v>
      </c>
      <c r="AC947" s="60">
        <v>2603</v>
      </c>
      <c r="AD947" s="11" t="s">
        <v>51</v>
      </c>
      <c r="AE947" s="11" t="s">
        <v>51</v>
      </c>
      <c r="AF947" s="11" t="s">
        <v>51</v>
      </c>
      <c r="AG947" s="11"/>
      <c r="AH947" s="47" t="s">
        <v>52</v>
      </c>
      <c r="AI947" s="11">
        <v>0</v>
      </c>
      <c r="AJ947" s="11"/>
      <c r="AK947" s="11"/>
      <c r="AL947" s="11"/>
      <c r="AM947" s="11"/>
      <c r="AN947" s="47" t="s">
        <v>47</v>
      </c>
      <c r="AO947" s="11">
        <v>3038</v>
      </c>
      <c r="AP947" s="11" t="s">
        <v>53</v>
      </c>
      <c r="AQ947" s="2">
        <v>0</v>
      </c>
    </row>
    <row r="948" s="3" customFormat="1" spans="1:43">
      <c r="A948" s="12">
        <v>182704</v>
      </c>
      <c r="B948" s="161" t="s">
        <v>1210</v>
      </c>
      <c r="C948" s="12"/>
      <c r="D948" s="12"/>
      <c r="E948" s="12"/>
      <c r="F948" s="12">
        <v>0</v>
      </c>
      <c r="G948" s="12">
        <v>0</v>
      </c>
      <c r="H948" s="12" t="s">
        <v>45</v>
      </c>
      <c r="I948" s="12">
        <v>7</v>
      </c>
      <c r="J948" s="12">
        <v>0</v>
      </c>
      <c r="K948" s="12" t="s">
        <v>46</v>
      </c>
      <c r="L948" s="47" t="s">
        <v>47</v>
      </c>
      <c r="M948" s="50">
        <v>1020120</v>
      </c>
      <c r="N948" s="12">
        <v>0</v>
      </c>
      <c r="O948" s="47" t="s">
        <v>48</v>
      </c>
      <c r="P948" s="12">
        <v>0</v>
      </c>
      <c r="Q948" s="60">
        <v>994</v>
      </c>
      <c r="R948" s="60">
        <v>869</v>
      </c>
      <c r="S948" s="12">
        <v>81</v>
      </c>
      <c r="T948" s="12">
        <v>50</v>
      </c>
      <c r="U948" s="11">
        <v>7</v>
      </c>
      <c r="V948" s="11"/>
      <c r="W948" s="47" t="s">
        <v>47</v>
      </c>
      <c r="X948" s="47"/>
      <c r="Y948" s="47"/>
      <c r="Z948" s="12"/>
      <c r="AA948" s="12"/>
      <c r="AB948" s="12" t="s">
        <v>1197</v>
      </c>
      <c r="AC948" s="60">
        <v>2604</v>
      </c>
      <c r="AD948" s="12" t="s">
        <v>51</v>
      </c>
      <c r="AE948" s="12" t="s">
        <v>51</v>
      </c>
      <c r="AF948" s="12" t="s">
        <v>51</v>
      </c>
      <c r="AG948" s="12"/>
      <c r="AH948" s="47" t="s">
        <v>52</v>
      </c>
      <c r="AI948" s="12">
        <v>0</v>
      </c>
      <c r="AJ948" s="12"/>
      <c r="AK948" s="12"/>
      <c r="AL948" s="12"/>
      <c r="AM948" s="12"/>
      <c r="AN948" s="47" t="s">
        <v>47</v>
      </c>
      <c r="AO948" s="12">
        <v>3039</v>
      </c>
      <c r="AP948" s="12" t="s">
        <v>53</v>
      </c>
      <c r="AQ948" s="2">
        <v>0</v>
      </c>
    </row>
    <row r="949" s="8" customFormat="1" spans="1:43">
      <c r="A949" s="60">
        <v>182705</v>
      </c>
      <c r="B949" s="163" t="s">
        <v>1211</v>
      </c>
      <c r="C949" s="60"/>
      <c r="D949" s="60"/>
      <c r="E949" s="60"/>
      <c r="F949" s="60">
        <v>0</v>
      </c>
      <c r="G949" s="60">
        <v>0</v>
      </c>
      <c r="H949" s="60">
        <v>1.35</v>
      </c>
      <c r="I949" s="60">
        <v>7</v>
      </c>
      <c r="J949" s="60">
        <v>0</v>
      </c>
      <c r="K949" s="60" t="s">
        <v>46</v>
      </c>
      <c r="L949" s="47" t="s">
        <v>47</v>
      </c>
      <c r="M949" s="50">
        <v>1020121</v>
      </c>
      <c r="N949" s="60">
        <v>0</v>
      </c>
      <c r="O949" s="47" t="s">
        <v>48</v>
      </c>
      <c r="P949" s="60">
        <v>0</v>
      </c>
      <c r="Q949" s="60">
        <v>1386</v>
      </c>
      <c r="R949" s="60">
        <v>1258</v>
      </c>
      <c r="S949" s="12">
        <v>96</v>
      </c>
      <c r="T949" s="12">
        <v>36</v>
      </c>
      <c r="U949" s="60">
        <v>5</v>
      </c>
      <c r="V949" s="60"/>
      <c r="W949" s="47" t="s">
        <v>47</v>
      </c>
      <c r="X949" s="47"/>
      <c r="Y949" s="47"/>
      <c r="Z949" s="60"/>
      <c r="AA949" s="60"/>
      <c r="AB949" s="60" t="s">
        <v>1197</v>
      </c>
      <c r="AC949" s="60">
        <v>2605</v>
      </c>
      <c r="AD949" s="60" t="s">
        <v>51</v>
      </c>
      <c r="AE949" s="60" t="s">
        <v>51</v>
      </c>
      <c r="AF949" s="60" t="s">
        <v>51</v>
      </c>
      <c r="AG949" s="60"/>
      <c r="AH949" s="47" t="s">
        <v>52</v>
      </c>
      <c r="AI949" s="60">
        <v>0</v>
      </c>
      <c r="AJ949" s="60"/>
      <c r="AK949" s="60"/>
      <c r="AL949" s="60"/>
      <c r="AM949" s="60"/>
      <c r="AN949" s="47" t="s">
        <v>47</v>
      </c>
      <c r="AO949" s="60">
        <v>3040</v>
      </c>
      <c r="AP949" s="60" t="s">
        <v>53</v>
      </c>
      <c r="AQ949" s="2">
        <v>0</v>
      </c>
    </row>
    <row r="950" s="3" customFormat="1" spans="1:43">
      <c r="A950" s="12">
        <v>182801</v>
      </c>
      <c r="B950" s="161" t="s">
        <v>1212</v>
      </c>
      <c r="C950" s="12"/>
      <c r="D950" s="12"/>
      <c r="E950" s="12"/>
      <c r="F950" s="12">
        <v>0</v>
      </c>
      <c r="G950" s="12">
        <v>0</v>
      </c>
      <c r="H950" s="12" t="s">
        <v>45</v>
      </c>
      <c r="I950" s="12">
        <v>7</v>
      </c>
      <c r="J950" s="12">
        <v>0</v>
      </c>
      <c r="K950" s="12" t="s">
        <v>46</v>
      </c>
      <c r="L950" s="47" t="s">
        <v>47</v>
      </c>
      <c r="M950" s="50">
        <v>1020116</v>
      </c>
      <c r="N950" s="12">
        <v>0</v>
      </c>
      <c r="O950" s="47" t="s">
        <v>48</v>
      </c>
      <c r="P950" s="12">
        <v>0</v>
      </c>
      <c r="Q950" s="12">
        <v>1534</v>
      </c>
      <c r="R950" s="12">
        <v>930</v>
      </c>
      <c r="S950" s="12">
        <v>37</v>
      </c>
      <c r="T950" s="12">
        <v>49</v>
      </c>
      <c r="U950" s="11">
        <v>1</v>
      </c>
      <c r="V950" s="11"/>
      <c r="W950" s="47" t="s">
        <v>47</v>
      </c>
      <c r="X950" s="47"/>
      <c r="Y950" s="47"/>
      <c r="Z950" s="12"/>
      <c r="AA950" s="12"/>
      <c r="AB950" s="12" t="s">
        <v>1197</v>
      </c>
      <c r="AC950" s="60">
        <v>2606</v>
      </c>
      <c r="AD950" s="12" t="s">
        <v>51</v>
      </c>
      <c r="AE950" s="12" t="s">
        <v>51</v>
      </c>
      <c r="AF950" s="12" t="s">
        <v>51</v>
      </c>
      <c r="AG950" s="12"/>
      <c r="AH950" s="47" t="s">
        <v>52</v>
      </c>
      <c r="AI950" s="12">
        <v>0</v>
      </c>
      <c r="AJ950" s="12"/>
      <c r="AK950" s="12"/>
      <c r="AL950" s="12"/>
      <c r="AM950" s="12"/>
      <c r="AN950" s="47" t="s">
        <v>47</v>
      </c>
      <c r="AO950" s="12">
        <v>3041</v>
      </c>
      <c r="AP950" s="12" t="s">
        <v>53</v>
      </c>
      <c r="AQ950" s="2">
        <v>0</v>
      </c>
    </row>
    <row r="951" s="2" customFormat="1" spans="1:43">
      <c r="A951" s="11">
        <v>182802</v>
      </c>
      <c r="B951" s="161" t="s">
        <v>1213</v>
      </c>
      <c r="C951" s="11"/>
      <c r="D951" s="11"/>
      <c r="E951" s="11"/>
      <c r="F951" s="11">
        <v>0</v>
      </c>
      <c r="G951" s="11">
        <v>0</v>
      </c>
      <c r="H951" s="11" t="s">
        <v>45</v>
      </c>
      <c r="I951" s="11">
        <v>7</v>
      </c>
      <c r="J951" s="11">
        <v>0</v>
      </c>
      <c r="K951" s="11" t="s">
        <v>46</v>
      </c>
      <c r="L951" s="47" t="s">
        <v>47</v>
      </c>
      <c r="M951" s="50">
        <v>1020134</v>
      </c>
      <c r="N951" s="11">
        <v>0</v>
      </c>
      <c r="O951" s="47" t="s">
        <v>48</v>
      </c>
      <c r="P951" s="11">
        <v>0</v>
      </c>
      <c r="Q951" s="12">
        <v>1217</v>
      </c>
      <c r="R951" s="12">
        <v>475</v>
      </c>
      <c r="S951" s="12">
        <v>57</v>
      </c>
      <c r="T951" s="12">
        <v>49</v>
      </c>
      <c r="U951" s="12">
        <v>5</v>
      </c>
      <c r="V951" s="12"/>
      <c r="W951" s="47" t="s">
        <v>47</v>
      </c>
      <c r="X951" s="47"/>
      <c r="Y951" s="47"/>
      <c r="Z951" s="11"/>
      <c r="AA951" s="11"/>
      <c r="AB951" s="11" t="s">
        <v>1197</v>
      </c>
      <c r="AC951" s="60">
        <v>2607</v>
      </c>
      <c r="AD951" s="11" t="s">
        <v>51</v>
      </c>
      <c r="AE951" s="11" t="s">
        <v>51</v>
      </c>
      <c r="AF951" s="11" t="s">
        <v>51</v>
      </c>
      <c r="AG951" s="11"/>
      <c r="AH951" s="47" t="s">
        <v>52</v>
      </c>
      <c r="AI951" s="11">
        <v>0</v>
      </c>
      <c r="AJ951" s="11"/>
      <c r="AK951" s="11"/>
      <c r="AL951" s="11"/>
      <c r="AM951" s="11"/>
      <c r="AN951" s="47" t="s">
        <v>47</v>
      </c>
      <c r="AO951" s="11">
        <v>3042</v>
      </c>
      <c r="AP951" s="11" t="s">
        <v>53</v>
      </c>
      <c r="AQ951" s="2">
        <v>0</v>
      </c>
    </row>
    <row r="952" s="3" customFormat="1" spans="1:43">
      <c r="A952" s="12">
        <v>182803</v>
      </c>
      <c r="B952" s="161" t="s">
        <v>1214</v>
      </c>
      <c r="C952" s="12"/>
      <c r="D952" s="12"/>
      <c r="E952" s="12"/>
      <c r="F952" s="12">
        <v>0</v>
      </c>
      <c r="G952" s="12">
        <v>0</v>
      </c>
      <c r="H952" s="12" t="s">
        <v>45</v>
      </c>
      <c r="I952" s="12">
        <v>7</v>
      </c>
      <c r="J952" s="12">
        <v>0</v>
      </c>
      <c r="K952" s="12" t="s">
        <v>46</v>
      </c>
      <c r="L952" s="47" t="s">
        <v>47</v>
      </c>
      <c r="M952" s="50">
        <v>2010136</v>
      </c>
      <c r="N952" s="12">
        <v>0</v>
      </c>
      <c r="O952" s="47" t="s">
        <v>48</v>
      </c>
      <c r="P952" s="12">
        <v>0</v>
      </c>
      <c r="Q952" s="12">
        <v>1002</v>
      </c>
      <c r="R952" s="12">
        <v>949</v>
      </c>
      <c r="S952" s="12">
        <v>70</v>
      </c>
      <c r="T952" s="12">
        <v>63</v>
      </c>
      <c r="U952" s="11">
        <v>5</v>
      </c>
      <c r="V952" s="11"/>
      <c r="W952" s="47" t="s">
        <v>47</v>
      </c>
      <c r="X952" s="47"/>
      <c r="Y952" s="47"/>
      <c r="Z952" s="12"/>
      <c r="AA952" s="12"/>
      <c r="AB952" s="12" t="s">
        <v>1197</v>
      </c>
      <c r="AC952" s="60">
        <v>2608</v>
      </c>
      <c r="AD952" s="12" t="s">
        <v>51</v>
      </c>
      <c r="AE952" s="12" t="s">
        <v>51</v>
      </c>
      <c r="AF952" s="12" t="s">
        <v>51</v>
      </c>
      <c r="AG952" s="12"/>
      <c r="AH952" s="47" t="s">
        <v>52</v>
      </c>
      <c r="AI952" s="12">
        <v>0</v>
      </c>
      <c r="AJ952" s="12"/>
      <c r="AK952" s="12"/>
      <c r="AL952" s="12"/>
      <c r="AM952" s="12"/>
      <c r="AN952" s="47" t="s">
        <v>47</v>
      </c>
      <c r="AO952" s="12">
        <v>3043</v>
      </c>
      <c r="AP952" s="12" t="s">
        <v>53</v>
      </c>
      <c r="AQ952" s="2">
        <v>0</v>
      </c>
    </row>
    <row r="953" s="2" customFormat="1" spans="1:43">
      <c r="A953" s="11">
        <v>182804</v>
      </c>
      <c r="B953" s="161" t="s">
        <v>1215</v>
      </c>
      <c r="C953" s="11"/>
      <c r="D953" s="11"/>
      <c r="E953" s="11"/>
      <c r="F953" s="11">
        <v>0</v>
      </c>
      <c r="G953" s="11">
        <v>0</v>
      </c>
      <c r="H953" s="11" t="s">
        <v>45</v>
      </c>
      <c r="I953" s="11">
        <v>7</v>
      </c>
      <c r="J953" s="11">
        <v>0</v>
      </c>
      <c r="K953" s="11" t="s">
        <v>46</v>
      </c>
      <c r="L953" s="47" t="s">
        <v>47</v>
      </c>
      <c r="M953" s="50">
        <v>2010138</v>
      </c>
      <c r="N953" s="11">
        <v>0</v>
      </c>
      <c r="O953" s="47" t="s">
        <v>48</v>
      </c>
      <c r="P953" s="11">
        <v>0</v>
      </c>
      <c r="Q953" s="12">
        <v>694</v>
      </c>
      <c r="R953" s="12">
        <v>1286</v>
      </c>
      <c r="S953" s="12">
        <v>81</v>
      </c>
      <c r="T953" s="12">
        <v>50</v>
      </c>
      <c r="U953" s="12">
        <v>3</v>
      </c>
      <c r="V953" s="12"/>
      <c r="W953" s="47" t="s">
        <v>47</v>
      </c>
      <c r="X953" s="47"/>
      <c r="Y953" s="47"/>
      <c r="Z953" s="11"/>
      <c r="AA953" s="11"/>
      <c r="AB953" s="11" t="s">
        <v>1197</v>
      </c>
      <c r="AC953" s="60">
        <v>2609</v>
      </c>
      <c r="AD953" s="11" t="s">
        <v>51</v>
      </c>
      <c r="AE953" s="11" t="s">
        <v>51</v>
      </c>
      <c r="AF953" s="11" t="s">
        <v>51</v>
      </c>
      <c r="AG953" s="11"/>
      <c r="AH953" s="47" t="s">
        <v>52</v>
      </c>
      <c r="AI953" s="11">
        <v>0</v>
      </c>
      <c r="AJ953" s="11"/>
      <c r="AK953" s="11"/>
      <c r="AL953" s="11"/>
      <c r="AM953" s="11"/>
      <c r="AN953" s="47" t="s">
        <v>47</v>
      </c>
      <c r="AO953" s="11">
        <v>3044</v>
      </c>
      <c r="AP953" s="11" t="s">
        <v>53</v>
      </c>
      <c r="AQ953" s="2">
        <v>0</v>
      </c>
    </row>
    <row r="954" s="8" customFormat="1" spans="1:43">
      <c r="A954" s="60">
        <v>182805</v>
      </c>
      <c r="B954" s="163" t="s">
        <v>1216</v>
      </c>
      <c r="C954" s="60"/>
      <c r="D954" s="60"/>
      <c r="E954" s="60"/>
      <c r="F954" s="60">
        <v>0</v>
      </c>
      <c r="G954" s="60">
        <v>0</v>
      </c>
      <c r="H954" s="60">
        <v>1.35</v>
      </c>
      <c r="I954" s="60">
        <v>7</v>
      </c>
      <c r="J954" s="60">
        <v>0</v>
      </c>
      <c r="K954" s="60" t="s">
        <v>46</v>
      </c>
      <c r="L954" s="47" t="s">
        <v>47</v>
      </c>
      <c r="M954" s="50">
        <v>2010171</v>
      </c>
      <c r="N954" s="60">
        <v>0</v>
      </c>
      <c r="O954" s="47" t="s">
        <v>48</v>
      </c>
      <c r="P954" s="60">
        <v>0</v>
      </c>
      <c r="Q954" s="60">
        <v>212</v>
      </c>
      <c r="R954" s="60">
        <v>1031</v>
      </c>
      <c r="S954" s="12">
        <v>96</v>
      </c>
      <c r="T954" s="12">
        <v>36</v>
      </c>
      <c r="U954" s="60">
        <v>3</v>
      </c>
      <c r="V954" s="60"/>
      <c r="W954" s="47" t="s">
        <v>47</v>
      </c>
      <c r="X954" s="47"/>
      <c r="Y954" s="47"/>
      <c r="Z954" s="60"/>
      <c r="AA954" s="60"/>
      <c r="AB954" s="60" t="s">
        <v>1197</v>
      </c>
      <c r="AC954" s="60">
        <v>2610</v>
      </c>
      <c r="AD954" s="60" t="s">
        <v>51</v>
      </c>
      <c r="AE954" s="60" t="s">
        <v>51</v>
      </c>
      <c r="AF954" s="60" t="s">
        <v>51</v>
      </c>
      <c r="AG954" s="60"/>
      <c r="AH954" s="47" t="s">
        <v>52</v>
      </c>
      <c r="AI954" s="60">
        <v>0</v>
      </c>
      <c r="AJ954" s="60"/>
      <c r="AK954" s="60"/>
      <c r="AL954" s="60"/>
      <c r="AM954" s="60"/>
      <c r="AN954" s="47" t="s">
        <v>47</v>
      </c>
      <c r="AO954" s="60">
        <v>3045</v>
      </c>
      <c r="AP954" s="60" t="s">
        <v>53</v>
      </c>
      <c r="AQ954" s="2">
        <v>0</v>
      </c>
    </row>
    <row r="955" s="2" customFormat="1" spans="1:43">
      <c r="A955" s="11">
        <v>182901</v>
      </c>
      <c r="B955" s="161" t="s">
        <v>1217</v>
      </c>
      <c r="C955" s="11"/>
      <c r="D955" s="11"/>
      <c r="E955" s="11"/>
      <c r="F955" s="11">
        <v>0</v>
      </c>
      <c r="G955" s="11">
        <v>0</v>
      </c>
      <c r="H955" s="11" t="s">
        <v>45</v>
      </c>
      <c r="I955" s="11">
        <v>7</v>
      </c>
      <c r="J955" s="11">
        <v>0</v>
      </c>
      <c r="K955" s="11" t="s">
        <v>46</v>
      </c>
      <c r="L955" s="47" t="s">
        <v>47</v>
      </c>
      <c r="M955" s="54">
        <v>1010128</v>
      </c>
      <c r="N955" s="11">
        <v>0</v>
      </c>
      <c r="O955" s="47" t="s">
        <v>48</v>
      </c>
      <c r="P955" s="11">
        <v>0</v>
      </c>
      <c r="Q955" s="60">
        <v>376</v>
      </c>
      <c r="R955" s="60">
        <v>415</v>
      </c>
      <c r="S955" s="12">
        <v>37</v>
      </c>
      <c r="T955" s="12">
        <v>49</v>
      </c>
      <c r="U955" s="12">
        <v>3</v>
      </c>
      <c r="V955" s="12"/>
      <c r="W955" s="47" t="s">
        <v>47</v>
      </c>
      <c r="X955" s="47"/>
      <c r="Y955" s="47"/>
      <c r="Z955" s="11"/>
      <c r="AA955" s="11"/>
      <c r="AB955" s="11" t="s">
        <v>1197</v>
      </c>
      <c r="AC955" s="60">
        <v>2611</v>
      </c>
      <c r="AD955" s="11" t="s">
        <v>51</v>
      </c>
      <c r="AE955" s="11" t="s">
        <v>51</v>
      </c>
      <c r="AF955" s="11" t="s">
        <v>51</v>
      </c>
      <c r="AG955" s="11"/>
      <c r="AH955" s="47" t="s">
        <v>52</v>
      </c>
      <c r="AI955" s="11">
        <v>0</v>
      </c>
      <c r="AJ955" s="11"/>
      <c r="AK955" s="11"/>
      <c r="AL955" s="11"/>
      <c r="AM955" s="11"/>
      <c r="AN955" s="47" t="s">
        <v>47</v>
      </c>
      <c r="AO955" s="11">
        <v>3046</v>
      </c>
      <c r="AP955" s="11" t="s">
        <v>53</v>
      </c>
      <c r="AQ955" s="2">
        <v>0</v>
      </c>
    </row>
    <row r="956" s="3" customFormat="1" spans="1:43">
      <c r="A956" s="12">
        <v>182902</v>
      </c>
      <c r="B956" s="161" t="s">
        <v>1218</v>
      </c>
      <c r="C956" s="12"/>
      <c r="D956" s="12"/>
      <c r="E956" s="12"/>
      <c r="F956" s="12">
        <v>0</v>
      </c>
      <c r="G956" s="12">
        <v>0</v>
      </c>
      <c r="H956" s="12" t="s">
        <v>45</v>
      </c>
      <c r="I956" s="12">
        <v>7</v>
      </c>
      <c r="J956" s="12">
        <v>0</v>
      </c>
      <c r="K956" s="12" t="s">
        <v>46</v>
      </c>
      <c r="L956" s="47" t="s">
        <v>47</v>
      </c>
      <c r="M956" s="54" t="s">
        <v>316</v>
      </c>
      <c r="N956" s="12">
        <v>0</v>
      </c>
      <c r="O956" s="47" t="s">
        <v>48</v>
      </c>
      <c r="P956" s="12">
        <v>0</v>
      </c>
      <c r="Q956" s="60">
        <v>242</v>
      </c>
      <c r="R956" s="60">
        <v>817</v>
      </c>
      <c r="S956" s="12">
        <v>57</v>
      </c>
      <c r="T956" s="12">
        <v>49</v>
      </c>
      <c r="U956" s="11">
        <v>5</v>
      </c>
      <c r="V956" s="11"/>
      <c r="W956" s="47" t="s">
        <v>47</v>
      </c>
      <c r="X956" s="47"/>
      <c r="Y956" s="47"/>
      <c r="Z956" s="12"/>
      <c r="AA956" s="12"/>
      <c r="AB956" s="12" t="s">
        <v>1197</v>
      </c>
      <c r="AC956" s="60">
        <v>2612</v>
      </c>
      <c r="AD956" s="12" t="s">
        <v>51</v>
      </c>
      <c r="AE956" s="12" t="s">
        <v>51</v>
      </c>
      <c r="AF956" s="12" t="s">
        <v>51</v>
      </c>
      <c r="AG956" s="12"/>
      <c r="AH956" s="47" t="s">
        <v>52</v>
      </c>
      <c r="AI956" s="12">
        <v>0</v>
      </c>
      <c r="AJ956" s="12"/>
      <c r="AK956" s="12"/>
      <c r="AL956" s="12"/>
      <c r="AM956" s="12"/>
      <c r="AN956" s="47" t="s">
        <v>47</v>
      </c>
      <c r="AO956" s="12">
        <v>3047</v>
      </c>
      <c r="AP956" s="12" t="s">
        <v>53</v>
      </c>
      <c r="AQ956" s="2">
        <v>0</v>
      </c>
    </row>
    <row r="957" s="2" customFormat="1" spans="1:43">
      <c r="A957" s="11">
        <v>182903</v>
      </c>
      <c r="B957" s="161" t="s">
        <v>1219</v>
      </c>
      <c r="C957" s="11"/>
      <c r="D957" s="11"/>
      <c r="E957" s="11"/>
      <c r="F957" s="11">
        <v>0</v>
      </c>
      <c r="G957" s="11">
        <v>0</v>
      </c>
      <c r="H957" s="11" t="s">
        <v>45</v>
      </c>
      <c r="I957" s="11">
        <v>7</v>
      </c>
      <c r="J957" s="11">
        <v>0</v>
      </c>
      <c r="K957" s="11" t="s">
        <v>46</v>
      </c>
      <c r="L957" s="47" t="s">
        <v>47</v>
      </c>
      <c r="M957" s="54" t="s">
        <v>412</v>
      </c>
      <c r="N957" s="11">
        <v>0</v>
      </c>
      <c r="O957" s="47" t="s">
        <v>48</v>
      </c>
      <c r="P957" s="11">
        <v>0</v>
      </c>
      <c r="Q957" s="60">
        <v>621</v>
      </c>
      <c r="R957" s="60">
        <v>1065</v>
      </c>
      <c r="S957" s="12">
        <v>70</v>
      </c>
      <c r="T957" s="12">
        <v>63</v>
      </c>
      <c r="U957" s="12">
        <v>1</v>
      </c>
      <c r="V957" s="12"/>
      <c r="W957" s="47" t="s">
        <v>47</v>
      </c>
      <c r="X957" s="47"/>
      <c r="Y957" s="47"/>
      <c r="Z957" s="11"/>
      <c r="AA957" s="11"/>
      <c r="AB957" s="11" t="s">
        <v>1197</v>
      </c>
      <c r="AC957" s="60">
        <v>2613</v>
      </c>
      <c r="AD957" s="11" t="s">
        <v>51</v>
      </c>
      <c r="AE957" s="11" t="s">
        <v>51</v>
      </c>
      <c r="AF957" s="11" t="s">
        <v>51</v>
      </c>
      <c r="AG957" s="11"/>
      <c r="AH957" s="47" t="s">
        <v>52</v>
      </c>
      <c r="AI957" s="11">
        <v>0</v>
      </c>
      <c r="AJ957" s="11"/>
      <c r="AK957" s="11"/>
      <c r="AL957" s="11"/>
      <c r="AM957" s="11"/>
      <c r="AN957" s="47" t="s">
        <v>47</v>
      </c>
      <c r="AO957" s="11">
        <v>3048</v>
      </c>
      <c r="AP957" s="11" t="s">
        <v>53</v>
      </c>
      <c r="AQ957" s="2">
        <v>0</v>
      </c>
    </row>
    <row r="958" s="3" customFormat="1" spans="1:43">
      <c r="A958" s="12">
        <v>182904</v>
      </c>
      <c r="B958" s="161" t="s">
        <v>1220</v>
      </c>
      <c r="C958" s="12"/>
      <c r="D958" s="12"/>
      <c r="E958" s="12"/>
      <c r="F958" s="12">
        <v>0</v>
      </c>
      <c r="G958" s="12">
        <v>0</v>
      </c>
      <c r="H958" s="12" t="s">
        <v>45</v>
      </c>
      <c r="I958" s="12">
        <v>7</v>
      </c>
      <c r="J958" s="12">
        <v>0</v>
      </c>
      <c r="K958" s="12" t="s">
        <v>46</v>
      </c>
      <c r="L958" s="47" t="s">
        <v>47</v>
      </c>
      <c r="M958" s="54">
        <v>1010129</v>
      </c>
      <c r="N958" s="12">
        <v>0</v>
      </c>
      <c r="O958" s="47" t="s">
        <v>48</v>
      </c>
      <c r="P958" s="12">
        <v>0</v>
      </c>
      <c r="Q958" s="60">
        <v>994</v>
      </c>
      <c r="R958" s="60">
        <v>869</v>
      </c>
      <c r="S958" s="12">
        <v>81</v>
      </c>
      <c r="T958" s="12">
        <v>50</v>
      </c>
      <c r="U958" s="11">
        <v>7</v>
      </c>
      <c r="V958" s="11"/>
      <c r="W958" s="47" t="s">
        <v>47</v>
      </c>
      <c r="X958" s="47"/>
      <c r="Y958" s="47"/>
      <c r="Z958" s="12"/>
      <c r="AA958" s="12"/>
      <c r="AB958" s="12" t="s">
        <v>1197</v>
      </c>
      <c r="AC958" s="60">
        <v>2614</v>
      </c>
      <c r="AD958" s="12" t="s">
        <v>51</v>
      </c>
      <c r="AE958" s="12" t="s">
        <v>51</v>
      </c>
      <c r="AF958" s="12" t="s">
        <v>51</v>
      </c>
      <c r="AG958" s="12"/>
      <c r="AH958" s="47" t="s">
        <v>52</v>
      </c>
      <c r="AI958" s="12">
        <v>0</v>
      </c>
      <c r="AJ958" s="12"/>
      <c r="AK958" s="12"/>
      <c r="AL958" s="12"/>
      <c r="AM958" s="12"/>
      <c r="AN958" s="47" t="s">
        <v>47</v>
      </c>
      <c r="AO958" s="12">
        <v>3049</v>
      </c>
      <c r="AP958" s="12" t="s">
        <v>53</v>
      </c>
      <c r="AQ958" s="2">
        <v>0</v>
      </c>
    </row>
    <row r="959" s="8" customFormat="1" spans="1:43">
      <c r="A959" s="60">
        <v>182905</v>
      </c>
      <c r="B959" s="163" t="s">
        <v>1221</v>
      </c>
      <c r="C959" s="60"/>
      <c r="D959" s="60"/>
      <c r="E959" s="60"/>
      <c r="F959" s="60">
        <v>0</v>
      </c>
      <c r="G959" s="60">
        <v>0</v>
      </c>
      <c r="H959" s="60">
        <v>1.35</v>
      </c>
      <c r="I959" s="60">
        <v>7</v>
      </c>
      <c r="J959" s="60">
        <v>0</v>
      </c>
      <c r="K959" s="60" t="s">
        <v>46</v>
      </c>
      <c r="L959" s="47" t="s">
        <v>47</v>
      </c>
      <c r="M959" s="54" t="s">
        <v>594</v>
      </c>
      <c r="N959" s="60">
        <v>0</v>
      </c>
      <c r="O959" s="47" t="s">
        <v>48</v>
      </c>
      <c r="P959" s="60">
        <v>0</v>
      </c>
      <c r="Q959" s="60">
        <v>1386</v>
      </c>
      <c r="R959" s="60">
        <v>1258</v>
      </c>
      <c r="S959" s="12">
        <v>96</v>
      </c>
      <c r="T959" s="12">
        <v>36</v>
      </c>
      <c r="U959" s="60">
        <v>5</v>
      </c>
      <c r="V959" s="60"/>
      <c r="W959" s="47" t="s">
        <v>47</v>
      </c>
      <c r="X959" s="47"/>
      <c r="Y959" s="47"/>
      <c r="Z959" s="60"/>
      <c r="AA959" s="60"/>
      <c r="AB959" s="60" t="s">
        <v>1197</v>
      </c>
      <c r="AC959" s="60">
        <v>2615</v>
      </c>
      <c r="AD959" s="60" t="s">
        <v>51</v>
      </c>
      <c r="AE959" s="60" t="s">
        <v>51</v>
      </c>
      <c r="AF959" s="60" t="s">
        <v>51</v>
      </c>
      <c r="AG959" s="60"/>
      <c r="AH959" s="47" t="s">
        <v>52</v>
      </c>
      <c r="AI959" s="60">
        <v>0</v>
      </c>
      <c r="AJ959" s="60"/>
      <c r="AK959" s="60"/>
      <c r="AL959" s="60"/>
      <c r="AM959" s="60"/>
      <c r="AN959" s="47" t="s">
        <v>47</v>
      </c>
      <c r="AO959" s="60">
        <v>3050</v>
      </c>
      <c r="AP959" s="60" t="s">
        <v>53</v>
      </c>
      <c r="AQ959" s="2">
        <v>0</v>
      </c>
    </row>
    <row r="960" s="3" customFormat="1" spans="1:43">
      <c r="A960" s="12">
        <v>183001</v>
      </c>
      <c r="B960" s="161" t="s">
        <v>1222</v>
      </c>
      <c r="C960" s="12"/>
      <c r="D960" s="12"/>
      <c r="E960" s="12"/>
      <c r="F960" s="12">
        <v>0</v>
      </c>
      <c r="G960" s="12">
        <v>0</v>
      </c>
      <c r="H960" s="12" t="s">
        <v>45</v>
      </c>
      <c r="I960" s="12">
        <v>7</v>
      </c>
      <c r="J960" s="12">
        <v>0</v>
      </c>
      <c r="K960" s="12" t="s">
        <v>46</v>
      </c>
      <c r="L960" s="47" t="s">
        <v>47</v>
      </c>
      <c r="M960" s="54">
        <v>1010116</v>
      </c>
      <c r="N960" s="12">
        <v>0</v>
      </c>
      <c r="O960" s="47" t="s">
        <v>48</v>
      </c>
      <c r="P960" s="12">
        <v>0</v>
      </c>
      <c r="Q960" s="12">
        <v>1534</v>
      </c>
      <c r="R960" s="12">
        <v>930</v>
      </c>
      <c r="S960" s="12">
        <v>37</v>
      </c>
      <c r="T960" s="12">
        <v>49</v>
      </c>
      <c r="U960" s="11">
        <v>1</v>
      </c>
      <c r="V960" s="11"/>
      <c r="W960" s="47" t="s">
        <v>47</v>
      </c>
      <c r="X960" s="47"/>
      <c r="Y960" s="47"/>
      <c r="Z960" s="12"/>
      <c r="AA960" s="12"/>
      <c r="AB960" s="12" t="s">
        <v>1197</v>
      </c>
      <c r="AC960" s="60">
        <v>2616</v>
      </c>
      <c r="AD960" s="12" t="s">
        <v>51</v>
      </c>
      <c r="AE960" s="12" t="s">
        <v>51</v>
      </c>
      <c r="AF960" s="12" t="s">
        <v>51</v>
      </c>
      <c r="AG960" s="12"/>
      <c r="AH960" s="47" t="s">
        <v>52</v>
      </c>
      <c r="AI960" s="12">
        <v>0</v>
      </c>
      <c r="AJ960" s="12"/>
      <c r="AK960" s="12"/>
      <c r="AL960" s="12"/>
      <c r="AM960" s="12"/>
      <c r="AN960" s="47" t="s">
        <v>47</v>
      </c>
      <c r="AO960" s="12">
        <v>3051</v>
      </c>
      <c r="AP960" s="12" t="s">
        <v>53</v>
      </c>
      <c r="AQ960" s="2">
        <v>0</v>
      </c>
    </row>
    <row r="961" s="2" customFormat="1" spans="1:43">
      <c r="A961" s="11">
        <v>183002</v>
      </c>
      <c r="B961" s="161" t="s">
        <v>1096</v>
      </c>
      <c r="C961" s="11"/>
      <c r="D961" s="11"/>
      <c r="E961" s="11"/>
      <c r="F961" s="11">
        <v>0</v>
      </c>
      <c r="G961" s="11">
        <v>0</v>
      </c>
      <c r="H961" s="11" t="s">
        <v>45</v>
      </c>
      <c r="I961" s="11">
        <v>7</v>
      </c>
      <c r="J961" s="11">
        <v>0</v>
      </c>
      <c r="K961" s="11" t="s">
        <v>46</v>
      </c>
      <c r="L961" s="47" t="s">
        <v>47</v>
      </c>
      <c r="M961" s="54">
        <v>1010117</v>
      </c>
      <c r="N961" s="11">
        <v>0</v>
      </c>
      <c r="O961" s="47" t="s">
        <v>48</v>
      </c>
      <c r="P961" s="11">
        <v>0</v>
      </c>
      <c r="Q961" s="12">
        <v>1217</v>
      </c>
      <c r="R961" s="12">
        <v>475</v>
      </c>
      <c r="S961" s="12">
        <v>57</v>
      </c>
      <c r="T961" s="12">
        <v>49</v>
      </c>
      <c r="U961" s="12">
        <v>5</v>
      </c>
      <c r="V961" s="12"/>
      <c r="W961" s="47" t="s">
        <v>47</v>
      </c>
      <c r="X961" s="47"/>
      <c r="Y961" s="47"/>
      <c r="Z961" s="11"/>
      <c r="AA961" s="11"/>
      <c r="AB961" s="11" t="s">
        <v>1197</v>
      </c>
      <c r="AC961" s="60">
        <v>2617</v>
      </c>
      <c r="AD961" s="11" t="s">
        <v>51</v>
      </c>
      <c r="AE961" s="11" t="s">
        <v>51</v>
      </c>
      <c r="AF961" s="11" t="s">
        <v>51</v>
      </c>
      <c r="AG961" s="11"/>
      <c r="AH961" s="47" t="s">
        <v>52</v>
      </c>
      <c r="AI961" s="11">
        <v>0</v>
      </c>
      <c r="AJ961" s="11"/>
      <c r="AK961" s="11"/>
      <c r="AL961" s="11"/>
      <c r="AM961" s="11"/>
      <c r="AN961" s="47" t="s">
        <v>47</v>
      </c>
      <c r="AO961" s="11">
        <v>3052</v>
      </c>
      <c r="AP961" s="11" t="s">
        <v>53</v>
      </c>
      <c r="AQ961" s="2">
        <v>0</v>
      </c>
    </row>
    <row r="962" s="3" customFormat="1" spans="1:43">
      <c r="A962" s="12">
        <v>183003</v>
      </c>
      <c r="B962" s="161" t="s">
        <v>1223</v>
      </c>
      <c r="C962" s="12"/>
      <c r="D962" s="12"/>
      <c r="E962" s="12"/>
      <c r="F962" s="12">
        <v>0</v>
      </c>
      <c r="G962" s="12">
        <v>0</v>
      </c>
      <c r="H962" s="12" t="s">
        <v>45</v>
      </c>
      <c r="I962" s="12">
        <v>7</v>
      </c>
      <c r="J962" s="12">
        <v>0</v>
      </c>
      <c r="K962" s="12" t="s">
        <v>46</v>
      </c>
      <c r="L962" s="47" t="s">
        <v>47</v>
      </c>
      <c r="M962" s="54">
        <v>2010139</v>
      </c>
      <c r="N962" s="12">
        <v>0</v>
      </c>
      <c r="O962" s="47" t="s">
        <v>48</v>
      </c>
      <c r="P962" s="12">
        <v>0</v>
      </c>
      <c r="Q962" s="12">
        <v>1002</v>
      </c>
      <c r="R962" s="12">
        <v>949</v>
      </c>
      <c r="S962" s="12">
        <v>70</v>
      </c>
      <c r="T962" s="12">
        <v>63</v>
      </c>
      <c r="U962" s="11">
        <v>5</v>
      </c>
      <c r="V962" s="11"/>
      <c r="W962" s="47" t="s">
        <v>47</v>
      </c>
      <c r="X962" s="47"/>
      <c r="Y962" s="47"/>
      <c r="Z962" s="12"/>
      <c r="AA962" s="12"/>
      <c r="AB962" s="12" t="s">
        <v>1197</v>
      </c>
      <c r="AC962" s="60">
        <v>2618</v>
      </c>
      <c r="AD962" s="12" t="s">
        <v>51</v>
      </c>
      <c r="AE962" s="12" t="s">
        <v>51</v>
      </c>
      <c r="AF962" s="12" t="s">
        <v>51</v>
      </c>
      <c r="AG962" s="12"/>
      <c r="AH962" s="47" t="s">
        <v>52</v>
      </c>
      <c r="AI962" s="12">
        <v>0</v>
      </c>
      <c r="AJ962" s="12"/>
      <c r="AK962" s="12"/>
      <c r="AL962" s="12"/>
      <c r="AM962" s="12"/>
      <c r="AN962" s="47" t="s">
        <v>47</v>
      </c>
      <c r="AO962" s="12">
        <v>3053</v>
      </c>
      <c r="AP962" s="12" t="s">
        <v>53</v>
      </c>
      <c r="AQ962" s="2">
        <v>0</v>
      </c>
    </row>
    <row r="963" s="2" customFormat="1" spans="1:43">
      <c r="A963" s="11">
        <v>183004</v>
      </c>
      <c r="B963" s="161" t="s">
        <v>1224</v>
      </c>
      <c r="C963" s="11"/>
      <c r="D963" s="11"/>
      <c r="E963" s="11"/>
      <c r="F963" s="11">
        <v>0</v>
      </c>
      <c r="G963" s="11">
        <v>0</v>
      </c>
      <c r="H963" s="11" t="s">
        <v>45</v>
      </c>
      <c r="I963" s="11">
        <v>7</v>
      </c>
      <c r="J963" s="11">
        <v>0</v>
      </c>
      <c r="K963" s="11" t="s">
        <v>46</v>
      </c>
      <c r="L963" s="47" t="s">
        <v>47</v>
      </c>
      <c r="M963" s="54" t="s">
        <v>148</v>
      </c>
      <c r="N963" s="11">
        <v>0</v>
      </c>
      <c r="O963" s="47" t="s">
        <v>48</v>
      </c>
      <c r="P963" s="11">
        <v>0</v>
      </c>
      <c r="Q963" s="12">
        <v>351</v>
      </c>
      <c r="R963" s="12">
        <v>1113</v>
      </c>
      <c r="S963" s="12">
        <v>81</v>
      </c>
      <c r="T963" s="12">
        <v>50</v>
      </c>
      <c r="U963" s="12">
        <v>3</v>
      </c>
      <c r="V963" s="12"/>
      <c r="W963" s="47" t="s">
        <v>47</v>
      </c>
      <c r="X963" s="47"/>
      <c r="Y963" s="47"/>
      <c r="Z963" s="11"/>
      <c r="AA963" s="11"/>
      <c r="AB963" s="11" t="s">
        <v>1197</v>
      </c>
      <c r="AC963" s="60">
        <v>2619</v>
      </c>
      <c r="AD963" s="11" t="s">
        <v>51</v>
      </c>
      <c r="AE963" s="11" t="s">
        <v>51</v>
      </c>
      <c r="AF963" s="11" t="s">
        <v>51</v>
      </c>
      <c r="AG963" s="11"/>
      <c r="AH963" s="47" t="s">
        <v>52</v>
      </c>
      <c r="AI963" s="11">
        <v>0</v>
      </c>
      <c r="AJ963" s="11"/>
      <c r="AK963" s="11"/>
      <c r="AL963" s="11"/>
      <c r="AM963" s="11"/>
      <c r="AN963" s="47" t="s">
        <v>47</v>
      </c>
      <c r="AO963" s="11">
        <v>3054</v>
      </c>
      <c r="AP963" s="11" t="s">
        <v>53</v>
      </c>
      <c r="AQ963" s="2">
        <v>0</v>
      </c>
    </row>
    <row r="964" s="8" customFormat="1" spans="1:43">
      <c r="A964" s="60">
        <v>183005</v>
      </c>
      <c r="B964" s="163" t="s">
        <v>1225</v>
      </c>
      <c r="C964" s="60"/>
      <c r="D964" s="60"/>
      <c r="E964" s="60"/>
      <c r="F964" s="60">
        <v>0</v>
      </c>
      <c r="G964" s="60">
        <v>0</v>
      </c>
      <c r="H964" s="60">
        <v>1.35</v>
      </c>
      <c r="I964" s="60">
        <v>7</v>
      </c>
      <c r="J964" s="60">
        <v>0</v>
      </c>
      <c r="K964" s="60" t="s">
        <v>46</v>
      </c>
      <c r="L964" s="47" t="s">
        <v>47</v>
      </c>
      <c r="M964" s="54" t="s">
        <v>594</v>
      </c>
      <c r="N964" s="60">
        <v>0</v>
      </c>
      <c r="O964" s="47" t="s">
        <v>48</v>
      </c>
      <c r="P964" s="60">
        <v>0</v>
      </c>
      <c r="Q964" s="60">
        <v>429</v>
      </c>
      <c r="R964" s="60">
        <v>412</v>
      </c>
      <c r="S964" s="12">
        <v>96</v>
      </c>
      <c r="T964" s="12">
        <v>36</v>
      </c>
      <c r="U964" s="60">
        <v>3</v>
      </c>
      <c r="V964" s="60"/>
      <c r="W964" s="47" t="s">
        <v>47</v>
      </c>
      <c r="X964" s="47"/>
      <c r="Y964" s="47"/>
      <c r="Z964" s="60"/>
      <c r="AA964" s="60"/>
      <c r="AB964" s="60" t="s">
        <v>1197</v>
      </c>
      <c r="AC964" s="60">
        <v>2620</v>
      </c>
      <c r="AD964" s="60" t="s">
        <v>51</v>
      </c>
      <c r="AE964" s="60" t="s">
        <v>51</v>
      </c>
      <c r="AF964" s="60" t="s">
        <v>51</v>
      </c>
      <c r="AG964" s="60"/>
      <c r="AH964" s="47" t="s">
        <v>52</v>
      </c>
      <c r="AI964" s="60">
        <v>0</v>
      </c>
      <c r="AJ964" s="60"/>
      <c r="AK964" s="60"/>
      <c r="AL964" s="60"/>
      <c r="AM964" s="60"/>
      <c r="AN964" s="47" t="s">
        <v>47</v>
      </c>
      <c r="AO964" s="60">
        <v>3055</v>
      </c>
      <c r="AP964" s="60" t="s">
        <v>53</v>
      </c>
      <c r="AQ964" s="2">
        <v>0</v>
      </c>
    </row>
    <row r="965" s="2" customFormat="1" spans="1:43">
      <c r="A965" s="11">
        <v>183101</v>
      </c>
      <c r="B965" s="161" t="s">
        <v>1226</v>
      </c>
      <c r="C965" s="11"/>
      <c r="D965" s="11"/>
      <c r="E965" s="11"/>
      <c r="F965" s="11">
        <v>0</v>
      </c>
      <c r="G965" s="11">
        <v>0</v>
      </c>
      <c r="H965" s="11" t="s">
        <v>45</v>
      </c>
      <c r="I965" s="11">
        <v>7</v>
      </c>
      <c r="J965" s="11">
        <v>0</v>
      </c>
      <c r="K965" s="11" t="s">
        <v>46</v>
      </c>
      <c r="L965" s="47" t="s">
        <v>47</v>
      </c>
      <c r="M965" s="54">
        <v>1010176</v>
      </c>
      <c r="N965" s="11">
        <v>0</v>
      </c>
      <c r="O965" s="47" t="s">
        <v>48</v>
      </c>
      <c r="P965" s="11">
        <v>0</v>
      </c>
      <c r="Q965" s="12">
        <v>1104</v>
      </c>
      <c r="R965" s="12">
        <v>208</v>
      </c>
      <c r="S965" s="11">
        <v>21</v>
      </c>
      <c r="T965" s="11">
        <v>31</v>
      </c>
      <c r="U965" s="11">
        <v>5</v>
      </c>
      <c r="V965" s="11"/>
      <c r="W965" s="47" t="s">
        <v>47</v>
      </c>
      <c r="X965" s="47"/>
      <c r="Y965" s="47"/>
      <c r="Z965" s="11"/>
      <c r="AA965" s="11"/>
      <c r="AB965" s="11" t="s">
        <v>1227</v>
      </c>
      <c r="AC965" s="60">
        <v>2639</v>
      </c>
      <c r="AD965" s="11" t="s">
        <v>51</v>
      </c>
      <c r="AE965" s="11" t="s">
        <v>51</v>
      </c>
      <c r="AF965" s="11" t="s">
        <v>51</v>
      </c>
      <c r="AG965" s="11"/>
      <c r="AH965" s="47" t="s">
        <v>52</v>
      </c>
      <c r="AI965" s="11">
        <v>0</v>
      </c>
      <c r="AJ965" s="11"/>
      <c r="AK965" s="11"/>
      <c r="AL965" s="11"/>
      <c r="AM965" s="11"/>
      <c r="AN965" s="47" t="s">
        <v>47</v>
      </c>
      <c r="AO965" s="11">
        <v>3056</v>
      </c>
      <c r="AP965" s="11" t="s">
        <v>53</v>
      </c>
      <c r="AQ965" s="2">
        <v>0</v>
      </c>
    </row>
    <row r="966" s="3" customFormat="1" spans="1:43">
      <c r="A966" s="12">
        <v>183102</v>
      </c>
      <c r="B966" s="161" t="s">
        <v>1226</v>
      </c>
      <c r="C966" s="12"/>
      <c r="D966" s="12"/>
      <c r="E966" s="12"/>
      <c r="F966" s="12">
        <v>0</v>
      </c>
      <c r="G966" s="12">
        <v>0</v>
      </c>
      <c r="H966" s="12" t="s">
        <v>45</v>
      </c>
      <c r="I966" s="12">
        <v>7</v>
      </c>
      <c r="J966" s="12">
        <v>0</v>
      </c>
      <c r="K966" s="12" t="s">
        <v>46</v>
      </c>
      <c r="L966" s="47" t="s">
        <v>47</v>
      </c>
      <c r="M966" s="54">
        <v>1010176</v>
      </c>
      <c r="N966" s="12">
        <v>0</v>
      </c>
      <c r="O966" s="47" t="s">
        <v>48</v>
      </c>
      <c r="P966" s="12">
        <v>0</v>
      </c>
      <c r="Q966" s="12">
        <v>864</v>
      </c>
      <c r="R966" s="12">
        <v>656</v>
      </c>
      <c r="S966" s="12">
        <v>41</v>
      </c>
      <c r="T966" s="12">
        <v>56</v>
      </c>
      <c r="U966" s="12">
        <v>3</v>
      </c>
      <c r="V966" s="12"/>
      <c r="W966" s="47" t="s">
        <v>47</v>
      </c>
      <c r="X966" s="47"/>
      <c r="Y966" s="47"/>
      <c r="Z966" s="12"/>
      <c r="AA966" s="12"/>
      <c r="AB966" s="12" t="s">
        <v>1227</v>
      </c>
      <c r="AC966" s="60" t="s">
        <v>51</v>
      </c>
      <c r="AD966" s="12" t="s">
        <v>51</v>
      </c>
      <c r="AE966" s="12" t="s">
        <v>51</v>
      </c>
      <c r="AF966" s="12" t="s">
        <v>51</v>
      </c>
      <c r="AG966" s="12"/>
      <c r="AH966" s="47" t="s">
        <v>52</v>
      </c>
      <c r="AI966" s="12">
        <v>0</v>
      </c>
      <c r="AJ966" s="12"/>
      <c r="AK966" s="12"/>
      <c r="AL966" s="12"/>
      <c r="AM966" s="12"/>
      <c r="AN966" s="47" t="s">
        <v>47</v>
      </c>
      <c r="AO966" s="12">
        <v>3057</v>
      </c>
      <c r="AP966" s="12" t="s">
        <v>53</v>
      </c>
      <c r="AQ966" s="2">
        <v>0</v>
      </c>
    </row>
    <row r="967" s="2" customFormat="1" spans="1:43">
      <c r="A967" s="11">
        <v>183103</v>
      </c>
      <c r="B967" s="161" t="s">
        <v>1226</v>
      </c>
      <c r="C967" s="11"/>
      <c r="D967" s="11"/>
      <c r="E967" s="11"/>
      <c r="F967" s="11">
        <v>0</v>
      </c>
      <c r="G967" s="11">
        <v>0</v>
      </c>
      <c r="H967" s="11" t="s">
        <v>45</v>
      </c>
      <c r="I967" s="11">
        <v>7</v>
      </c>
      <c r="J967" s="11">
        <v>0</v>
      </c>
      <c r="K967" s="11" t="s">
        <v>46</v>
      </c>
      <c r="L967" s="47" t="s">
        <v>47</v>
      </c>
      <c r="M967" s="54">
        <v>1010176</v>
      </c>
      <c r="N967" s="11">
        <v>0</v>
      </c>
      <c r="O967" s="47" t="s">
        <v>48</v>
      </c>
      <c r="P967" s="11">
        <v>0</v>
      </c>
      <c r="Q967" s="12">
        <v>528</v>
      </c>
      <c r="R967" s="12">
        <v>1152</v>
      </c>
      <c r="S967" s="11">
        <v>70</v>
      </c>
      <c r="T967" s="11">
        <v>66</v>
      </c>
      <c r="U967" s="11">
        <v>3</v>
      </c>
      <c r="V967" s="11"/>
      <c r="W967" s="47" t="s">
        <v>47</v>
      </c>
      <c r="X967" s="47"/>
      <c r="Y967" s="47"/>
      <c r="Z967" s="11"/>
      <c r="AA967" s="11"/>
      <c r="AB967" s="11" t="s">
        <v>1227</v>
      </c>
      <c r="AC967" s="60" t="s">
        <v>51</v>
      </c>
      <c r="AD967" s="11" t="s">
        <v>51</v>
      </c>
      <c r="AE967" s="11" t="s">
        <v>51</v>
      </c>
      <c r="AF967" s="11" t="s">
        <v>51</v>
      </c>
      <c r="AG967" s="11"/>
      <c r="AH967" s="47" t="s">
        <v>52</v>
      </c>
      <c r="AI967" s="11">
        <v>0</v>
      </c>
      <c r="AJ967" s="11"/>
      <c r="AK967" s="11"/>
      <c r="AL967" s="11"/>
      <c r="AM967" s="11"/>
      <c r="AN967" s="47" t="s">
        <v>47</v>
      </c>
      <c r="AO967" s="11">
        <v>3058</v>
      </c>
      <c r="AP967" s="11" t="s">
        <v>53</v>
      </c>
      <c r="AQ967" s="2">
        <v>0</v>
      </c>
    </row>
    <row r="968" s="3" customFormat="1" spans="1:43">
      <c r="A968" s="12">
        <v>183104</v>
      </c>
      <c r="B968" s="161" t="s">
        <v>1226</v>
      </c>
      <c r="C968" s="12"/>
      <c r="D968" s="12"/>
      <c r="E968" s="12"/>
      <c r="F968" s="12">
        <v>0</v>
      </c>
      <c r="G968" s="12">
        <v>0</v>
      </c>
      <c r="H968" s="12" t="s">
        <v>45</v>
      </c>
      <c r="I968" s="12">
        <v>7</v>
      </c>
      <c r="J968" s="12">
        <v>0</v>
      </c>
      <c r="K968" s="12" t="s">
        <v>46</v>
      </c>
      <c r="L968" s="47" t="s">
        <v>47</v>
      </c>
      <c r="M968" s="54">
        <v>1010176</v>
      </c>
      <c r="N968" s="12">
        <v>0</v>
      </c>
      <c r="O968" s="47" t="s">
        <v>48</v>
      </c>
      <c r="P968" s="12">
        <v>0</v>
      </c>
      <c r="Q968" s="12">
        <v>880</v>
      </c>
      <c r="R968" s="12">
        <v>1296</v>
      </c>
      <c r="S968" s="12">
        <v>94</v>
      </c>
      <c r="T968" s="12">
        <v>61</v>
      </c>
      <c r="U968" s="12">
        <v>5</v>
      </c>
      <c r="V968" s="12"/>
      <c r="W968" s="47" t="s">
        <v>47</v>
      </c>
      <c r="X968" s="47"/>
      <c r="Y968" s="47"/>
      <c r="Z968" s="12"/>
      <c r="AA968" s="12"/>
      <c r="AB968" s="12" t="s">
        <v>1227</v>
      </c>
      <c r="AC968" s="60" t="s">
        <v>51</v>
      </c>
      <c r="AD968" s="12" t="s">
        <v>51</v>
      </c>
      <c r="AE968" s="12" t="s">
        <v>51</v>
      </c>
      <c r="AF968" s="12" t="s">
        <v>51</v>
      </c>
      <c r="AG968" s="12"/>
      <c r="AH968" s="47" t="s">
        <v>52</v>
      </c>
      <c r="AI968" s="12">
        <v>0</v>
      </c>
      <c r="AJ968" s="12"/>
      <c r="AK968" s="12"/>
      <c r="AL968" s="12"/>
      <c r="AM968" s="12"/>
      <c r="AN968" s="47" t="s">
        <v>47</v>
      </c>
      <c r="AO968" s="12">
        <v>3059</v>
      </c>
      <c r="AP968" s="12" t="s">
        <v>53</v>
      </c>
      <c r="AQ968" s="2">
        <v>0</v>
      </c>
    </row>
    <row r="969" s="2" customFormat="1" spans="1:43">
      <c r="A969" s="11">
        <v>183105</v>
      </c>
      <c r="B969" s="163" t="s">
        <v>1228</v>
      </c>
      <c r="C969" s="11"/>
      <c r="D969" s="11"/>
      <c r="E969" s="11"/>
      <c r="F969" s="11">
        <v>0</v>
      </c>
      <c r="G969" s="11">
        <v>0</v>
      </c>
      <c r="H969" s="60">
        <v>1.35</v>
      </c>
      <c r="I969" s="11">
        <v>7</v>
      </c>
      <c r="J969" s="11">
        <v>0</v>
      </c>
      <c r="K969" s="11" t="s">
        <v>46</v>
      </c>
      <c r="L969" s="47" t="s">
        <v>47</v>
      </c>
      <c r="M969" s="54">
        <v>1010173</v>
      </c>
      <c r="N969" s="11">
        <v>0</v>
      </c>
      <c r="O969" s="47" t="s">
        <v>48</v>
      </c>
      <c r="P969" s="11">
        <v>0</v>
      </c>
      <c r="Q969" s="12">
        <v>1088</v>
      </c>
      <c r="R969" s="12">
        <v>976</v>
      </c>
      <c r="S969" s="11">
        <v>98</v>
      </c>
      <c r="T969" s="11">
        <v>43</v>
      </c>
      <c r="U969" s="11">
        <v>3</v>
      </c>
      <c r="V969" s="11"/>
      <c r="W969" s="47" t="s">
        <v>47</v>
      </c>
      <c r="X969" s="47"/>
      <c r="Y969" s="47"/>
      <c r="Z969" s="11"/>
      <c r="AA969" s="11"/>
      <c r="AB969" s="11" t="s">
        <v>1227</v>
      </c>
      <c r="AC969" s="60">
        <v>2640</v>
      </c>
      <c r="AD969" s="11" t="s">
        <v>51</v>
      </c>
      <c r="AE969" s="11" t="s">
        <v>51</v>
      </c>
      <c r="AF969" s="11" t="s">
        <v>51</v>
      </c>
      <c r="AG969" s="11"/>
      <c r="AH969" s="47" t="s">
        <v>52</v>
      </c>
      <c r="AI969" s="11">
        <v>0</v>
      </c>
      <c r="AJ969" s="11"/>
      <c r="AK969" s="11"/>
      <c r="AL969" s="11"/>
      <c r="AM969" s="11"/>
      <c r="AN969" s="47" t="s">
        <v>47</v>
      </c>
      <c r="AO969" s="11">
        <v>3060</v>
      </c>
      <c r="AP969" s="11" t="s">
        <v>53</v>
      </c>
      <c r="AQ969" s="2">
        <v>0</v>
      </c>
    </row>
    <row r="970" s="3" customFormat="1" spans="1:43">
      <c r="A970" s="12">
        <v>183201</v>
      </c>
      <c r="B970" s="161" t="s">
        <v>1229</v>
      </c>
      <c r="C970" s="12"/>
      <c r="D970" s="12"/>
      <c r="E970" s="12"/>
      <c r="F970" s="12">
        <v>0</v>
      </c>
      <c r="G970" s="12">
        <v>0</v>
      </c>
      <c r="H970" s="12" t="s">
        <v>45</v>
      </c>
      <c r="I970" s="12">
        <v>7</v>
      </c>
      <c r="J970" s="12">
        <v>0</v>
      </c>
      <c r="K970" s="12" t="s">
        <v>46</v>
      </c>
      <c r="L970" s="47" t="s">
        <v>47</v>
      </c>
      <c r="M970" s="54">
        <v>1010127</v>
      </c>
      <c r="N970" s="12">
        <v>0</v>
      </c>
      <c r="O970" s="47" t="s">
        <v>48</v>
      </c>
      <c r="P970" s="12">
        <v>0</v>
      </c>
      <c r="Q970" s="12">
        <v>1104</v>
      </c>
      <c r="R970" s="12">
        <v>208</v>
      </c>
      <c r="S970" s="11">
        <v>21</v>
      </c>
      <c r="T970" s="11">
        <v>31</v>
      </c>
      <c r="U970" s="12">
        <v>5</v>
      </c>
      <c r="V970" s="12"/>
      <c r="W970" s="47" t="s">
        <v>47</v>
      </c>
      <c r="X970" s="47"/>
      <c r="Y970" s="47"/>
      <c r="Z970" s="12"/>
      <c r="AA970" s="12"/>
      <c r="AB970" s="12" t="s">
        <v>1227</v>
      </c>
      <c r="AC970" s="60">
        <v>2641</v>
      </c>
      <c r="AD970" s="12" t="s">
        <v>51</v>
      </c>
      <c r="AE970" s="12" t="s">
        <v>51</v>
      </c>
      <c r="AF970" s="12" t="s">
        <v>51</v>
      </c>
      <c r="AG970" s="12"/>
      <c r="AH970" s="47" t="s">
        <v>52</v>
      </c>
      <c r="AI970" s="12">
        <v>0</v>
      </c>
      <c r="AJ970" s="12"/>
      <c r="AK970" s="12"/>
      <c r="AL970" s="12"/>
      <c r="AM970" s="12"/>
      <c r="AN970" s="47" t="s">
        <v>47</v>
      </c>
      <c r="AO970" s="12">
        <v>3061</v>
      </c>
      <c r="AP970" s="12" t="s">
        <v>53</v>
      </c>
      <c r="AQ970" s="2">
        <v>0</v>
      </c>
    </row>
    <row r="971" s="2" customFormat="1" spans="1:43">
      <c r="A971" s="11">
        <v>183202</v>
      </c>
      <c r="B971" s="161" t="s">
        <v>1230</v>
      </c>
      <c r="C971" s="11"/>
      <c r="D971" s="11"/>
      <c r="E971" s="11"/>
      <c r="F971" s="11">
        <v>0</v>
      </c>
      <c r="G971" s="11">
        <v>0</v>
      </c>
      <c r="H971" s="11" t="s">
        <v>45</v>
      </c>
      <c r="I971" s="11">
        <v>7</v>
      </c>
      <c r="J971" s="11">
        <v>0</v>
      </c>
      <c r="K971" s="11" t="s">
        <v>46</v>
      </c>
      <c r="L971" s="47" t="s">
        <v>47</v>
      </c>
      <c r="M971" s="64">
        <v>1030003</v>
      </c>
      <c r="N971" s="11">
        <v>0</v>
      </c>
      <c r="O971" s="47" t="s">
        <v>48</v>
      </c>
      <c r="P971" s="11">
        <v>0</v>
      </c>
      <c r="Q971" s="12">
        <v>864</v>
      </c>
      <c r="R971" s="12">
        <v>656</v>
      </c>
      <c r="S971" s="12">
        <v>41</v>
      </c>
      <c r="T971" s="12">
        <v>56</v>
      </c>
      <c r="U971" s="11">
        <v>3</v>
      </c>
      <c r="V971" s="11"/>
      <c r="W971" s="47" t="s">
        <v>47</v>
      </c>
      <c r="X971" s="47"/>
      <c r="Y971" s="47"/>
      <c r="Z971" s="11"/>
      <c r="AA971" s="11"/>
      <c r="AB971" s="11" t="s">
        <v>1227</v>
      </c>
      <c r="AC971" s="60">
        <v>2642</v>
      </c>
      <c r="AD971" s="11" t="s">
        <v>51</v>
      </c>
      <c r="AE971" s="11" t="s">
        <v>51</v>
      </c>
      <c r="AF971" s="11" t="s">
        <v>51</v>
      </c>
      <c r="AG971" s="11"/>
      <c r="AH971" s="47" t="s">
        <v>52</v>
      </c>
      <c r="AI971" s="11">
        <v>0</v>
      </c>
      <c r="AJ971" s="11"/>
      <c r="AK971" s="11"/>
      <c r="AL971" s="11"/>
      <c r="AM971" s="11"/>
      <c r="AN971" s="47" t="s">
        <v>47</v>
      </c>
      <c r="AO971" s="11">
        <v>3062</v>
      </c>
      <c r="AP971" s="11" t="s">
        <v>53</v>
      </c>
      <c r="AQ971" s="2">
        <v>0</v>
      </c>
    </row>
    <row r="972" s="3" customFormat="1" spans="1:43">
      <c r="A972" s="12">
        <v>183203</v>
      </c>
      <c r="B972" s="161" t="s">
        <v>1231</v>
      </c>
      <c r="C972" s="12"/>
      <c r="D972" s="12"/>
      <c r="E972" s="12"/>
      <c r="F972" s="12">
        <v>0</v>
      </c>
      <c r="G972" s="12">
        <v>0</v>
      </c>
      <c r="H972" s="12" t="s">
        <v>45</v>
      </c>
      <c r="I972" s="12">
        <v>7</v>
      </c>
      <c r="J972" s="12">
        <v>0</v>
      </c>
      <c r="K972" s="12" t="s">
        <v>46</v>
      </c>
      <c r="L972" s="47" t="s">
        <v>47</v>
      </c>
      <c r="M972" s="54">
        <v>1010174</v>
      </c>
      <c r="N972" s="12">
        <v>0</v>
      </c>
      <c r="O972" s="47" t="s">
        <v>48</v>
      </c>
      <c r="P972" s="12">
        <v>0</v>
      </c>
      <c r="Q972" s="12">
        <v>528</v>
      </c>
      <c r="R972" s="12">
        <v>1152</v>
      </c>
      <c r="S972" s="11">
        <v>70</v>
      </c>
      <c r="T972" s="11">
        <v>66</v>
      </c>
      <c r="U972" s="12">
        <v>3</v>
      </c>
      <c r="V972" s="12"/>
      <c r="W972" s="47" t="s">
        <v>47</v>
      </c>
      <c r="X972" s="47"/>
      <c r="Y972" s="47"/>
      <c r="Z972" s="12"/>
      <c r="AA972" s="12"/>
      <c r="AB972" s="12" t="s">
        <v>1227</v>
      </c>
      <c r="AC972" s="60">
        <v>2643</v>
      </c>
      <c r="AD972" s="12" t="s">
        <v>51</v>
      </c>
      <c r="AE972" s="12" t="s">
        <v>51</v>
      </c>
      <c r="AF972" s="12" t="s">
        <v>51</v>
      </c>
      <c r="AG972" s="12"/>
      <c r="AH972" s="47" t="s">
        <v>52</v>
      </c>
      <c r="AI972" s="12">
        <v>0</v>
      </c>
      <c r="AJ972" s="12"/>
      <c r="AK972" s="12"/>
      <c r="AL972" s="12"/>
      <c r="AM972" s="12"/>
      <c r="AN972" s="47" t="s">
        <v>47</v>
      </c>
      <c r="AO972" s="12">
        <v>3063</v>
      </c>
      <c r="AP972" s="12" t="s">
        <v>53</v>
      </c>
      <c r="AQ972" s="2">
        <v>0</v>
      </c>
    </row>
    <row r="973" s="2" customFormat="1" spans="1:43">
      <c r="A973" s="11">
        <v>183204</v>
      </c>
      <c r="B973" s="161" t="s">
        <v>1232</v>
      </c>
      <c r="C973" s="11"/>
      <c r="D973" s="11"/>
      <c r="E973" s="11"/>
      <c r="F973" s="11">
        <v>0</v>
      </c>
      <c r="G973" s="11">
        <v>0</v>
      </c>
      <c r="H973" s="11" t="s">
        <v>45</v>
      </c>
      <c r="I973" s="11">
        <v>7</v>
      </c>
      <c r="J973" s="11">
        <v>0</v>
      </c>
      <c r="K973" s="11" t="s">
        <v>46</v>
      </c>
      <c r="L973" s="47" t="s">
        <v>47</v>
      </c>
      <c r="M973" s="50">
        <v>1020113</v>
      </c>
      <c r="N973" s="11">
        <v>0</v>
      </c>
      <c r="O973" s="47" t="s">
        <v>48</v>
      </c>
      <c r="P973" s="11">
        <v>0</v>
      </c>
      <c r="Q973" s="12">
        <v>880</v>
      </c>
      <c r="R973" s="12">
        <v>1296</v>
      </c>
      <c r="S973" s="12">
        <v>94</v>
      </c>
      <c r="T973" s="12">
        <v>61</v>
      </c>
      <c r="U973" s="11">
        <v>5</v>
      </c>
      <c r="V973" s="11"/>
      <c r="W973" s="47" t="s">
        <v>47</v>
      </c>
      <c r="X973" s="47"/>
      <c r="Y973" s="47"/>
      <c r="Z973" s="11"/>
      <c r="AA973" s="11"/>
      <c r="AB973" s="11" t="s">
        <v>1227</v>
      </c>
      <c r="AC973" s="60">
        <v>2644</v>
      </c>
      <c r="AD973" s="11" t="s">
        <v>51</v>
      </c>
      <c r="AE973" s="11" t="s">
        <v>51</v>
      </c>
      <c r="AF973" s="11" t="s">
        <v>51</v>
      </c>
      <c r="AG973" s="11"/>
      <c r="AH973" s="47" t="s">
        <v>52</v>
      </c>
      <c r="AI973" s="11">
        <v>0</v>
      </c>
      <c r="AJ973" s="11"/>
      <c r="AK973" s="11"/>
      <c r="AL973" s="11"/>
      <c r="AM973" s="11"/>
      <c r="AN973" s="47" t="s">
        <v>47</v>
      </c>
      <c r="AO973" s="11">
        <v>3064</v>
      </c>
      <c r="AP973" s="11" t="s">
        <v>53</v>
      </c>
      <c r="AQ973" s="2">
        <v>0</v>
      </c>
    </row>
    <row r="974" s="3" customFormat="1" spans="1:43">
      <c r="A974" s="12">
        <v>183205</v>
      </c>
      <c r="B974" s="163" t="s">
        <v>1233</v>
      </c>
      <c r="C974" s="12"/>
      <c r="D974" s="12"/>
      <c r="E974" s="12"/>
      <c r="F974" s="12">
        <v>0</v>
      </c>
      <c r="G974" s="12">
        <v>0</v>
      </c>
      <c r="H974" s="12" t="s">
        <v>45</v>
      </c>
      <c r="I974" s="12">
        <v>7</v>
      </c>
      <c r="J974" s="12">
        <v>0</v>
      </c>
      <c r="K974" s="12" t="s">
        <v>46</v>
      </c>
      <c r="L974" s="47" t="s">
        <v>47</v>
      </c>
      <c r="M974" s="50">
        <v>1020101</v>
      </c>
      <c r="N974" s="12">
        <v>0</v>
      </c>
      <c r="O974" s="47" t="s">
        <v>48</v>
      </c>
      <c r="P974" s="12">
        <v>0</v>
      </c>
      <c r="Q974" s="12">
        <v>1088</v>
      </c>
      <c r="R974" s="12">
        <v>976</v>
      </c>
      <c r="S974" s="11">
        <v>98</v>
      </c>
      <c r="T974" s="11">
        <v>43</v>
      </c>
      <c r="U974" s="12">
        <v>3</v>
      </c>
      <c r="V974" s="12"/>
      <c r="W974" s="47" t="s">
        <v>47</v>
      </c>
      <c r="X974" s="47"/>
      <c r="Y974" s="47"/>
      <c r="Z974" s="12"/>
      <c r="AA974" s="12"/>
      <c r="AB974" s="12" t="s">
        <v>1227</v>
      </c>
      <c r="AC974" s="60">
        <v>2645</v>
      </c>
      <c r="AD974" s="12" t="s">
        <v>51</v>
      </c>
      <c r="AE974" s="12" t="s">
        <v>51</v>
      </c>
      <c r="AF974" s="12" t="s">
        <v>51</v>
      </c>
      <c r="AG974" s="12"/>
      <c r="AH974" s="47" t="s">
        <v>52</v>
      </c>
      <c r="AI974" s="12">
        <v>0</v>
      </c>
      <c r="AJ974" s="12"/>
      <c r="AK974" s="12"/>
      <c r="AL974" s="12"/>
      <c r="AM974" s="12"/>
      <c r="AN974" s="47" t="s">
        <v>47</v>
      </c>
      <c r="AO974" s="12">
        <v>3065</v>
      </c>
      <c r="AP974" s="12" t="s">
        <v>53</v>
      </c>
      <c r="AQ974" s="2">
        <v>0</v>
      </c>
    </row>
    <row r="975" s="2" customFormat="1" spans="1:43">
      <c r="A975" s="11">
        <v>183301</v>
      </c>
      <c r="B975" s="161" t="s">
        <v>1234</v>
      </c>
      <c r="C975" s="11"/>
      <c r="D975" s="11"/>
      <c r="E975" s="11"/>
      <c r="F975" s="11">
        <v>0</v>
      </c>
      <c r="G975" s="11">
        <v>0</v>
      </c>
      <c r="H975" s="60">
        <v>1.35</v>
      </c>
      <c r="I975" s="11">
        <v>7</v>
      </c>
      <c r="J975" s="11">
        <v>0</v>
      </c>
      <c r="K975" s="11" t="s">
        <v>46</v>
      </c>
      <c r="L975" s="47" t="s">
        <v>47</v>
      </c>
      <c r="M975" s="50">
        <v>1020101</v>
      </c>
      <c r="N975" s="11">
        <v>0</v>
      </c>
      <c r="O975" s="47" t="s">
        <v>48</v>
      </c>
      <c r="P975" s="11">
        <v>0</v>
      </c>
      <c r="Q975" s="12">
        <v>1104</v>
      </c>
      <c r="R975" s="12">
        <v>208</v>
      </c>
      <c r="S975" s="11">
        <v>21</v>
      </c>
      <c r="T975" s="11">
        <v>31</v>
      </c>
      <c r="U975" s="11">
        <v>5</v>
      </c>
      <c r="V975" s="11"/>
      <c r="W975" s="47" t="s">
        <v>47</v>
      </c>
      <c r="X975" s="47"/>
      <c r="Y975" s="47"/>
      <c r="Z975" s="11"/>
      <c r="AA975" s="11"/>
      <c r="AB975" s="11" t="s">
        <v>1227</v>
      </c>
      <c r="AC975" s="60">
        <v>2646</v>
      </c>
      <c r="AD975" s="11" t="s">
        <v>51</v>
      </c>
      <c r="AE975" s="11" t="s">
        <v>51</v>
      </c>
      <c r="AF975" s="11" t="s">
        <v>51</v>
      </c>
      <c r="AG975" s="11"/>
      <c r="AH975" s="47" t="s">
        <v>52</v>
      </c>
      <c r="AI975" s="11">
        <v>0</v>
      </c>
      <c r="AJ975" s="11"/>
      <c r="AK975" s="11"/>
      <c r="AL975" s="11"/>
      <c r="AM975" s="11"/>
      <c r="AN975" s="47" t="s">
        <v>47</v>
      </c>
      <c r="AO975" s="11">
        <v>3066</v>
      </c>
      <c r="AP975" s="11" t="s">
        <v>53</v>
      </c>
      <c r="AQ975" s="2">
        <v>0</v>
      </c>
    </row>
    <row r="976" s="3" customFormat="1" spans="1:43">
      <c r="A976" s="12">
        <v>183302</v>
      </c>
      <c r="B976" s="161" t="s">
        <v>1235</v>
      </c>
      <c r="C976" s="12"/>
      <c r="D976" s="12"/>
      <c r="E976" s="12"/>
      <c r="F976" s="12">
        <v>0</v>
      </c>
      <c r="G976" s="12">
        <v>0</v>
      </c>
      <c r="H976" s="12" t="s">
        <v>45</v>
      </c>
      <c r="I976" s="12">
        <v>7</v>
      </c>
      <c r="J976" s="12">
        <v>0</v>
      </c>
      <c r="K976" s="12" t="s">
        <v>46</v>
      </c>
      <c r="L976" s="47" t="s">
        <v>47</v>
      </c>
      <c r="M976" s="50">
        <v>1020101</v>
      </c>
      <c r="N976" s="12">
        <v>0</v>
      </c>
      <c r="O976" s="47" t="s">
        <v>48</v>
      </c>
      <c r="P976" s="12">
        <v>0</v>
      </c>
      <c r="Q976" s="12">
        <v>864</v>
      </c>
      <c r="R976" s="12">
        <v>656</v>
      </c>
      <c r="S976" s="12">
        <v>41</v>
      </c>
      <c r="T976" s="12">
        <v>56</v>
      </c>
      <c r="U976" s="12">
        <v>3</v>
      </c>
      <c r="V976" s="12"/>
      <c r="W976" s="47" t="s">
        <v>47</v>
      </c>
      <c r="X976" s="47"/>
      <c r="Y976" s="47"/>
      <c r="Z976" s="12"/>
      <c r="AA976" s="12"/>
      <c r="AB976" s="12" t="s">
        <v>1227</v>
      </c>
      <c r="AC976" s="60">
        <v>2647</v>
      </c>
      <c r="AD976" s="12" t="s">
        <v>51</v>
      </c>
      <c r="AE976" s="12" t="s">
        <v>51</v>
      </c>
      <c r="AF976" s="12" t="s">
        <v>51</v>
      </c>
      <c r="AG976" s="12"/>
      <c r="AH976" s="47" t="s">
        <v>52</v>
      </c>
      <c r="AI976" s="12">
        <v>0</v>
      </c>
      <c r="AJ976" s="12"/>
      <c r="AK976" s="12"/>
      <c r="AL976" s="12"/>
      <c r="AM976" s="12"/>
      <c r="AN976" s="47" t="s">
        <v>47</v>
      </c>
      <c r="AO976" s="12">
        <v>3067</v>
      </c>
      <c r="AP976" s="12" t="s">
        <v>53</v>
      </c>
      <c r="AQ976" s="2">
        <v>0</v>
      </c>
    </row>
    <row r="977" s="2" customFormat="1" spans="1:43">
      <c r="A977" s="11">
        <v>183303</v>
      </c>
      <c r="B977" s="161" t="s">
        <v>1236</v>
      </c>
      <c r="C977" s="11"/>
      <c r="D977" s="11"/>
      <c r="E977" s="11"/>
      <c r="F977" s="11">
        <v>0</v>
      </c>
      <c r="G977" s="11">
        <v>0</v>
      </c>
      <c r="H977" s="11" t="s">
        <v>45</v>
      </c>
      <c r="I977" s="11">
        <v>7</v>
      </c>
      <c r="J977" s="11">
        <v>0</v>
      </c>
      <c r="K977" s="11" t="s">
        <v>46</v>
      </c>
      <c r="L977" s="47" t="s">
        <v>47</v>
      </c>
      <c r="M977" s="50">
        <v>1020101</v>
      </c>
      <c r="N977" s="11">
        <v>0</v>
      </c>
      <c r="O977" s="47" t="s">
        <v>48</v>
      </c>
      <c r="P977" s="11">
        <v>0</v>
      </c>
      <c r="Q977" s="12">
        <v>528</v>
      </c>
      <c r="R977" s="12">
        <v>1152</v>
      </c>
      <c r="S977" s="11">
        <v>70</v>
      </c>
      <c r="T977" s="11">
        <v>66</v>
      </c>
      <c r="U977" s="11">
        <v>3</v>
      </c>
      <c r="V977" s="11"/>
      <c r="W977" s="47" t="s">
        <v>47</v>
      </c>
      <c r="X977" s="47"/>
      <c r="Y977" s="47"/>
      <c r="Z977" s="11"/>
      <c r="AA977" s="11"/>
      <c r="AB977" s="11" t="s">
        <v>1227</v>
      </c>
      <c r="AC977" s="60">
        <v>2648</v>
      </c>
      <c r="AD977" s="11" t="s">
        <v>51</v>
      </c>
      <c r="AE977" s="11" t="s">
        <v>51</v>
      </c>
      <c r="AF977" s="11" t="s">
        <v>51</v>
      </c>
      <c r="AG977" s="11"/>
      <c r="AH977" s="47" t="s">
        <v>52</v>
      </c>
      <c r="AI977" s="11">
        <v>0</v>
      </c>
      <c r="AJ977" s="11"/>
      <c r="AK977" s="11"/>
      <c r="AL977" s="11"/>
      <c r="AM977" s="11"/>
      <c r="AN977" s="47" t="s">
        <v>47</v>
      </c>
      <c r="AO977" s="11">
        <v>3068</v>
      </c>
      <c r="AP977" s="11" t="s">
        <v>53</v>
      </c>
      <c r="AQ977" s="2">
        <v>0</v>
      </c>
    </row>
    <row r="978" s="3" customFormat="1" spans="1:43">
      <c r="A978" s="12">
        <v>183304</v>
      </c>
      <c r="B978" s="161" t="s">
        <v>1237</v>
      </c>
      <c r="C978" s="12"/>
      <c r="D978" s="12"/>
      <c r="E978" s="12"/>
      <c r="F978" s="12">
        <v>0</v>
      </c>
      <c r="G978" s="12">
        <v>0</v>
      </c>
      <c r="H978" s="12" t="s">
        <v>45</v>
      </c>
      <c r="I978" s="12">
        <v>7</v>
      </c>
      <c r="J978" s="12">
        <v>0</v>
      </c>
      <c r="K978" s="12" t="s">
        <v>46</v>
      </c>
      <c r="L978" s="47" t="s">
        <v>47</v>
      </c>
      <c r="M978" s="50">
        <v>1020101</v>
      </c>
      <c r="N978" s="12">
        <v>0</v>
      </c>
      <c r="O978" s="47" t="s">
        <v>48</v>
      </c>
      <c r="P978" s="12">
        <v>0</v>
      </c>
      <c r="Q978" s="12">
        <v>880</v>
      </c>
      <c r="R978" s="12">
        <v>1296</v>
      </c>
      <c r="S978" s="12">
        <v>94</v>
      </c>
      <c r="T978" s="12">
        <v>61</v>
      </c>
      <c r="U978" s="12">
        <v>5</v>
      </c>
      <c r="V978" s="12"/>
      <c r="W978" s="47" t="s">
        <v>47</v>
      </c>
      <c r="X978" s="47"/>
      <c r="Y978" s="47"/>
      <c r="Z978" s="12"/>
      <c r="AA978" s="12"/>
      <c r="AB978" s="12" t="s">
        <v>1227</v>
      </c>
      <c r="AC978" s="60">
        <v>2649</v>
      </c>
      <c r="AD978" s="12" t="s">
        <v>51</v>
      </c>
      <c r="AE978" s="12" t="s">
        <v>51</v>
      </c>
      <c r="AF978" s="12" t="s">
        <v>51</v>
      </c>
      <c r="AG978" s="12"/>
      <c r="AH978" s="47" t="s">
        <v>52</v>
      </c>
      <c r="AI978" s="12">
        <v>0</v>
      </c>
      <c r="AJ978" s="12"/>
      <c r="AK978" s="12"/>
      <c r="AL978" s="12"/>
      <c r="AM978" s="12"/>
      <c r="AN978" s="47" t="s">
        <v>47</v>
      </c>
      <c r="AO978" s="12">
        <v>3069</v>
      </c>
      <c r="AP978" s="12" t="s">
        <v>53</v>
      </c>
      <c r="AQ978" s="2">
        <v>0</v>
      </c>
    </row>
    <row r="979" s="2" customFormat="1" spans="1:43">
      <c r="A979" s="11">
        <v>183305</v>
      </c>
      <c r="B979" s="163" t="s">
        <v>1238</v>
      </c>
      <c r="C979" s="11"/>
      <c r="D979" s="11"/>
      <c r="E979" s="11"/>
      <c r="F979" s="11">
        <v>0</v>
      </c>
      <c r="G979" s="11">
        <v>0</v>
      </c>
      <c r="H979" s="60">
        <v>1.35</v>
      </c>
      <c r="I979" s="11">
        <v>7</v>
      </c>
      <c r="J979" s="11">
        <v>0</v>
      </c>
      <c r="K979" s="11" t="s">
        <v>46</v>
      </c>
      <c r="L979" s="47" t="s">
        <v>47</v>
      </c>
      <c r="M979" s="54">
        <v>1010170</v>
      </c>
      <c r="N979" s="11">
        <v>0</v>
      </c>
      <c r="O979" s="47" t="s">
        <v>48</v>
      </c>
      <c r="P979" s="11">
        <v>0</v>
      </c>
      <c r="Q979" s="12">
        <v>1088</v>
      </c>
      <c r="R979" s="12">
        <v>976</v>
      </c>
      <c r="S979" s="11">
        <v>98</v>
      </c>
      <c r="T979" s="11">
        <v>43</v>
      </c>
      <c r="U979" s="11">
        <v>3</v>
      </c>
      <c r="V979" s="11"/>
      <c r="W979" s="47" t="s">
        <v>47</v>
      </c>
      <c r="X979" s="47"/>
      <c r="Y979" s="47"/>
      <c r="Z979" s="11"/>
      <c r="AA979" s="11"/>
      <c r="AB979" s="11" t="s">
        <v>1227</v>
      </c>
      <c r="AC979" s="60">
        <v>2650</v>
      </c>
      <c r="AD979" s="11" t="s">
        <v>51</v>
      </c>
      <c r="AE979" s="11" t="s">
        <v>51</v>
      </c>
      <c r="AF979" s="11" t="s">
        <v>51</v>
      </c>
      <c r="AG979" s="11"/>
      <c r="AH979" s="47" t="s">
        <v>52</v>
      </c>
      <c r="AI979" s="11">
        <v>0</v>
      </c>
      <c r="AJ979" s="11"/>
      <c r="AK979" s="11"/>
      <c r="AL979" s="11"/>
      <c r="AM979" s="11"/>
      <c r="AN979" s="47" t="s">
        <v>47</v>
      </c>
      <c r="AO979" s="11">
        <v>3070</v>
      </c>
      <c r="AP979" s="11" t="s">
        <v>53</v>
      </c>
      <c r="AQ979" s="2">
        <v>0</v>
      </c>
    </row>
    <row r="980" s="3" customFormat="1" spans="1:43">
      <c r="A980" s="12">
        <v>183401</v>
      </c>
      <c r="B980" s="161" t="s">
        <v>1239</v>
      </c>
      <c r="C980" s="12"/>
      <c r="D980" s="12"/>
      <c r="E980" s="12"/>
      <c r="F980" s="12">
        <v>0</v>
      </c>
      <c r="G980" s="12">
        <v>0</v>
      </c>
      <c r="H980" s="12" t="s">
        <v>45</v>
      </c>
      <c r="I980" s="12">
        <v>7</v>
      </c>
      <c r="J980" s="12">
        <v>0</v>
      </c>
      <c r="K980" s="12" t="s">
        <v>46</v>
      </c>
      <c r="L980" s="47" t="s">
        <v>47</v>
      </c>
      <c r="M980" s="54">
        <v>1010170</v>
      </c>
      <c r="N980" s="12">
        <v>0</v>
      </c>
      <c r="O980" s="47" t="s">
        <v>48</v>
      </c>
      <c r="P980" s="12">
        <v>0</v>
      </c>
      <c r="Q980" s="12">
        <v>1104</v>
      </c>
      <c r="R980" s="12">
        <v>208</v>
      </c>
      <c r="S980" s="11">
        <v>21</v>
      </c>
      <c r="T980" s="11">
        <v>31</v>
      </c>
      <c r="U980" s="12">
        <v>5</v>
      </c>
      <c r="V980" s="12"/>
      <c r="W980" s="47" t="s">
        <v>47</v>
      </c>
      <c r="X980" s="47"/>
      <c r="Y980" s="47"/>
      <c r="Z980" s="12"/>
      <c r="AA980" s="12"/>
      <c r="AB980" s="12" t="s">
        <v>1227</v>
      </c>
      <c r="AC980" s="60">
        <v>2651</v>
      </c>
      <c r="AD980" s="12" t="s">
        <v>51</v>
      </c>
      <c r="AE980" s="12" t="s">
        <v>51</v>
      </c>
      <c r="AF980" s="12" t="s">
        <v>51</v>
      </c>
      <c r="AG980" s="12"/>
      <c r="AH980" s="47" t="s">
        <v>52</v>
      </c>
      <c r="AI980" s="12">
        <v>0</v>
      </c>
      <c r="AJ980" s="12"/>
      <c r="AK980" s="12"/>
      <c r="AL980" s="12"/>
      <c r="AM980" s="12"/>
      <c r="AN980" s="47" t="s">
        <v>47</v>
      </c>
      <c r="AO980" s="12">
        <v>3071</v>
      </c>
      <c r="AP980" s="12" t="s">
        <v>53</v>
      </c>
      <c r="AQ980" s="2">
        <v>0</v>
      </c>
    </row>
    <row r="981" s="2" customFormat="1" spans="1:43">
      <c r="A981" s="11">
        <v>183402</v>
      </c>
      <c r="B981" s="161" t="s">
        <v>1240</v>
      </c>
      <c r="C981" s="11"/>
      <c r="D981" s="11"/>
      <c r="E981" s="11"/>
      <c r="F981" s="11">
        <v>0</v>
      </c>
      <c r="G981" s="11">
        <v>0</v>
      </c>
      <c r="H981" s="11" t="s">
        <v>45</v>
      </c>
      <c r="I981" s="11">
        <v>7</v>
      </c>
      <c r="J981" s="11">
        <v>0</v>
      </c>
      <c r="K981" s="11" t="s">
        <v>46</v>
      </c>
      <c r="L981" s="47" t="s">
        <v>47</v>
      </c>
      <c r="M981" s="54">
        <v>1010170</v>
      </c>
      <c r="N981" s="11">
        <v>0</v>
      </c>
      <c r="O981" s="47" t="s">
        <v>48</v>
      </c>
      <c r="P981" s="11">
        <v>0</v>
      </c>
      <c r="Q981" s="12">
        <v>864</v>
      </c>
      <c r="R981" s="12">
        <v>656</v>
      </c>
      <c r="S981" s="12">
        <v>41</v>
      </c>
      <c r="T981" s="12">
        <v>56</v>
      </c>
      <c r="U981" s="11">
        <v>3</v>
      </c>
      <c r="V981" s="11"/>
      <c r="W981" s="47" t="s">
        <v>47</v>
      </c>
      <c r="X981" s="47"/>
      <c r="Y981" s="47"/>
      <c r="Z981" s="11"/>
      <c r="AA981" s="11"/>
      <c r="AB981" s="11" t="s">
        <v>1227</v>
      </c>
      <c r="AC981" s="60">
        <v>2652</v>
      </c>
      <c r="AD981" s="11" t="s">
        <v>51</v>
      </c>
      <c r="AE981" s="11" t="s">
        <v>51</v>
      </c>
      <c r="AF981" s="11" t="s">
        <v>51</v>
      </c>
      <c r="AG981" s="11"/>
      <c r="AH981" s="47" t="s">
        <v>52</v>
      </c>
      <c r="AI981" s="11">
        <v>0</v>
      </c>
      <c r="AJ981" s="11"/>
      <c r="AK981" s="11"/>
      <c r="AL981" s="11"/>
      <c r="AM981" s="11"/>
      <c r="AN981" s="47" t="s">
        <v>47</v>
      </c>
      <c r="AO981" s="11">
        <v>3072</v>
      </c>
      <c r="AP981" s="11" t="s">
        <v>53</v>
      </c>
      <c r="AQ981" s="2">
        <v>0</v>
      </c>
    </row>
    <row r="982" s="3" customFormat="1" spans="1:43">
      <c r="A982" s="12">
        <v>183403</v>
      </c>
      <c r="B982" s="161" t="s">
        <v>1241</v>
      </c>
      <c r="C982" s="12"/>
      <c r="D982" s="12"/>
      <c r="E982" s="12"/>
      <c r="F982" s="12">
        <v>0</v>
      </c>
      <c r="G982" s="12">
        <v>0</v>
      </c>
      <c r="H982" s="12" t="s">
        <v>45</v>
      </c>
      <c r="I982" s="12">
        <v>7</v>
      </c>
      <c r="J982" s="12">
        <v>0</v>
      </c>
      <c r="K982" s="12" t="s">
        <v>46</v>
      </c>
      <c r="L982" s="47" t="s">
        <v>47</v>
      </c>
      <c r="M982" s="54">
        <v>1010170</v>
      </c>
      <c r="N982" s="12">
        <v>0</v>
      </c>
      <c r="O982" s="47" t="s">
        <v>48</v>
      </c>
      <c r="P982" s="12">
        <v>0</v>
      </c>
      <c r="Q982" s="12">
        <v>528</v>
      </c>
      <c r="R982" s="12">
        <v>1152</v>
      </c>
      <c r="S982" s="11">
        <v>70</v>
      </c>
      <c r="T982" s="11">
        <v>66</v>
      </c>
      <c r="U982" s="12">
        <v>3</v>
      </c>
      <c r="V982" s="12"/>
      <c r="W982" s="47" t="s">
        <v>47</v>
      </c>
      <c r="X982" s="47"/>
      <c r="Y982" s="47"/>
      <c r="Z982" s="12"/>
      <c r="AA982" s="12"/>
      <c r="AB982" s="12" t="s">
        <v>1227</v>
      </c>
      <c r="AC982" s="60">
        <v>2653</v>
      </c>
      <c r="AD982" s="12" t="s">
        <v>51</v>
      </c>
      <c r="AE982" s="12" t="s">
        <v>51</v>
      </c>
      <c r="AF982" s="12" t="s">
        <v>51</v>
      </c>
      <c r="AG982" s="12"/>
      <c r="AH982" s="47" t="s">
        <v>52</v>
      </c>
      <c r="AI982" s="12">
        <v>0</v>
      </c>
      <c r="AJ982" s="12"/>
      <c r="AK982" s="12"/>
      <c r="AL982" s="12"/>
      <c r="AM982" s="12"/>
      <c r="AN982" s="47" t="s">
        <v>47</v>
      </c>
      <c r="AO982" s="12">
        <v>3073</v>
      </c>
      <c r="AP982" s="12" t="s">
        <v>53</v>
      </c>
      <c r="AQ982" s="2">
        <v>0</v>
      </c>
    </row>
    <row r="983" s="2" customFormat="1" spans="1:43">
      <c r="A983" s="11">
        <v>183404</v>
      </c>
      <c r="B983" s="161" t="s">
        <v>1242</v>
      </c>
      <c r="C983" s="11"/>
      <c r="D983" s="11"/>
      <c r="E983" s="11"/>
      <c r="F983" s="11">
        <v>0</v>
      </c>
      <c r="G983" s="11">
        <v>0</v>
      </c>
      <c r="H983" s="11" t="s">
        <v>45</v>
      </c>
      <c r="I983" s="11">
        <v>7</v>
      </c>
      <c r="J983" s="11">
        <v>0</v>
      </c>
      <c r="K983" s="11" t="s">
        <v>46</v>
      </c>
      <c r="L983" s="47" t="s">
        <v>47</v>
      </c>
      <c r="M983" s="54">
        <v>1010170</v>
      </c>
      <c r="N983" s="11">
        <v>0</v>
      </c>
      <c r="O983" s="47" t="s">
        <v>48</v>
      </c>
      <c r="P983" s="11">
        <v>0</v>
      </c>
      <c r="Q983" s="12">
        <v>880</v>
      </c>
      <c r="R983" s="12">
        <v>1296</v>
      </c>
      <c r="S983" s="12">
        <v>94</v>
      </c>
      <c r="T983" s="12">
        <v>61</v>
      </c>
      <c r="U983" s="11">
        <v>5</v>
      </c>
      <c r="V983" s="11"/>
      <c r="W983" s="47" t="s">
        <v>47</v>
      </c>
      <c r="X983" s="47"/>
      <c r="Y983" s="47"/>
      <c r="Z983" s="11"/>
      <c r="AA983" s="11"/>
      <c r="AB983" s="11" t="s">
        <v>1227</v>
      </c>
      <c r="AC983" s="60">
        <v>2654</v>
      </c>
      <c r="AD983" s="11" t="s">
        <v>51</v>
      </c>
      <c r="AE983" s="11" t="s">
        <v>51</v>
      </c>
      <c r="AF983" s="11" t="s">
        <v>51</v>
      </c>
      <c r="AG983" s="11"/>
      <c r="AH983" s="47" t="s">
        <v>52</v>
      </c>
      <c r="AI983" s="11">
        <v>0</v>
      </c>
      <c r="AJ983" s="11"/>
      <c r="AK983" s="11"/>
      <c r="AL983" s="11"/>
      <c r="AM983" s="11"/>
      <c r="AN983" s="47" t="s">
        <v>47</v>
      </c>
      <c r="AO983" s="11">
        <v>3074</v>
      </c>
      <c r="AP983" s="11" t="s">
        <v>53</v>
      </c>
      <c r="AQ983" s="2">
        <v>0</v>
      </c>
    </row>
    <row r="984" s="3" customFormat="1" spans="1:43">
      <c r="A984" s="12">
        <v>183405</v>
      </c>
      <c r="B984" s="163" t="s">
        <v>1243</v>
      </c>
      <c r="C984" s="12"/>
      <c r="D984" s="12"/>
      <c r="E984" s="12"/>
      <c r="F984" s="12">
        <v>0</v>
      </c>
      <c r="G984" s="12">
        <v>0</v>
      </c>
      <c r="H984" s="60">
        <v>1.35</v>
      </c>
      <c r="I984" s="12">
        <v>7</v>
      </c>
      <c r="J984" s="12">
        <v>0</v>
      </c>
      <c r="K984" s="12" t="s">
        <v>46</v>
      </c>
      <c r="L984" s="47" t="s">
        <v>47</v>
      </c>
      <c r="M984" s="54">
        <v>1010170</v>
      </c>
      <c r="N984" s="12">
        <v>0</v>
      </c>
      <c r="O984" s="47" t="s">
        <v>48</v>
      </c>
      <c r="P984" s="12">
        <v>0</v>
      </c>
      <c r="Q984" s="12">
        <v>1088</v>
      </c>
      <c r="R984" s="12">
        <v>976</v>
      </c>
      <c r="S984" s="11">
        <v>98</v>
      </c>
      <c r="T984" s="11">
        <v>43</v>
      </c>
      <c r="U984" s="12">
        <v>3</v>
      </c>
      <c r="V984" s="12"/>
      <c r="W984" s="47" t="s">
        <v>47</v>
      </c>
      <c r="X984" s="47"/>
      <c r="Y984" s="47"/>
      <c r="Z984" s="12"/>
      <c r="AA984" s="12"/>
      <c r="AB984" s="12" t="s">
        <v>1227</v>
      </c>
      <c r="AC984" s="60">
        <v>2655</v>
      </c>
      <c r="AD984" s="12" t="s">
        <v>51</v>
      </c>
      <c r="AE984" s="12" t="s">
        <v>51</v>
      </c>
      <c r="AF984" s="12" t="s">
        <v>51</v>
      </c>
      <c r="AG984" s="12"/>
      <c r="AH984" s="47" t="s">
        <v>52</v>
      </c>
      <c r="AI984" s="12">
        <v>0</v>
      </c>
      <c r="AJ984" s="12"/>
      <c r="AK984" s="12"/>
      <c r="AL984" s="12"/>
      <c r="AM984" s="12"/>
      <c r="AN984" s="47" t="s">
        <v>47</v>
      </c>
      <c r="AO984" s="12">
        <v>3075</v>
      </c>
      <c r="AP984" s="12" t="s">
        <v>53</v>
      </c>
      <c r="AQ984" s="2">
        <v>0</v>
      </c>
    </row>
    <row r="985" s="2" customFormat="1" spans="1:43">
      <c r="A985" s="11">
        <v>183501</v>
      </c>
      <c r="B985" s="161" t="s">
        <v>1244</v>
      </c>
      <c r="C985" s="11"/>
      <c r="D985" s="11"/>
      <c r="E985" s="11"/>
      <c r="F985" s="11">
        <v>0</v>
      </c>
      <c r="G985" s="11">
        <v>0</v>
      </c>
      <c r="H985" s="11" t="s">
        <v>45</v>
      </c>
      <c r="I985" s="11">
        <v>7</v>
      </c>
      <c r="J985" s="11">
        <v>0</v>
      </c>
      <c r="K985" s="11" t="s">
        <v>46</v>
      </c>
      <c r="L985" s="47" t="s">
        <v>47</v>
      </c>
      <c r="M985" s="54">
        <v>1010170</v>
      </c>
      <c r="N985" s="11">
        <v>0</v>
      </c>
      <c r="O985" s="47" t="s">
        <v>48</v>
      </c>
      <c r="P985" s="11">
        <v>0</v>
      </c>
      <c r="Q985" s="12">
        <v>1104</v>
      </c>
      <c r="R985" s="12">
        <v>208</v>
      </c>
      <c r="S985" s="11">
        <v>21</v>
      </c>
      <c r="T985" s="11">
        <v>31</v>
      </c>
      <c r="U985" s="11">
        <v>5</v>
      </c>
      <c r="V985" s="11"/>
      <c r="W985" s="47" t="s">
        <v>47</v>
      </c>
      <c r="X985" s="47"/>
      <c r="Y985" s="47"/>
      <c r="Z985" s="11"/>
      <c r="AA985" s="11"/>
      <c r="AB985" s="11" t="s">
        <v>1227</v>
      </c>
      <c r="AC985" s="60">
        <v>2656</v>
      </c>
      <c r="AD985" s="11" t="s">
        <v>51</v>
      </c>
      <c r="AE985" s="11" t="s">
        <v>51</v>
      </c>
      <c r="AF985" s="11" t="s">
        <v>51</v>
      </c>
      <c r="AG985" s="11"/>
      <c r="AH985" s="47" t="s">
        <v>52</v>
      </c>
      <c r="AI985" s="11">
        <v>0</v>
      </c>
      <c r="AJ985" s="11"/>
      <c r="AK985" s="11"/>
      <c r="AL985" s="11"/>
      <c r="AM985" s="11"/>
      <c r="AN985" s="47" t="s">
        <v>47</v>
      </c>
      <c r="AO985" s="11">
        <v>3076</v>
      </c>
      <c r="AP985" s="11" t="s">
        <v>53</v>
      </c>
      <c r="AQ985" s="2">
        <v>0</v>
      </c>
    </row>
    <row r="986" s="3" customFormat="1" spans="1:43">
      <c r="A986" s="12">
        <v>183502</v>
      </c>
      <c r="B986" s="161" t="s">
        <v>1245</v>
      </c>
      <c r="C986" s="12"/>
      <c r="D986" s="12"/>
      <c r="E986" s="12"/>
      <c r="F986" s="12">
        <v>0</v>
      </c>
      <c r="G986" s="12">
        <v>0</v>
      </c>
      <c r="H986" s="12" t="s">
        <v>45</v>
      </c>
      <c r="I986" s="12">
        <v>7</v>
      </c>
      <c r="J986" s="12">
        <v>0</v>
      </c>
      <c r="K986" s="12" t="s">
        <v>46</v>
      </c>
      <c r="L986" s="47" t="s">
        <v>47</v>
      </c>
      <c r="M986" s="54">
        <v>1010171</v>
      </c>
      <c r="N986" s="12">
        <v>0</v>
      </c>
      <c r="O986" s="47" t="s">
        <v>48</v>
      </c>
      <c r="P986" s="12">
        <v>0</v>
      </c>
      <c r="Q986" s="12">
        <v>864</v>
      </c>
      <c r="R986" s="12">
        <v>656</v>
      </c>
      <c r="S986" s="12">
        <v>41</v>
      </c>
      <c r="T986" s="12">
        <v>56</v>
      </c>
      <c r="U986" s="12">
        <v>3</v>
      </c>
      <c r="V986" s="12"/>
      <c r="W986" s="47" t="s">
        <v>47</v>
      </c>
      <c r="X986" s="47"/>
      <c r="Y986" s="47"/>
      <c r="Z986" s="12"/>
      <c r="AA986" s="12"/>
      <c r="AB986" s="12" t="s">
        <v>1227</v>
      </c>
      <c r="AC986" s="60">
        <v>2657</v>
      </c>
      <c r="AD986" s="12" t="s">
        <v>51</v>
      </c>
      <c r="AE986" s="12" t="s">
        <v>51</v>
      </c>
      <c r="AF986" s="12" t="s">
        <v>51</v>
      </c>
      <c r="AG986" s="12"/>
      <c r="AH986" s="47" t="s">
        <v>52</v>
      </c>
      <c r="AI986" s="12">
        <v>0</v>
      </c>
      <c r="AJ986" s="12"/>
      <c r="AK986" s="12"/>
      <c r="AL986" s="12"/>
      <c r="AM986" s="12"/>
      <c r="AN986" s="47" t="s">
        <v>47</v>
      </c>
      <c r="AO986" s="12">
        <v>3077</v>
      </c>
      <c r="AP986" s="12" t="s">
        <v>53</v>
      </c>
      <c r="AQ986" s="2">
        <v>0</v>
      </c>
    </row>
    <row r="987" s="2" customFormat="1" spans="1:43">
      <c r="A987" s="11">
        <v>183503</v>
      </c>
      <c r="B987" s="161" t="s">
        <v>1246</v>
      </c>
      <c r="C987" s="11"/>
      <c r="D987" s="11"/>
      <c r="E987" s="11"/>
      <c r="F987" s="11">
        <v>0</v>
      </c>
      <c r="G987" s="11">
        <v>0</v>
      </c>
      <c r="H987" s="11" t="s">
        <v>45</v>
      </c>
      <c r="I987" s="11">
        <v>7</v>
      </c>
      <c r="J987" s="11">
        <v>0</v>
      </c>
      <c r="K987" s="11" t="s">
        <v>46</v>
      </c>
      <c r="L987" s="47" t="s">
        <v>47</v>
      </c>
      <c r="M987" s="54">
        <v>1010171</v>
      </c>
      <c r="N987" s="11">
        <v>0</v>
      </c>
      <c r="O987" s="47" t="s">
        <v>48</v>
      </c>
      <c r="P987" s="11">
        <v>0</v>
      </c>
      <c r="Q987" s="12">
        <v>528</v>
      </c>
      <c r="R987" s="12">
        <v>1152</v>
      </c>
      <c r="S987" s="11">
        <v>70</v>
      </c>
      <c r="T987" s="11">
        <v>66</v>
      </c>
      <c r="U987" s="11">
        <v>3</v>
      </c>
      <c r="V987" s="11"/>
      <c r="W987" s="47" t="s">
        <v>47</v>
      </c>
      <c r="X987" s="47"/>
      <c r="Y987" s="47"/>
      <c r="Z987" s="11"/>
      <c r="AA987" s="11"/>
      <c r="AB987" s="11" t="s">
        <v>1227</v>
      </c>
      <c r="AC987" s="60">
        <v>2658</v>
      </c>
      <c r="AD987" s="11" t="s">
        <v>51</v>
      </c>
      <c r="AE987" s="11" t="s">
        <v>51</v>
      </c>
      <c r="AF987" s="11" t="s">
        <v>51</v>
      </c>
      <c r="AG987" s="11"/>
      <c r="AH987" s="47" t="s">
        <v>52</v>
      </c>
      <c r="AI987" s="11">
        <v>0</v>
      </c>
      <c r="AJ987" s="11"/>
      <c r="AK987" s="11"/>
      <c r="AL987" s="11"/>
      <c r="AM987" s="11"/>
      <c r="AN987" s="47" t="s">
        <v>47</v>
      </c>
      <c r="AO987" s="11">
        <v>3078</v>
      </c>
      <c r="AP987" s="11" t="s">
        <v>53</v>
      </c>
      <c r="AQ987" s="2">
        <v>0</v>
      </c>
    </row>
    <row r="988" s="3" customFormat="1" spans="1:43">
      <c r="A988" s="12">
        <v>183504</v>
      </c>
      <c r="B988" s="161" t="s">
        <v>1247</v>
      </c>
      <c r="C988" s="12"/>
      <c r="D988" s="12"/>
      <c r="E988" s="12"/>
      <c r="F988" s="12">
        <v>0</v>
      </c>
      <c r="G988" s="12">
        <v>0</v>
      </c>
      <c r="H988" s="12" t="s">
        <v>45</v>
      </c>
      <c r="I988" s="12">
        <v>7</v>
      </c>
      <c r="J988" s="12">
        <v>0</v>
      </c>
      <c r="K988" s="12" t="s">
        <v>46</v>
      </c>
      <c r="L988" s="47" t="s">
        <v>47</v>
      </c>
      <c r="M988" s="54">
        <v>1010171</v>
      </c>
      <c r="N988" s="12">
        <v>0</v>
      </c>
      <c r="O988" s="47" t="s">
        <v>48</v>
      </c>
      <c r="P988" s="12">
        <v>0</v>
      </c>
      <c r="Q988" s="12">
        <v>880</v>
      </c>
      <c r="R988" s="12">
        <v>1296</v>
      </c>
      <c r="S988" s="12">
        <v>94</v>
      </c>
      <c r="T988" s="12">
        <v>61</v>
      </c>
      <c r="U988" s="12">
        <v>5</v>
      </c>
      <c r="V988" s="12"/>
      <c r="W988" s="47" t="s">
        <v>47</v>
      </c>
      <c r="X988" s="47"/>
      <c r="Y988" s="47"/>
      <c r="Z988" s="12"/>
      <c r="AA988" s="12"/>
      <c r="AB988" s="12" t="s">
        <v>1227</v>
      </c>
      <c r="AC988" s="60">
        <v>2659</v>
      </c>
      <c r="AD988" s="12" t="s">
        <v>51</v>
      </c>
      <c r="AE988" s="12" t="s">
        <v>51</v>
      </c>
      <c r="AF988" s="12" t="s">
        <v>51</v>
      </c>
      <c r="AG988" s="12"/>
      <c r="AH988" s="47" t="s">
        <v>52</v>
      </c>
      <c r="AI988" s="12">
        <v>0</v>
      </c>
      <c r="AJ988" s="12"/>
      <c r="AK988" s="12"/>
      <c r="AL988" s="12"/>
      <c r="AM988" s="12"/>
      <c r="AN988" s="47" t="s">
        <v>47</v>
      </c>
      <c r="AO988" s="12">
        <v>3079</v>
      </c>
      <c r="AP988" s="12" t="s">
        <v>53</v>
      </c>
      <c r="AQ988" s="2">
        <v>0</v>
      </c>
    </row>
    <row r="989" s="2" customFormat="1" spans="1:43">
      <c r="A989" s="11">
        <v>183505</v>
      </c>
      <c r="B989" s="163" t="s">
        <v>1248</v>
      </c>
      <c r="C989" s="11"/>
      <c r="D989" s="11"/>
      <c r="E989" s="11"/>
      <c r="F989" s="11">
        <v>0</v>
      </c>
      <c r="G989" s="11">
        <v>0</v>
      </c>
      <c r="H989" s="60">
        <v>1.35</v>
      </c>
      <c r="I989" s="11">
        <v>7</v>
      </c>
      <c r="J989" s="11">
        <v>0</v>
      </c>
      <c r="K989" s="11" t="s">
        <v>46</v>
      </c>
      <c r="L989" s="47" t="s">
        <v>47</v>
      </c>
      <c r="M989" s="54">
        <v>1010171</v>
      </c>
      <c r="N989" s="11">
        <v>0</v>
      </c>
      <c r="O989" s="47" t="s">
        <v>48</v>
      </c>
      <c r="P989" s="11">
        <v>0</v>
      </c>
      <c r="Q989" s="12">
        <v>1088</v>
      </c>
      <c r="R989" s="12">
        <v>976</v>
      </c>
      <c r="S989" s="11">
        <v>98</v>
      </c>
      <c r="T989" s="11">
        <v>43</v>
      </c>
      <c r="U989" s="11">
        <v>3</v>
      </c>
      <c r="V989" s="11"/>
      <c r="W989" s="47" t="s">
        <v>47</v>
      </c>
      <c r="X989" s="47"/>
      <c r="Y989" s="47"/>
      <c r="Z989" s="11"/>
      <c r="AA989" s="11"/>
      <c r="AB989" s="11" t="s">
        <v>1227</v>
      </c>
      <c r="AC989" s="60">
        <v>2660</v>
      </c>
      <c r="AD989" s="11" t="s">
        <v>51</v>
      </c>
      <c r="AE989" s="11" t="s">
        <v>51</v>
      </c>
      <c r="AF989" s="11" t="s">
        <v>51</v>
      </c>
      <c r="AG989" s="11"/>
      <c r="AH989" s="47" t="s">
        <v>52</v>
      </c>
      <c r="AI989" s="11">
        <v>0</v>
      </c>
      <c r="AJ989" s="11"/>
      <c r="AK989" s="11"/>
      <c r="AL989" s="11"/>
      <c r="AM989" s="11"/>
      <c r="AN989" s="47" t="s">
        <v>47</v>
      </c>
      <c r="AO989" s="11">
        <v>3080</v>
      </c>
      <c r="AP989" s="11" t="s">
        <v>53</v>
      </c>
      <c r="AQ989" s="2">
        <v>0</v>
      </c>
    </row>
    <row r="990" s="3" customFormat="1" spans="1:43">
      <c r="A990" s="12">
        <v>183601</v>
      </c>
      <c r="B990" s="161" t="s">
        <v>260</v>
      </c>
      <c r="C990" s="12"/>
      <c r="D990" s="12"/>
      <c r="E990" s="12"/>
      <c r="F990" s="12">
        <v>0</v>
      </c>
      <c r="G990" s="12">
        <v>0</v>
      </c>
      <c r="H990" s="12" t="s">
        <v>45</v>
      </c>
      <c r="I990" s="12">
        <v>7</v>
      </c>
      <c r="J990" s="12">
        <v>0</v>
      </c>
      <c r="K990" s="12" t="s">
        <v>46</v>
      </c>
      <c r="L990" s="47" t="s">
        <v>47</v>
      </c>
      <c r="M990" s="50">
        <v>1020131</v>
      </c>
      <c r="N990" s="12">
        <v>0</v>
      </c>
      <c r="O990" s="47" t="s">
        <v>48</v>
      </c>
      <c r="P990" s="12">
        <v>0</v>
      </c>
      <c r="Q990" s="12">
        <v>1104</v>
      </c>
      <c r="R990" s="12">
        <v>208</v>
      </c>
      <c r="S990" s="11">
        <v>21</v>
      </c>
      <c r="T990" s="11">
        <v>31</v>
      </c>
      <c r="U990" s="12">
        <v>5</v>
      </c>
      <c r="V990" s="12"/>
      <c r="W990" s="47" t="s">
        <v>47</v>
      </c>
      <c r="X990" s="47"/>
      <c r="Y990" s="47"/>
      <c r="Z990" s="12"/>
      <c r="AA990" s="12"/>
      <c r="AB990" s="12" t="s">
        <v>1227</v>
      </c>
      <c r="AC990" s="60">
        <v>2661</v>
      </c>
      <c r="AD990" s="12" t="s">
        <v>51</v>
      </c>
      <c r="AE990" s="12" t="s">
        <v>51</v>
      </c>
      <c r="AF990" s="12" t="s">
        <v>51</v>
      </c>
      <c r="AG990" s="12"/>
      <c r="AH990" s="47" t="s">
        <v>52</v>
      </c>
      <c r="AI990" s="12">
        <v>0</v>
      </c>
      <c r="AJ990" s="12"/>
      <c r="AK990" s="12"/>
      <c r="AL990" s="12"/>
      <c r="AM990" s="12"/>
      <c r="AN990" s="47" t="s">
        <v>47</v>
      </c>
      <c r="AO990" s="12">
        <v>3081</v>
      </c>
      <c r="AP990" s="12" t="s">
        <v>53</v>
      </c>
      <c r="AQ990" s="2">
        <v>0</v>
      </c>
    </row>
    <row r="991" s="2" customFormat="1" spans="1:43">
      <c r="A991" s="11">
        <v>183602</v>
      </c>
      <c r="B991" s="161" t="s">
        <v>1249</v>
      </c>
      <c r="C991" s="11"/>
      <c r="D991" s="11"/>
      <c r="E991" s="11"/>
      <c r="F991" s="11">
        <v>0</v>
      </c>
      <c r="G991" s="11">
        <v>0</v>
      </c>
      <c r="H991" s="11" t="s">
        <v>45</v>
      </c>
      <c r="I991" s="11">
        <v>7</v>
      </c>
      <c r="J991" s="11">
        <v>0</v>
      </c>
      <c r="K991" s="11" t="s">
        <v>46</v>
      </c>
      <c r="L991" s="47" t="s">
        <v>47</v>
      </c>
      <c r="M991" s="50">
        <v>1020111</v>
      </c>
      <c r="N991" s="11">
        <v>0</v>
      </c>
      <c r="O991" s="47" t="s">
        <v>48</v>
      </c>
      <c r="P991" s="11">
        <v>0</v>
      </c>
      <c r="Q991" s="12">
        <v>864</v>
      </c>
      <c r="R991" s="12">
        <v>656</v>
      </c>
      <c r="S991" s="12">
        <v>41</v>
      </c>
      <c r="T991" s="12">
        <v>56</v>
      </c>
      <c r="U991" s="11">
        <v>3</v>
      </c>
      <c r="V991" s="11"/>
      <c r="W991" s="47" t="s">
        <v>47</v>
      </c>
      <c r="X991" s="47"/>
      <c r="Y991" s="47"/>
      <c r="Z991" s="11"/>
      <c r="AA991" s="11"/>
      <c r="AB991" s="11" t="s">
        <v>1227</v>
      </c>
      <c r="AC991" s="60">
        <v>2662</v>
      </c>
      <c r="AD991" s="11" t="s">
        <v>51</v>
      </c>
      <c r="AE991" s="11" t="s">
        <v>51</v>
      </c>
      <c r="AF991" s="11" t="s">
        <v>51</v>
      </c>
      <c r="AG991" s="11"/>
      <c r="AH991" s="47" t="s">
        <v>52</v>
      </c>
      <c r="AI991" s="11">
        <v>0</v>
      </c>
      <c r="AJ991" s="11"/>
      <c r="AK991" s="11"/>
      <c r="AL991" s="11"/>
      <c r="AM991" s="11"/>
      <c r="AN991" s="47" t="s">
        <v>47</v>
      </c>
      <c r="AO991" s="11">
        <v>3082</v>
      </c>
      <c r="AP991" s="11" t="s">
        <v>53</v>
      </c>
      <c r="AQ991" s="2">
        <v>0</v>
      </c>
    </row>
    <row r="992" s="3" customFormat="1" spans="1:43">
      <c r="A992" s="12">
        <v>183603</v>
      </c>
      <c r="B992" s="161" t="s">
        <v>1250</v>
      </c>
      <c r="C992" s="12"/>
      <c r="D992" s="12"/>
      <c r="E992" s="12"/>
      <c r="F992" s="12">
        <v>0</v>
      </c>
      <c r="G992" s="12">
        <v>0</v>
      </c>
      <c r="H992" s="12" t="s">
        <v>45</v>
      </c>
      <c r="I992" s="12">
        <v>7</v>
      </c>
      <c r="J992" s="12">
        <v>0</v>
      </c>
      <c r="K992" s="12" t="s">
        <v>46</v>
      </c>
      <c r="L992" s="47" t="s">
        <v>47</v>
      </c>
      <c r="M992" s="50">
        <v>1020107</v>
      </c>
      <c r="N992" s="12">
        <v>0</v>
      </c>
      <c r="O992" s="47" t="s">
        <v>48</v>
      </c>
      <c r="P992" s="12">
        <v>0</v>
      </c>
      <c r="Q992" s="12">
        <v>528</v>
      </c>
      <c r="R992" s="12">
        <v>1152</v>
      </c>
      <c r="S992" s="11">
        <v>70</v>
      </c>
      <c r="T992" s="11">
        <v>66</v>
      </c>
      <c r="U992" s="12">
        <v>3</v>
      </c>
      <c r="V992" s="12"/>
      <c r="W992" s="47" t="s">
        <v>47</v>
      </c>
      <c r="X992" s="47"/>
      <c r="Y992" s="47"/>
      <c r="Z992" s="12"/>
      <c r="AA992" s="12"/>
      <c r="AB992" s="12" t="s">
        <v>1227</v>
      </c>
      <c r="AC992" s="60">
        <v>2663</v>
      </c>
      <c r="AD992" s="12" t="s">
        <v>51</v>
      </c>
      <c r="AE992" s="12" t="s">
        <v>51</v>
      </c>
      <c r="AF992" s="12" t="s">
        <v>51</v>
      </c>
      <c r="AG992" s="12"/>
      <c r="AH992" s="47" t="s">
        <v>52</v>
      </c>
      <c r="AI992" s="12">
        <v>0</v>
      </c>
      <c r="AJ992" s="12"/>
      <c r="AK992" s="12"/>
      <c r="AL992" s="12"/>
      <c r="AM992" s="12"/>
      <c r="AN992" s="47" t="s">
        <v>47</v>
      </c>
      <c r="AO992" s="12">
        <v>3083</v>
      </c>
      <c r="AP992" s="12" t="s">
        <v>53</v>
      </c>
      <c r="AQ992" s="2">
        <v>0</v>
      </c>
    </row>
    <row r="993" s="2" customFormat="1" spans="1:43">
      <c r="A993" s="11">
        <v>183604</v>
      </c>
      <c r="B993" s="161" t="s">
        <v>1251</v>
      </c>
      <c r="C993" s="11"/>
      <c r="D993" s="11"/>
      <c r="E993" s="11"/>
      <c r="F993" s="11">
        <v>0</v>
      </c>
      <c r="G993" s="11">
        <v>0</v>
      </c>
      <c r="H993" s="11" t="s">
        <v>45</v>
      </c>
      <c r="I993" s="11">
        <v>7</v>
      </c>
      <c r="J993" s="11">
        <v>0</v>
      </c>
      <c r="K993" s="11" t="s">
        <v>46</v>
      </c>
      <c r="L993" s="47" t="s">
        <v>47</v>
      </c>
      <c r="M993" s="50">
        <v>1020105</v>
      </c>
      <c r="N993" s="11">
        <v>0</v>
      </c>
      <c r="O993" s="47" t="s">
        <v>48</v>
      </c>
      <c r="P993" s="11">
        <v>0</v>
      </c>
      <c r="Q993" s="12">
        <v>880</v>
      </c>
      <c r="R993" s="12">
        <v>1296</v>
      </c>
      <c r="S993" s="12">
        <v>94</v>
      </c>
      <c r="T993" s="12">
        <v>61</v>
      </c>
      <c r="U993" s="11">
        <v>5</v>
      </c>
      <c r="V993" s="11"/>
      <c r="W993" s="47" t="s">
        <v>47</v>
      </c>
      <c r="X993" s="47"/>
      <c r="Y993" s="47"/>
      <c r="Z993" s="11"/>
      <c r="AA993" s="11"/>
      <c r="AB993" s="11" t="s">
        <v>1227</v>
      </c>
      <c r="AC993" s="60">
        <v>2664</v>
      </c>
      <c r="AD993" s="11" t="s">
        <v>51</v>
      </c>
      <c r="AE993" s="11" t="s">
        <v>51</v>
      </c>
      <c r="AF993" s="11" t="s">
        <v>51</v>
      </c>
      <c r="AG993" s="11"/>
      <c r="AH993" s="47" t="s">
        <v>52</v>
      </c>
      <c r="AI993" s="11">
        <v>0</v>
      </c>
      <c r="AJ993" s="11"/>
      <c r="AK993" s="11"/>
      <c r="AL993" s="11"/>
      <c r="AM993" s="11"/>
      <c r="AN993" s="47" t="s">
        <v>47</v>
      </c>
      <c r="AO993" s="11">
        <v>3084</v>
      </c>
      <c r="AP993" s="11" t="s">
        <v>53</v>
      </c>
      <c r="AQ993" s="2">
        <v>0</v>
      </c>
    </row>
    <row r="994" s="3" customFormat="1" spans="1:43">
      <c r="A994" s="12">
        <v>183605</v>
      </c>
      <c r="B994" s="163" t="s">
        <v>1252</v>
      </c>
      <c r="C994" s="12"/>
      <c r="D994" s="12"/>
      <c r="E994" s="12"/>
      <c r="F994" s="12">
        <v>0</v>
      </c>
      <c r="G994" s="12">
        <v>0</v>
      </c>
      <c r="H994" s="60">
        <v>1.35</v>
      </c>
      <c r="I994" s="12">
        <v>7</v>
      </c>
      <c r="J994" s="12">
        <v>0</v>
      </c>
      <c r="K994" s="12" t="s">
        <v>46</v>
      </c>
      <c r="L994" s="47" t="s">
        <v>47</v>
      </c>
      <c r="M994" s="50">
        <v>1020128</v>
      </c>
      <c r="N994" s="12">
        <v>0</v>
      </c>
      <c r="O994" s="47" t="s">
        <v>48</v>
      </c>
      <c r="P994" s="12">
        <v>0</v>
      </c>
      <c r="Q994" s="12">
        <v>1088</v>
      </c>
      <c r="R994" s="12">
        <v>976</v>
      </c>
      <c r="S994" s="11">
        <v>98</v>
      </c>
      <c r="T994" s="11">
        <v>43</v>
      </c>
      <c r="U994" s="12">
        <v>3</v>
      </c>
      <c r="V994" s="12"/>
      <c r="W994" s="47" t="s">
        <v>47</v>
      </c>
      <c r="X994" s="47"/>
      <c r="Y994" s="47"/>
      <c r="Z994" s="12"/>
      <c r="AA994" s="12"/>
      <c r="AB994" s="12" t="s">
        <v>1227</v>
      </c>
      <c r="AC994" s="60">
        <v>2665</v>
      </c>
      <c r="AD994" s="12" t="s">
        <v>51</v>
      </c>
      <c r="AE994" s="12" t="s">
        <v>51</v>
      </c>
      <c r="AF994" s="12" t="s">
        <v>51</v>
      </c>
      <c r="AG994" s="12"/>
      <c r="AH994" s="47" t="s">
        <v>52</v>
      </c>
      <c r="AI994" s="12">
        <v>0</v>
      </c>
      <c r="AJ994" s="12"/>
      <c r="AK994" s="12"/>
      <c r="AL994" s="12"/>
      <c r="AM994" s="12"/>
      <c r="AN994" s="47" t="s">
        <v>47</v>
      </c>
      <c r="AO994" s="12">
        <v>3085</v>
      </c>
      <c r="AP994" s="12" t="s">
        <v>53</v>
      </c>
      <c r="AQ994" s="2">
        <v>0</v>
      </c>
    </row>
    <row r="995" s="2" customFormat="1" spans="1:43">
      <c r="A995" s="11">
        <v>183701</v>
      </c>
      <c r="B995" s="161" t="s">
        <v>80</v>
      </c>
      <c r="C995" s="11"/>
      <c r="D995" s="11"/>
      <c r="E995" s="11"/>
      <c r="F995" s="11">
        <v>0</v>
      </c>
      <c r="G995" s="11">
        <v>0</v>
      </c>
      <c r="H995" s="11" t="s">
        <v>45</v>
      </c>
      <c r="I995" s="11">
        <v>7</v>
      </c>
      <c r="J995" s="11">
        <v>0</v>
      </c>
      <c r="K995" s="11" t="s">
        <v>46</v>
      </c>
      <c r="L995" s="47" t="s">
        <v>47</v>
      </c>
      <c r="M995" s="50">
        <v>1000101</v>
      </c>
      <c r="N995" s="11">
        <v>0</v>
      </c>
      <c r="O995" s="47" t="s">
        <v>48</v>
      </c>
      <c r="P995" s="11">
        <v>0</v>
      </c>
      <c r="Q995" s="12">
        <v>1104</v>
      </c>
      <c r="R995" s="12">
        <v>208</v>
      </c>
      <c r="S995" s="11">
        <v>21</v>
      </c>
      <c r="T995" s="11">
        <v>31</v>
      </c>
      <c r="U995" s="11">
        <v>5</v>
      </c>
      <c r="V995" s="11"/>
      <c r="W995" s="47" t="s">
        <v>47</v>
      </c>
      <c r="X995" s="47"/>
      <c r="Y995" s="47"/>
      <c r="Z995" s="11"/>
      <c r="AA995" s="11"/>
      <c r="AB995" s="11" t="s">
        <v>1227</v>
      </c>
      <c r="AC995" s="60">
        <v>2666</v>
      </c>
      <c r="AD995" s="11" t="s">
        <v>51</v>
      </c>
      <c r="AE995" s="11" t="s">
        <v>51</v>
      </c>
      <c r="AF995" s="11" t="s">
        <v>51</v>
      </c>
      <c r="AG995" s="11"/>
      <c r="AH995" s="47" t="s">
        <v>52</v>
      </c>
      <c r="AI995" s="11">
        <v>0</v>
      </c>
      <c r="AJ995" s="11"/>
      <c r="AK995" s="11"/>
      <c r="AL995" s="11"/>
      <c r="AM995" s="11"/>
      <c r="AN995" s="47" t="s">
        <v>47</v>
      </c>
      <c r="AO995" s="11">
        <v>3086</v>
      </c>
      <c r="AP995" s="11" t="s">
        <v>53</v>
      </c>
      <c r="AQ995" s="2">
        <v>0</v>
      </c>
    </row>
    <row r="996" s="3" customFormat="1" spans="1:43">
      <c r="A996" s="12">
        <v>183702</v>
      </c>
      <c r="B996" s="161" t="s">
        <v>57</v>
      </c>
      <c r="C996" s="12"/>
      <c r="D996" s="12"/>
      <c r="E996" s="12"/>
      <c r="F996" s="12">
        <v>0</v>
      </c>
      <c r="G996" s="12">
        <v>0</v>
      </c>
      <c r="H996" s="12" t="s">
        <v>45</v>
      </c>
      <c r="I996" s="12">
        <v>7</v>
      </c>
      <c r="J996" s="12">
        <v>0</v>
      </c>
      <c r="K996" s="12" t="s">
        <v>46</v>
      </c>
      <c r="L996" s="47" t="s">
        <v>47</v>
      </c>
      <c r="M996" s="50">
        <v>1000105</v>
      </c>
      <c r="N996" s="12">
        <v>0</v>
      </c>
      <c r="O996" s="47" t="s">
        <v>48</v>
      </c>
      <c r="P996" s="12">
        <v>0</v>
      </c>
      <c r="Q996" s="12">
        <v>864</v>
      </c>
      <c r="R996" s="12">
        <v>656</v>
      </c>
      <c r="S996" s="12">
        <v>41</v>
      </c>
      <c r="T996" s="12">
        <v>56</v>
      </c>
      <c r="U996" s="12">
        <v>3</v>
      </c>
      <c r="V996" s="12"/>
      <c r="W996" s="47" t="s">
        <v>47</v>
      </c>
      <c r="X996" s="47"/>
      <c r="Y996" s="47"/>
      <c r="Z996" s="12"/>
      <c r="AA996" s="12"/>
      <c r="AB996" s="12" t="s">
        <v>1227</v>
      </c>
      <c r="AC996" s="60">
        <v>2667</v>
      </c>
      <c r="AD996" s="12" t="s">
        <v>51</v>
      </c>
      <c r="AE996" s="12" t="s">
        <v>51</v>
      </c>
      <c r="AF996" s="12" t="s">
        <v>51</v>
      </c>
      <c r="AG996" s="12"/>
      <c r="AH996" s="47" t="s">
        <v>52</v>
      </c>
      <c r="AI996" s="12">
        <v>0</v>
      </c>
      <c r="AJ996" s="12"/>
      <c r="AK996" s="12"/>
      <c r="AL996" s="12"/>
      <c r="AM996" s="12"/>
      <c r="AN996" s="47" t="s">
        <v>47</v>
      </c>
      <c r="AO996" s="12">
        <v>3087</v>
      </c>
      <c r="AP996" s="12" t="s">
        <v>53</v>
      </c>
      <c r="AQ996" s="2">
        <v>0</v>
      </c>
    </row>
    <row r="997" s="2" customFormat="1" spans="1:43">
      <c r="A997" s="11">
        <v>183703</v>
      </c>
      <c r="B997" s="161" t="s">
        <v>153</v>
      </c>
      <c r="C997" s="11"/>
      <c r="D997" s="11"/>
      <c r="E997" s="11"/>
      <c r="F997" s="11">
        <v>0</v>
      </c>
      <c r="G997" s="11">
        <v>0</v>
      </c>
      <c r="H997" s="11" t="s">
        <v>45</v>
      </c>
      <c r="I997" s="11">
        <v>7</v>
      </c>
      <c r="J997" s="11">
        <v>0</v>
      </c>
      <c r="K997" s="11" t="s">
        <v>46</v>
      </c>
      <c r="L997" s="47" t="s">
        <v>47</v>
      </c>
      <c r="M997" s="50">
        <v>1000108</v>
      </c>
      <c r="N997" s="11">
        <v>0</v>
      </c>
      <c r="O997" s="47" t="s">
        <v>48</v>
      </c>
      <c r="P997" s="11">
        <v>0</v>
      </c>
      <c r="Q997" s="12">
        <v>528</v>
      </c>
      <c r="R997" s="12">
        <v>1152</v>
      </c>
      <c r="S997" s="11">
        <v>70</v>
      </c>
      <c r="T997" s="11">
        <v>66</v>
      </c>
      <c r="U997" s="11">
        <v>3</v>
      </c>
      <c r="V997" s="11"/>
      <c r="W997" s="47" t="s">
        <v>47</v>
      </c>
      <c r="X997" s="47"/>
      <c r="Y997" s="47"/>
      <c r="Z997" s="11"/>
      <c r="AA997" s="11"/>
      <c r="AB997" s="11" t="s">
        <v>1227</v>
      </c>
      <c r="AC997" s="60">
        <v>2668</v>
      </c>
      <c r="AD997" s="11" t="s">
        <v>51</v>
      </c>
      <c r="AE997" s="11" t="s">
        <v>51</v>
      </c>
      <c r="AF997" s="11" t="s">
        <v>51</v>
      </c>
      <c r="AG997" s="11"/>
      <c r="AH997" s="47" t="s">
        <v>52</v>
      </c>
      <c r="AI997" s="11">
        <v>0</v>
      </c>
      <c r="AJ997" s="11"/>
      <c r="AK997" s="11"/>
      <c r="AL997" s="11"/>
      <c r="AM997" s="11"/>
      <c r="AN997" s="47" t="s">
        <v>47</v>
      </c>
      <c r="AO997" s="11">
        <v>3088</v>
      </c>
      <c r="AP997" s="11" t="s">
        <v>53</v>
      </c>
      <c r="AQ997" s="2">
        <v>0</v>
      </c>
    </row>
    <row r="998" s="3" customFormat="1" spans="1:43">
      <c r="A998" s="12">
        <v>183704</v>
      </c>
      <c r="B998" s="161" t="s">
        <v>159</v>
      </c>
      <c r="C998" s="12"/>
      <c r="D998" s="12"/>
      <c r="E998" s="12"/>
      <c r="F998" s="12">
        <v>0</v>
      </c>
      <c r="G998" s="12">
        <v>0</v>
      </c>
      <c r="H998" s="12" t="s">
        <v>45</v>
      </c>
      <c r="I998" s="12">
        <v>7</v>
      </c>
      <c r="J998" s="12">
        <v>0</v>
      </c>
      <c r="K998" s="12" t="s">
        <v>46</v>
      </c>
      <c r="L998" s="47" t="s">
        <v>47</v>
      </c>
      <c r="M998" s="50">
        <v>1000107</v>
      </c>
      <c r="N998" s="12">
        <v>0</v>
      </c>
      <c r="O998" s="47" t="s">
        <v>48</v>
      </c>
      <c r="P998" s="12">
        <v>0</v>
      </c>
      <c r="Q998" s="12">
        <v>880</v>
      </c>
      <c r="R998" s="12">
        <v>1296</v>
      </c>
      <c r="S998" s="12">
        <v>94</v>
      </c>
      <c r="T998" s="12">
        <v>61</v>
      </c>
      <c r="U998" s="12">
        <v>5</v>
      </c>
      <c r="V998" s="12"/>
      <c r="W998" s="47" t="s">
        <v>47</v>
      </c>
      <c r="X998" s="47"/>
      <c r="Y998" s="47"/>
      <c r="Z998" s="12"/>
      <c r="AA998" s="12"/>
      <c r="AB998" s="12" t="s">
        <v>1227</v>
      </c>
      <c r="AC998" s="60">
        <v>2669</v>
      </c>
      <c r="AD998" s="12" t="s">
        <v>51</v>
      </c>
      <c r="AE998" s="12" t="s">
        <v>51</v>
      </c>
      <c r="AF998" s="12" t="s">
        <v>51</v>
      </c>
      <c r="AG998" s="12"/>
      <c r="AH998" s="47" t="s">
        <v>52</v>
      </c>
      <c r="AI998" s="12">
        <v>0</v>
      </c>
      <c r="AJ998" s="12"/>
      <c r="AK998" s="12"/>
      <c r="AL998" s="12"/>
      <c r="AM998" s="12"/>
      <c r="AN998" s="47" t="s">
        <v>47</v>
      </c>
      <c r="AO998" s="12">
        <v>3089</v>
      </c>
      <c r="AP998" s="12" t="s">
        <v>53</v>
      </c>
      <c r="AQ998" s="2">
        <v>0</v>
      </c>
    </row>
    <row r="999" s="2" customFormat="1" spans="1:43">
      <c r="A999" s="11">
        <v>183705</v>
      </c>
      <c r="B999" s="163" t="s">
        <v>1253</v>
      </c>
      <c r="C999" s="11"/>
      <c r="D999" s="11"/>
      <c r="E999" s="11"/>
      <c r="F999" s="11">
        <v>0</v>
      </c>
      <c r="G999" s="11">
        <v>0</v>
      </c>
      <c r="H999" s="60">
        <v>1.35</v>
      </c>
      <c r="I999" s="11">
        <v>7</v>
      </c>
      <c r="J999" s="11">
        <v>0</v>
      </c>
      <c r="K999" s="11" t="s">
        <v>46</v>
      </c>
      <c r="L999" s="47" t="s">
        <v>47</v>
      </c>
      <c r="M999" s="50">
        <v>1000102</v>
      </c>
      <c r="N999" s="11">
        <v>0</v>
      </c>
      <c r="O999" s="47" t="s">
        <v>48</v>
      </c>
      <c r="P999" s="11">
        <v>0</v>
      </c>
      <c r="Q999" s="12">
        <v>1088</v>
      </c>
      <c r="R999" s="12">
        <v>976</v>
      </c>
      <c r="S999" s="11">
        <v>98</v>
      </c>
      <c r="T999" s="11">
        <v>43</v>
      </c>
      <c r="U999" s="11">
        <v>3</v>
      </c>
      <c r="V999" s="11"/>
      <c r="W999" s="47" t="s">
        <v>47</v>
      </c>
      <c r="X999" s="47"/>
      <c r="Y999" s="47"/>
      <c r="Z999" s="11"/>
      <c r="AA999" s="11"/>
      <c r="AB999" s="11" t="s">
        <v>1227</v>
      </c>
      <c r="AC999" s="60">
        <v>2670</v>
      </c>
      <c r="AD999" s="11" t="s">
        <v>51</v>
      </c>
      <c r="AE999" s="11" t="s">
        <v>51</v>
      </c>
      <c r="AF999" s="11" t="s">
        <v>51</v>
      </c>
      <c r="AG999" s="11"/>
      <c r="AH999" s="47" t="s">
        <v>52</v>
      </c>
      <c r="AI999" s="11">
        <v>0</v>
      </c>
      <c r="AJ999" s="11"/>
      <c r="AK999" s="11"/>
      <c r="AL999" s="11"/>
      <c r="AM999" s="11"/>
      <c r="AN999" s="47" t="s">
        <v>47</v>
      </c>
      <c r="AO999" s="11">
        <v>3090</v>
      </c>
      <c r="AP999" s="11" t="s">
        <v>53</v>
      </c>
      <c r="AQ999" s="2">
        <v>0</v>
      </c>
    </row>
    <row r="1000" s="18" customFormat="1" spans="1:43">
      <c r="A1000" s="83">
        <v>183706</v>
      </c>
      <c r="B1000" s="165" t="s">
        <v>1254</v>
      </c>
      <c r="C1000" s="83"/>
      <c r="D1000" s="83"/>
      <c r="E1000" s="83"/>
      <c r="F1000" s="83">
        <v>0</v>
      </c>
      <c r="G1000" s="83">
        <v>0</v>
      </c>
      <c r="H1000" s="83">
        <v>0.8</v>
      </c>
      <c r="I1000" s="83">
        <v>29</v>
      </c>
      <c r="J1000" s="83">
        <v>0</v>
      </c>
      <c r="K1000" s="83" t="s">
        <v>46</v>
      </c>
      <c r="L1000" s="83" t="s">
        <v>47</v>
      </c>
      <c r="M1000" s="83">
        <v>1030016</v>
      </c>
      <c r="N1000" s="83">
        <v>0</v>
      </c>
      <c r="O1000" s="83" t="s">
        <v>48</v>
      </c>
      <c r="P1000" s="83">
        <v>0</v>
      </c>
      <c r="Q1000" s="83"/>
      <c r="R1000" s="83"/>
      <c r="S1000" s="83">
        <v>0</v>
      </c>
      <c r="T1000" s="83">
        <v>0</v>
      </c>
      <c r="U1000" s="83"/>
      <c r="V1000" s="83"/>
      <c r="W1000" s="83" t="s">
        <v>47</v>
      </c>
      <c r="X1000" s="83"/>
      <c r="Y1000" s="83"/>
      <c r="Z1000" s="83" t="s">
        <v>1255</v>
      </c>
      <c r="AA1000" s="83"/>
      <c r="AB1000" s="83" t="s">
        <v>639</v>
      </c>
      <c r="AC1000" s="83" t="s">
        <v>51</v>
      </c>
      <c r="AD1000" s="83" t="s">
        <v>51</v>
      </c>
      <c r="AE1000" s="83" t="s">
        <v>51</v>
      </c>
      <c r="AF1000" s="83" t="s">
        <v>51</v>
      </c>
      <c r="AG1000" s="83"/>
      <c r="AH1000" s="83" t="s">
        <v>52</v>
      </c>
      <c r="AI1000" s="83">
        <v>0</v>
      </c>
      <c r="AJ1000" s="83"/>
      <c r="AK1000" s="83"/>
      <c r="AL1000" s="83"/>
      <c r="AM1000" s="83"/>
      <c r="AN1000" s="83" t="s">
        <v>47</v>
      </c>
      <c r="AO1000" s="83"/>
      <c r="AP1000" s="83" t="s">
        <v>53</v>
      </c>
      <c r="AQ1000" s="2">
        <v>0</v>
      </c>
    </row>
    <row r="1001" s="18" customFormat="1" spans="1:43">
      <c r="A1001" s="83">
        <v>183707</v>
      </c>
      <c r="B1001" s="165" t="s">
        <v>1256</v>
      </c>
      <c r="C1001" s="83"/>
      <c r="D1001" s="83"/>
      <c r="E1001" s="83"/>
      <c r="F1001" s="83">
        <v>0</v>
      </c>
      <c r="G1001" s="83">
        <v>0</v>
      </c>
      <c r="H1001" s="83">
        <v>0.8</v>
      </c>
      <c r="I1001" s="83">
        <v>29</v>
      </c>
      <c r="J1001" s="83">
        <v>0</v>
      </c>
      <c r="K1001" s="83" t="s">
        <v>46</v>
      </c>
      <c r="L1001" s="83" t="s">
        <v>47</v>
      </c>
      <c r="M1001" s="83">
        <v>1030017</v>
      </c>
      <c r="N1001" s="83">
        <v>0</v>
      </c>
      <c r="O1001" s="83" t="s">
        <v>48</v>
      </c>
      <c r="P1001" s="83">
        <v>0</v>
      </c>
      <c r="Q1001" s="83"/>
      <c r="R1001" s="83"/>
      <c r="S1001" s="83">
        <v>0</v>
      </c>
      <c r="T1001" s="83">
        <v>0</v>
      </c>
      <c r="U1001" s="83"/>
      <c r="V1001" s="83"/>
      <c r="W1001" s="83" t="s">
        <v>47</v>
      </c>
      <c r="X1001" s="83"/>
      <c r="Y1001" s="83"/>
      <c r="Z1001" s="83" t="s">
        <v>1255</v>
      </c>
      <c r="AA1001" s="83"/>
      <c r="AB1001" s="83" t="s">
        <v>639</v>
      </c>
      <c r="AC1001" s="83" t="s">
        <v>51</v>
      </c>
      <c r="AD1001" s="83" t="s">
        <v>51</v>
      </c>
      <c r="AE1001" s="83" t="s">
        <v>51</v>
      </c>
      <c r="AF1001" s="83" t="s">
        <v>51</v>
      </c>
      <c r="AG1001" s="83"/>
      <c r="AH1001" s="83" t="s">
        <v>52</v>
      </c>
      <c r="AI1001" s="83">
        <v>0</v>
      </c>
      <c r="AJ1001" s="83"/>
      <c r="AK1001" s="83"/>
      <c r="AL1001" s="83"/>
      <c r="AM1001" s="83"/>
      <c r="AN1001" s="83" t="s">
        <v>47</v>
      </c>
      <c r="AO1001" s="83"/>
      <c r="AP1001" s="83" t="s">
        <v>53</v>
      </c>
      <c r="AQ1001" s="2">
        <v>0</v>
      </c>
    </row>
    <row r="1002" s="10" customFormat="1" spans="1:43">
      <c r="A1002" s="63">
        <v>199902</v>
      </c>
      <c r="B1002" s="12" t="s">
        <v>678</v>
      </c>
      <c r="C1002" s="12"/>
      <c r="D1002" s="12">
        <v>1</v>
      </c>
      <c r="E1002" s="12">
        <v>2</v>
      </c>
      <c r="F1002" s="12">
        <v>0</v>
      </c>
      <c r="G1002" s="12">
        <v>0</v>
      </c>
      <c r="H1002" s="12" t="s">
        <v>45</v>
      </c>
      <c r="I1002" s="12">
        <v>7</v>
      </c>
      <c r="J1002" s="12">
        <v>0</v>
      </c>
      <c r="K1002" s="12" t="s">
        <v>46</v>
      </c>
      <c r="L1002" s="47" t="s">
        <v>47</v>
      </c>
      <c r="M1002" s="12" t="s">
        <v>679</v>
      </c>
      <c r="N1002" s="63">
        <v>0</v>
      </c>
      <c r="O1002" s="47" t="s">
        <v>48</v>
      </c>
      <c r="P1002" s="63">
        <v>1999</v>
      </c>
      <c r="Q1002" s="166">
        <v>944</v>
      </c>
      <c r="R1002" s="166">
        <v>528</v>
      </c>
      <c r="S1002" s="167">
        <v>59</v>
      </c>
      <c r="T1002" s="167">
        <v>33</v>
      </c>
      <c r="U1002" s="63">
        <v>3</v>
      </c>
      <c r="V1002" s="63"/>
      <c r="W1002" s="47" t="s">
        <v>47</v>
      </c>
      <c r="X1002" s="47" t="s">
        <v>1257</v>
      </c>
      <c r="Y1002" s="47" t="s">
        <v>1258</v>
      </c>
      <c r="Z1002" s="63"/>
      <c r="AA1002" s="63"/>
      <c r="AB1002" s="63" t="s">
        <v>1258</v>
      </c>
      <c r="AC1002" s="63">
        <v>2243</v>
      </c>
      <c r="AD1002" s="63">
        <v>2243</v>
      </c>
      <c r="AE1002" s="63">
        <v>2248</v>
      </c>
      <c r="AF1002" s="63">
        <v>2248</v>
      </c>
      <c r="AG1002" s="63"/>
      <c r="AH1002" s="47" t="s">
        <v>52</v>
      </c>
      <c r="AI1002" s="63">
        <v>0</v>
      </c>
      <c r="AJ1002" s="63" t="s">
        <v>223</v>
      </c>
      <c r="AK1002" s="63"/>
      <c r="AL1002" s="63" t="s">
        <v>237</v>
      </c>
      <c r="AM1002" s="63" t="s">
        <v>238</v>
      </c>
      <c r="AN1002" s="47" t="s">
        <v>47</v>
      </c>
      <c r="AO1002" s="12"/>
      <c r="AP1002" s="63" t="s">
        <v>53</v>
      </c>
      <c r="AQ1002" s="2">
        <v>0</v>
      </c>
    </row>
    <row r="1003" s="10" customFormat="1" spans="1:43">
      <c r="A1003" s="63">
        <v>199903</v>
      </c>
      <c r="B1003" s="11" t="s">
        <v>681</v>
      </c>
      <c r="C1003" s="11"/>
      <c r="D1003" s="11">
        <v>1</v>
      </c>
      <c r="E1003" s="11">
        <v>2</v>
      </c>
      <c r="F1003" s="11">
        <v>0</v>
      </c>
      <c r="G1003" s="11">
        <v>0</v>
      </c>
      <c r="H1003" s="11" t="s">
        <v>45</v>
      </c>
      <c r="I1003" s="11">
        <v>7</v>
      </c>
      <c r="J1003" s="11">
        <v>0</v>
      </c>
      <c r="K1003" s="11" t="s">
        <v>46</v>
      </c>
      <c r="L1003" s="47" t="s">
        <v>47</v>
      </c>
      <c r="M1003" s="11">
        <v>1010130</v>
      </c>
      <c r="N1003" s="63">
        <v>0</v>
      </c>
      <c r="O1003" s="47" t="s">
        <v>48</v>
      </c>
      <c r="P1003" s="63">
        <v>1999</v>
      </c>
      <c r="Q1003" s="166">
        <v>576</v>
      </c>
      <c r="R1003" s="166">
        <v>544</v>
      </c>
      <c r="S1003" s="167">
        <v>36</v>
      </c>
      <c r="T1003" s="167">
        <v>34</v>
      </c>
      <c r="U1003" s="63">
        <v>3</v>
      </c>
      <c r="V1003" s="63"/>
      <c r="W1003" s="47" t="s">
        <v>47</v>
      </c>
      <c r="X1003" s="47" t="s">
        <v>1259</v>
      </c>
      <c r="Y1003" s="47" t="s">
        <v>1260</v>
      </c>
      <c r="Z1003" s="63"/>
      <c r="AA1003" s="63"/>
      <c r="AB1003" s="63" t="s">
        <v>1260</v>
      </c>
      <c r="AC1003" s="63">
        <v>2244</v>
      </c>
      <c r="AD1003" s="63">
        <v>2244</v>
      </c>
      <c r="AE1003" s="63">
        <v>2248</v>
      </c>
      <c r="AF1003" s="63">
        <v>2248</v>
      </c>
      <c r="AG1003" s="63"/>
      <c r="AH1003" s="47" t="s">
        <v>52</v>
      </c>
      <c r="AI1003" s="63">
        <v>0</v>
      </c>
      <c r="AJ1003" s="63" t="s">
        <v>223</v>
      </c>
      <c r="AK1003" s="63"/>
      <c r="AL1003" s="63" t="s">
        <v>237</v>
      </c>
      <c r="AM1003" s="63" t="s">
        <v>238</v>
      </c>
      <c r="AN1003" s="47" t="s">
        <v>47</v>
      </c>
      <c r="AO1003" s="11"/>
      <c r="AP1003" s="63" t="s">
        <v>53</v>
      </c>
      <c r="AQ1003" s="2">
        <v>0</v>
      </c>
    </row>
    <row r="1004" s="10" customFormat="1" spans="1:43">
      <c r="A1004" s="63">
        <v>199904</v>
      </c>
      <c r="B1004" s="12" t="s">
        <v>683</v>
      </c>
      <c r="C1004" s="12"/>
      <c r="D1004" s="12">
        <v>1</v>
      </c>
      <c r="E1004" s="12">
        <v>2</v>
      </c>
      <c r="F1004" s="12">
        <v>0</v>
      </c>
      <c r="G1004" s="12">
        <v>0</v>
      </c>
      <c r="H1004" s="12" t="s">
        <v>45</v>
      </c>
      <c r="I1004" s="12">
        <v>7</v>
      </c>
      <c r="J1004" s="12">
        <v>0</v>
      </c>
      <c r="K1004" s="12" t="s">
        <v>46</v>
      </c>
      <c r="L1004" s="47" t="s">
        <v>47</v>
      </c>
      <c r="M1004" s="12" t="s">
        <v>684</v>
      </c>
      <c r="N1004" s="63">
        <v>0</v>
      </c>
      <c r="O1004" s="47" t="s">
        <v>48</v>
      </c>
      <c r="P1004" s="63">
        <v>1999</v>
      </c>
      <c r="Q1004" s="166">
        <v>592</v>
      </c>
      <c r="R1004" s="166">
        <v>1040</v>
      </c>
      <c r="S1004" s="167">
        <v>37</v>
      </c>
      <c r="T1004" s="167">
        <v>65</v>
      </c>
      <c r="U1004" s="63">
        <v>3</v>
      </c>
      <c r="V1004" s="63"/>
      <c r="W1004" s="47" t="s">
        <v>47</v>
      </c>
      <c r="X1004" s="47" t="s">
        <v>1261</v>
      </c>
      <c r="Y1004" s="47" t="s">
        <v>1262</v>
      </c>
      <c r="Z1004" s="63"/>
      <c r="AA1004" s="63"/>
      <c r="AB1004" s="63" t="s">
        <v>1262</v>
      </c>
      <c r="AC1004" s="63">
        <v>2245</v>
      </c>
      <c r="AD1004" s="63">
        <v>2245</v>
      </c>
      <c r="AE1004" s="63">
        <v>2248</v>
      </c>
      <c r="AF1004" s="63">
        <v>2248</v>
      </c>
      <c r="AG1004" s="63"/>
      <c r="AH1004" s="47" t="s">
        <v>52</v>
      </c>
      <c r="AI1004" s="63">
        <v>0</v>
      </c>
      <c r="AJ1004" s="63" t="s">
        <v>223</v>
      </c>
      <c r="AK1004" s="63"/>
      <c r="AL1004" s="63" t="s">
        <v>237</v>
      </c>
      <c r="AM1004" s="63" t="s">
        <v>238</v>
      </c>
      <c r="AN1004" s="47" t="s">
        <v>47</v>
      </c>
      <c r="AO1004" s="12"/>
      <c r="AP1004" s="63" t="s">
        <v>53</v>
      </c>
      <c r="AQ1004" s="2">
        <v>0</v>
      </c>
    </row>
    <row r="1005" s="10" customFormat="1" spans="1:43">
      <c r="A1005" s="63">
        <v>199905</v>
      </c>
      <c r="B1005" s="11" t="s">
        <v>216</v>
      </c>
      <c r="C1005" s="11"/>
      <c r="D1005" s="11">
        <v>1</v>
      </c>
      <c r="E1005" s="11">
        <v>2</v>
      </c>
      <c r="F1005" s="11">
        <v>0</v>
      </c>
      <c r="G1005" s="11">
        <v>0</v>
      </c>
      <c r="H1005" s="11" t="s">
        <v>45</v>
      </c>
      <c r="I1005" s="11">
        <v>7</v>
      </c>
      <c r="J1005" s="11">
        <v>0</v>
      </c>
      <c r="K1005" s="11" t="s">
        <v>46</v>
      </c>
      <c r="L1005" s="47" t="s">
        <v>47</v>
      </c>
      <c r="M1005" s="11" t="s">
        <v>686</v>
      </c>
      <c r="N1005" s="63">
        <v>0</v>
      </c>
      <c r="O1005" s="47" t="s">
        <v>48</v>
      </c>
      <c r="P1005" s="63">
        <v>1999</v>
      </c>
      <c r="Q1005" s="166">
        <v>960</v>
      </c>
      <c r="R1005" s="166">
        <v>1280</v>
      </c>
      <c r="S1005" s="167">
        <v>60</v>
      </c>
      <c r="T1005" s="167">
        <v>80</v>
      </c>
      <c r="U1005" s="63">
        <v>3</v>
      </c>
      <c r="V1005" s="63"/>
      <c r="W1005" s="47" t="s">
        <v>47</v>
      </c>
      <c r="X1005" s="47" t="s">
        <v>1263</v>
      </c>
      <c r="Y1005" s="47" t="s">
        <v>1264</v>
      </c>
      <c r="Z1005" s="63"/>
      <c r="AA1005" s="63"/>
      <c r="AB1005" s="63" t="s">
        <v>1264</v>
      </c>
      <c r="AC1005" s="63">
        <v>2246</v>
      </c>
      <c r="AD1005" s="63">
        <v>2246</v>
      </c>
      <c r="AE1005" s="63">
        <v>2248</v>
      </c>
      <c r="AF1005" s="63">
        <v>2248</v>
      </c>
      <c r="AG1005" s="63"/>
      <c r="AH1005" s="47" t="s">
        <v>52</v>
      </c>
      <c r="AI1005" s="63">
        <v>0</v>
      </c>
      <c r="AJ1005" s="63" t="s">
        <v>223</v>
      </c>
      <c r="AK1005" s="63"/>
      <c r="AL1005" s="63" t="s">
        <v>237</v>
      </c>
      <c r="AM1005" s="63" t="s">
        <v>238</v>
      </c>
      <c r="AN1005" s="47" t="s">
        <v>47</v>
      </c>
      <c r="AO1005" s="11"/>
      <c r="AP1005" s="63" t="s">
        <v>53</v>
      </c>
      <c r="AQ1005" s="2">
        <v>0</v>
      </c>
    </row>
    <row r="1006" s="8" customFormat="1" ht="12" spans="1:43">
      <c r="A1006" s="60">
        <v>210001</v>
      </c>
      <c r="B1006" s="60" t="s">
        <v>665</v>
      </c>
      <c r="C1006" s="60"/>
      <c r="D1006" s="60"/>
      <c r="E1006" s="60"/>
      <c r="F1006" s="60">
        <v>0</v>
      </c>
      <c r="G1006" s="60" t="s">
        <v>47</v>
      </c>
      <c r="H1006" s="60" t="s">
        <v>45</v>
      </c>
      <c r="I1006" s="60" t="s">
        <v>45</v>
      </c>
      <c r="J1006" s="60">
        <v>0</v>
      </c>
      <c r="K1006" s="60" t="s">
        <v>46</v>
      </c>
      <c r="L1006" s="47" t="s">
        <v>47</v>
      </c>
      <c r="M1006" s="60">
        <v>1020109</v>
      </c>
      <c r="N1006" s="60">
        <v>0</v>
      </c>
      <c r="O1006" s="47" t="s">
        <v>48</v>
      </c>
      <c r="P1006" s="60">
        <v>2100</v>
      </c>
      <c r="Q1006" s="60">
        <v>828</v>
      </c>
      <c r="R1006" s="60">
        <v>480</v>
      </c>
      <c r="S1006" s="60">
        <f t="shared" ref="S1006:T1006" si="310">FLOOR(Q1006/16,1)</f>
        <v>51</v>
      </c>
      <c r="T1006" s="60">
        <f t="shared" si="310"/>
        <v>30</v>
      </c>
      <c r="U1006" s="60">
        <v>3</v>
      </c>
      <c r="V1006" s="60"/>
      <c r="W1006" s="47" t="s">
        <v>47</v>
      </c>
      <c r="X1006" s="47"/>
      <c r="Y1006" s="47" t="s">
        <v>665</v>
      </c>
      <c r="Z1006" s="60" t="s">
        <v>146</v>
      </c>
      <c r="AA1006" s="60"/>
      <c r="AB1006" s="60" t="s">
        <v>665</v>
      </c>
      <c r="AC1006" s="43">
        <v>2585</v>
      </c>
      <c r="AD1006" s="43">
        <v>2586</v>
      </c>
      <c r="AE1006" s="43">
        <v>2587</v>
      </c>
      <c r="AF1006" s="43">
        <v>2588</v>
      </c>
      <c r="AG1006" s="60"/>
      <c r="AH1006" s="47" t="s">
        <v>52</v>
      </c>
      <c r="AI1006" s="60">
        <v>1</v>
      </c>
      <c r="AJ1006" s="60"/>
      <c r="AK1006" s="60"/>
      <c r="AL1006" s="60"/>
      <c r="AM1006" s="60"/>
      <c r="AN1006" s="47" t="s">
        <v>47</v>
      </c>
      <c r="AO1006" s="60"/>
      <c r="AP1006" s="60" t="s">
        <v>53</v>
      </c>
      <c r="AQ1006" s="2">
        <v>0</v>
      </c>
    </row>
    <row r="1007" s="8" customFormat="1" ht="12" spans="1:43">
      <c r="A1007" s="60">
        <v>210002</v>
      </c>
      <c r="B1007" s="60" t="s">
        <v>137</v>
      </c>
      <c r="C1007" s="60"/>
      <c r="D1007" s="60"/>
      <c r="E1007" s="60"/>
      <c r="F1007" s="60">
        <v>0</v>
      </c>
      <c r="G1007" s="60" t="s">
        <v>47</v>
      </c>
      <c r="H1007" s="60" t="s">
        <v>45</v>
      </c>
      <c r="I1007" s="60" t="s">
        <v>45</v>
      </c>
      <c r="J1007" s="60">
        <v>0</v>
      </c>
      <c r="K1007" s="60" t="s">
        <v>46</v>
      </c>
      <c r="L1007" s="47" t="s">
        <v>47</v>
      </c>
      <c r="M1007" s="60">
        <v>1000106</v>
      </c>
      <c r="N1007" s="60">
        <v>0</v>
      </c>
      <c r="O1007" s="47" t="s">
        <v>48</v>
      </c>
      <c r="P1007" s="60">
        <v>2100</v>
      </c>
      <c r="Q1007" s="60">
        <v>943</v>
      </c>
      <c r="R1007" s="60">
        <v>507</v>
      </c>
      <c r="S1007" s="60">
        <f t="shared" ref="S1007" si="311">FLOOR(Q1007/16,1)</f>
        <v>58</v>
      </c>
      <c r="T1007" s="60">
        <f t="shared" ref="T1007" si="312">FLOOR(R1007/16,1)</f>
        <v>31</v>
      </c>
      <c r="U1007" s="60">
        <v>5</v>
      </c>
      <c r="V1007" s="60"/>
      <c r="W1007" s="47" t="s">
        <v>47</v>
      </c>
      <c r="X1007" s="47"/>
      <c r="Y1007" s="47" t="s">
        <v>137</v>
      </c>
      <c r="Z1007" s="60" t="s">
        <v>671</v>
      </c>
      <c r="AA1007" s="60"/>
      <c r="AB1007" s="60" t="s">
        <v>137</v>
      </c>
      <c r="AC1007" s="12">
        <v>2103</v>
      </c>
      <c r="AD1007" s="12">
        <v>2106</v>
      </c>
      <c r="AE1007" s="12">
        <v>2462</v>
      </c>
      <c r="AF1007" s="43"/>
      <c r="AG1007" s="60"/>
      <c r="AH1007" s="47" t="s">
        <v>52</v>
      </c>
      <c r="AI1007" s="60">
        <v>1</v>
      </c>
      <c r="AJ1007" s="60"/>
      <c r="AK1007" s="60"/>
      <c r="AL1007" s="60"/>
      <c r="AM1007" s="60"/>
      <c r="AN1007" s="47" t="s">
        <v>47</v>
      </c>
      <c r="AO1007" s="60"/>
      <c r="AP1007" s="60" t="s">
        <v>53</v>
      </c>
      <c r="AQ1007" s="2">
        <v>0</v>
      </c>
    </row>
    <row r="1008" s="8" customFormat="1" ht="12" spans="1:43">
      <c r="A1008" s="60">
        <v>210003</v>
      </c>
      <c r="B1008" s="60" t="s">
        <v>1265</v>
      </c>
      <c r="C1008" s="60"/>
      <c r="D1008" s="60"/>
      <c r="E1008" s="60"/>
      <c r="F1008" s="60">
        <v>0</v>
      </c>
      <c r="G1008" s="60" t="s">
        <v>47</v>
      </c>
      <c r="H1008" s="60" t="s">
        <v>45</v>
      </c>
      <c r="I1008" s="60" t="s">
        <v>45</v>
      </c>
      <c r="J1008" s="60">
        <v>0</v>
      </c>
      <c r="K1008" s="60" t="s">
        <v>46</v>
      </c>
      <c r="L1008" s="47" t="s">
        <v>47</v>
      </c>
      <c r="M1008" s="60">
        <v>1010137</v>
      </c>
      <c r="N1008" s="60">
        <v>0</v>
      </c>
      <c r="O1008" s="47" t="s">
        <v>48</v>
      </c>
      <c r="P1008" s="60">
        <v>2100</v>
      </c>
      <c r="Q1008" s="60">
        <v>595</v>
      </c>
      <c r="R1008" s="60">
        <v>818</v>
      </c>
      <c r="S1008" s="60">
        <f t="shared" ref="S1008" si="313">FLOOR(Q1008/16,1)</f>
        <v>37</v>
      </c>
      <c r="T1008" s="60">
        <f t="shared" ref="T1008:T1013" si="314">FLOOR(R1008/16,1)</f>
        <v>51</v>
      </c>
      <c r="U1008" s="60">
        <v>5</v>
      </c>
      <c r="V1008" s="60"/>
      <c r="W1008" s="47" t="s">
        <v>47</v>
      </c>
      <c r="X1008" s="47"/>
      <c r="Y1008" s="47" t="s">
        <v>1265</v>
      </c>
      <c r="Z1008" s="60"/>
      <c r="AA1008" s="60"/>
      <c r="AB1008" s="60" t="s">
        <v>1265</v>
      </c>
      <c r="AC1008" s="60">
        <v>2561</v>
      </c>
      <c r="AD1008" s="60"/>
      <c r="AE1008" s="60"/>
      <c r="AF1008" s="60" t="s">
        <v>51</v>
      </c>
      <c r="AG1008" s="60"/>
      <c r="AH1008" s="47" t="s">
        <v>52</v>
      </c>
      <c r="AI1008" s="60">
        <v>1</v>
      </c>
      <c r="AJ1008" s="60"/>
      <c r="AK1008" s="60"/>
      <c r="AL1008" s="60"/>
      <c r="AM1008" s="60"/>
      <c r="AN1008" s="47" t="s">
        <v>47</v>
      </c>
      <c r="AO1008" s="60"/>
      <c r="AP1008" s="60" t="s">
        <v>53</v>
      </c>
      <c r="AQ1008" s="2">
        <v>0</v>
      </c>
    </row>
    <row r="1009" s="4" customFormat="1" ht="12" spans="1:43">
      <c r="A1009" s="37">
        <v>210101</v>
      </c>
      <c r="B1009" s="37" t="s">
        <v>665</v>
      </c>
      <c r="C1009" s="37"/>
      <c r="D1009" s="37"/>
      <c r="E1009" s="37"/>
      <c r="F1009" s="37">
        <v>0</v>
      </c>
      <c r="G1009" s="37" t="s">
        <v>47</v>
      </c>
      <c r="H1009" s="37" t="s">
        <v>45</v>
      </c>
      <c r="I1009" s="37" t="s">
        <v>45</v>
      </c>
      <c r="J1009" s="37">
        <v>0</v>
      </c>
      <c r="K1009" s="37" t="s">
        <v>46</v>
      </c>
      <c r="L1009" s="47" t="s">
        <v>47</v>
      </c>
      <c r="M1009" s="37">
        <v>1020109</v>
      </c>
      <c r="N1009" s="37">
        <v>0</v>
      </c>
      <c r="O1009" s="47" t="s">
        <v>48</v>
      </c>
      <c r="P1009" s="37">
        <v>2101</v>
      </c>
      <c r="Q1009" s="37">
        <v>943</v>
      </c>
      <c r="R1009" s="37">
        <v>247</v>
      </c>
      <c r="S1009" s="37">
        <f t="shared" ref="S1009:S1013" si="315">FLOOR(Q1009/16,1)</f>
        <v>58</v>
      </c>
      <c r="T1009" s="37">
        <f t="shared" si="314"/>
        <v>15</v>
      </c>
      <c r="U1009" s="37">
        <v>3</v>
      </c>
      <c r="V1009" s="37"/>
      <c r="W1009" s="47" t="s">
        <v>47</v>
      </c>
      <c r="X1009" s="47"/>
      <c r="Y1009" s="47" t="s">
        <v>665</v>
      </c>
      <c r="Z1009" s="60" t="s">
        <v>146</v>
      </c>
      <c r="AA1009" s="37"/>
      <c r="AB1009" s="37" t="s">
        <v>665</v>
      </c>
      <c r="AC1009" s="43">
        <v>2585</v>
      </c>
      <c r="AD1009" s="43">
        <v>2586</v>
      </c>
      <c r="AE1009" s="43">
        <v>2587</v>
      </c>
      <c r="AF1009" s="43">
        <v>2588</v>
      </c>
      <c r="AG1009" s="37"/>
      <c r="AH1009" s="47" t="s">
        <v>52</v>
      </c>
      <c r="AI1009" s="37">
        <v>1</v>
      </c>
      <c r="AJ1009" s="37"/>
      <c r="AK1009" s="37"/>
      <c r="AL1009" s="37"/>
      <c r="AM1009" s="37"/>
      <c r="AN1009" s="47" t="s">
        <v>47</v>
      </c>
      <c r="AO1009" s="37"/>
      <c r="AP1009" s="37" t="s">
        <v>53</v>
      </c>
      <c r="AQ1009" s="2">
        <v>0</v>
      </c>
    </row>
    <row r="1010" s="4" customFormat="1" ht="12" spans="1:43">
      <c r="A1010" s="37">
        <v>210102</v>
      </c>
      <c r="B1010" s="37" t="s">
        <v>137</v>
      </c>
      <c r="C1010" s="37"/>
      <c r="D1010" s="37"/>
      <c r="E1010" s="37"/>
      <c r="F1010" s="37">
        <v>0</v>
      </c>
      <c r="G1010" s="37" t="s">
        <v>47</v>
      </c>
      <c r="H1010" s="37" t="s">
        <v>45</v>
      </c>
      <c r="I1010" s="37" t="s">
        <v>45</v>
      </c>
      <c r="J1010" s="37">
        <v>0</v>
      </c>
      <c r="K1010" s="37" t="s">
        <v>46</v>
      </c>
      <c r="L1010" s="47" t="s">
        <v>47</v>
      </c>
      <c r="M1010" s="37">
        <v>1000106</v>
      </c>
      <c r="N1010" s="37">
        <v>0</v>
      </c>
      <c r="O1010" s="47" t="s">
        <v>48</v>
      </c>
      <c r="P1010" s="37">
        <v>2101</v>
      </c>
      <c r="Q1010" s="37">
        <v>1051</v>
      </c>
      <c r="R1010" s="37">
        <v>216</v>
      </c>
      <c r="S1010" s="37">
        <f t="shared" si="315"/>
        <v>65</v>
      </c>
      <c r="T1010" s="37">
        <f t="shared" si="314"/>
        <v>13</v>
      </c>
      <c r="U1010" s="37">
        <v>3</v>
      </c>
      <c r="V1010" s="37"/>
      <c r="W1010" s="47" t="s">
        <v>47</v>
      </c>
      <c r="X1010" s="47"/>
      <c r="Y1010" s="47" t="s">
        <v>137</v>
      </c>
      <c r="Z1010" s="60" t="s">
        <v>671</v>
      </c>
      <c r="AA1010" s="37"/>
      <c r="AB1010" s="37" t="s">
        <v>137</v>
      </c>
      <c r="AC1010" s="12">
        <v>2103</v>
      </c>
      <c r="AD1010" s="12">
        <v>2106</v>
      </c>
      <c r="AE1010" s="12">
        <v>2462</v>
      </c>
      <c r="AF1010" s="43"/>
      <c r="AG1010" s="37"/>
      <c r="AH1010" s="47" t="s">
        <v>52</v>
      </c>
      <c r="AI1010" s="37">
        <v>1</v>
      </c>
      <c r="AJ1010" s="37"/>
      <c r="AK1010" s="37"/>
      <c r="AL1010" s="37"/>
      <c r="AM1010" s="37"/>
      <c r="AN1010" s="47" t="s">
        <v>47</v>
      </c>
      <c r="AO1010" s="37"/>
      <c r="AP1010" s="37" t="s">
        <v>53</v>
      </c>
      <c r="AQ1010" s="2">
        <v>0</v>
      </c>
    </row>
    <row r="1011" s="4" customFormat="1" ht="12" spans="1:43">
      <c r="A1011" s="37">
        <v>210103</v>
      </c>
      <c r="B1011" s="37" t="s">
        <v>1266</v>
      </c>
      <c r="C1011" s="37"/>
      <c r="D1011" s="37"/>
      <c r="E1011" s="37"/>
      <c r="F1011" s="37">
        <v>0</v>
      </c>
      <c r="G1011" s="37" t="s">
        <v>47</v>
      </c>
      <c r="H1011" s="37" t="s">
        <v>45</v>
      </c>
      <c r="I1011" s="37" t="s">
        <v>45</v>
      </c>
      <c r="J1011" s="37">
        <v>0</v>
      </c>
      <c r="K1011" s="37" t="s">
        <v>46</v>
      </c>
      <c r="L1011" s="47" t="s">
        <v>47</v>
      </c>
      <c r="M1011" s="37">
        <v>1010137</v>
      </c>
      <c r="N1011" s="37">
        <v>0</v>
      </c>
      <c r="O1011" s="47" t="s">
        <v>48</v>
      </c>
      <c r="P1011" s="37">
        <v>2101</v>
      </c>
      <c r="Q1011" s="37">
        <v>730</v>
      </c>
      <c r="R1011" s="37">
        <v>811</v>
      </c>
      <c r="S1011" s="37">
        <f t="shared" si="315"/>
        <v>45</v>
      </c>
      <c r="T1011" s="37">
        <f t="shared" si="314"/>
        <v>50</v>
      </c>
      <c r="U1011" s="37">
        <v>5</v>
      </c>
      <c r="V1011" s="37"/>
      <c r="W1011" s="47" t="s">
        <v>47</v>
      </c>
      <c r="X1011" s="47"/>
      <c r="Y1011" s="47" t="s">
        <v>1266</v>
      </c>
      <c r="Z1011" s="37"/>
      <c r="AA1011" s="37"/>
      <c r="AB1011" s="37" t="s">
        <v>1266</v>
      </c>
      <c r="AC1011" s="37">
        <v>2575</v>
      </c>
      <c r="AD1011" s="37"/>
      <c r="AE1011" s="37"/>
      <c r="AF1011" s="37" t="s">
        <v>51</v>
      </c>
      <c r="AG1011" s="37"/>
      <c r="AH1011" s="47" t="s">
        <v>52</v>
      </c>
      <c r="AI1011" s="37">
        <v>1</v>
      </c>
      <c r="AJ1011" s="37"/>
      <c r="AK1011" s="37"/>
      <c r="AL1011" s="37"/>
      <c r="AM1011" s="37"/>
      <c r="AN1011" s="47" t="s">
        <v>47</v>
      </c>
      <c r="AO1011" s="37"/>
      <c r="AP1011" s="37" t="s">
        <v>53</v>
      </c>
      <c r="AQ1011" s="2">
        <v>0</v>
      </c>
    </row>
    <row r="1012" s="4" customFormat="1" ht="12" spans="1:43">
      <c r="A1012" s="37">
        <v>210104</v>
      </c>
      <c r="B1012" s="37" t="s">
        <v>1267</v>
      </c>
      <c r="C1012" s="37"/>
      <c r="D1012" s="37"/>
      <c r="E1012" s="37"/>
      <c r="F1012" s="37">
        <v>0</v>
      </c>
      <c r="G1012" s="37" t="s">
        <v>47</v>
      </c>
      <c r="H1012" s="37" t="s">
        <v>45</v>
      </c>
      <c r="I1012" s="37" t="s">
        <v>45</v>
      </c>
      <c r="J1012" s="37">
        <v>0</v>
      </c>
      <c r="K1012" s="37" t="s">
        <v>46</v>
      </c>
      <c r="L1012" s="47" t="s">
        <v>47</v>
      </c>
      <c r="M1012" s="37">
        <v>1010151</v>
      </c>
      <c r="N1012" s="37">
        <v>0</v>
      </c>
      <c r="O1012" s="47" t="s">
        <v>48</v>
      </c>
      <c r="P1012" s="37">
        <v>2101</v>
      </c>
      <c r="Q1012" s="37">
        <v>730</v>
      </c>
      <c r="R1012" s="37">
        <v>811</v>
      </c>
      <c r="S1012" s="37">
        <f t="shared" si="315"/>
        <v>45</v>
      </c>
      <c r="T1012" s="37">
        <f t="shared" si="314"/>
        <v>50</v>
      </c>
      <c r="U1012" s="37">
        <v>5</v>
      </c>
      <c r="V1012" s="37"/>
      <c r="W1012" s="47" t="s">
        <v>47</v>
      </c>
      <c r="X1012" s="47"/>
      <c r="Y1012" s="47" t="s">
        <v>1267</v>
      </c>
      <c r="Z1012" s="37"/>
      <c r="AA1012" s="37"/>
      <c r="AB1012" s="37" t="s">
        <v>1267</v>
      </c>
      <c r="AC1012" s="37">
        <v>2545</v>
      </c>
      <c r="AD1012" s="37">
        <v>2546</v>
      </c>
      <c r="AE1012" s="37">
        <v>2547</v>
      </c>
      <c r="AF1012" s="37" t="s">
        <v>51</v>
      </c>
      <c r="AG1012" s="37"/>
      <c r="AH1012" s="47" t="s">
        <v>52</v>
      </c>
      <c r="AI1012" s="37">
        <v>1</v>
      </c>
      <c r="AJ1012" s="37"/>
      <c r="AK1012" s="37"/>
      <c r="AL1012" s="37"/>
      <c r="AM1012" s="37"/>
      <c r="AN1012" s="47" t="s">
        <v>47</v>
      </c>
      <c r="AO1012" s="37"/>
      <c r="AP1012" s="37" t="s">
        <v>53</v>
      </c>
      <c r="AQ1012" s="2">
        <v>0</v>
      </c>
    </row>
    <row r="1013" s="8" customFormat="1" ht="12" spans="1:43">
      <c r="A1013" s="60">
        <v>210201</v>
      </c>
      <c r="B1013" s="60" t="s">
        <v>665</v>
      </c>
      <c r="C1013" s="60"/>
      <c r="D1013" s="60"/>
      <c r="E1013" s="60"/>
      <c r="F1013" s="60">
        <v>0</v>
      </c>
      <c r="G1013" s="60" t="s">
        <v>47</v>
      </c>
      <c r="H1013" s="60" t="s">
        <v>45</v>
      </c>
      <c r="I1013" s="60" t="s">
        <v>45</v>
      </c>
      <c r="J1013" s="60">
        <v>0</v>
      </c>
      <c r="K1013" s="60" t="s">
        <v>46</v>
      </c>
      <c r="L1013" s="47" t="s">
        <v>47</v>
      </c>
      <c r="M1013" s="60">
        <v>1020109</v>
      </c>
      <c r="N1013" s="60">
        <v>0</v>
      </c>
      <c r="O1013" s="47" t="s">
        <v>48</v>
      </c>
      <c r="P1013" s="60">
        <v>2102</v>
      </c>
      <c r="Q1013" s="60">
        <v>1249</v>
      </c>
      <c r="R1013" s="60">
        <v>475</v>
      </c>
      <c r="S1013" s="60">
        <f t="shared" si="315"/>
        <v>78</v>
      </c>
      <c r="T1013" s="60">
        <f t="shared" si="314"/>
        <v>29</v>
      </c>
      <c r="U1013" s="60">
        <v>3</v>
      </c>
      <c r="V1013" s="60"/>
      <c r="W1013" s="47" t="s">
        <v>47</v>
      </c>
      <c r="X1013" s="47"/>
      <c r="Y1013" s="47" t="s">
        <v>665</v>
      </c>
      <c r="Z1013" s="60" t="s">
        <v>146</v>
      </c>
      <c r="AA1013" s="60"/>
      <c r="AB1013" s="60" t="s">
        <v>665</v>
      </c>
      <c r="AC1013" s="43">
        <v>2585</v>
      </c>
      <c r="AD1013" s="43">
        <v>2586</v>
      </c>
      <c r="AE1013" s="43">
        <v>2587</v>
      </c>
      <c r="AF1013" s="43">
        <v>2588</v>
      </c>
      <c r="AG1013" s="60"/>
      <c r="AH1013" s="47" t="s">
        <v>52</v>
      </c>
      <c r="AI1013" s="60">
        <v>1</v>
      </c>
      <c r="AJ1013" s="60"/>
      <c r="AK1013" s="60"/>
      <c r="AL1013" s="60"/>
      <c r="AM1013" s="60"/>
      <c r="AN1013" s="47" t="s">
        <v>47</v>
      </c>
      <c r="AO1013" s="60"/>
      <c r="AP1013" s="60" t="s">
        <v>53</v>
      </c>
      <c r="AQ1013" s="2">
        <v>0</v>
      </c>
    </row>
    <row r="1014" s="8" customFormat="1" ht="12" spans="1:43">
      <c r="A1014" s="60">
        <v>210202</v>
      </c>
      <c r="B1014" s="60" t="s">
        <v>1268</v>
      </c>
      <c r="C1014" s="60"/>
      <c r="D1014" s="60"/>
      <c r="E1014" s="60"/>
      <c r="F1014" s="60">
        <v>0</v>
      </c>
      <c r="G1014" s="60" t="s">
        <v>47</v>
      </c>
      <c r="H1014" s="60" t="s">
        <v>45</v>
      </c>
      <c r="I1014" s="60" t="s">
        <v>45</v>
      </c>
      <c r="J1014" s="60">
        <v>0</v>
      </c>
      <c r="K1014" s="60" t="s">
        <v>46</v>
      </c>
      <c r="L1014" s="47" t="s">
        <v>47</v>
      </c>
      <c r="M1014" s="60">
        <v>1030006</v>
      </c>
      <c r="N1014" s="60">
        <v>0</v>
      </c>
      <c r="O1014" s="47" t="s">
        <v>48</v>
      </c>
      <c r="P1014" s="60">
        <v>2102</v>
      </c>
      <c r="Q1014" s="60">
        <v>798</v>
      </c>
      <c r="R1014" s="60">
        <v>1036</v>
      </c>
      <c r="S1014" s="60">
        <f t="shared" ref="S1014" si="316">FLOOR(Q1014/16,1)</f>
        <v>49</v>
      </c>
      <c r="T1014" s="60">
        <f t="shared" ref="T1014" si="317">FLOOR(R1014/16,1)</f>
        <v>64</v>
      </c>
      <c r="U1014" s="60">
        <v>5</v>
      </c>
      <c r="V1014" s="60"/>
      <c r="W1014" s="47" t="s">
        <v>47</v>
      </c>
      <c r="X1014" s="47"/>
      <c r="Y1014" s="47" t="s">
        <v>1268</v>
      </c>
      <c r="Z1014" s="60"/>
      <c r="AA1014" s="60"/>
      <c r="AB1014" s="60" t="s">
        <v>1268</v>
      </c>
      <c r="AC1014" s="60">
        <v>2565</v>
      </c>
      <c r="AD1014" s="60"/>
      <c r="AE1014" s="60"/>
      <c r="AF1014" s="60" t="s">
        <v>51</v>
      </c>
      <c r="AG1014" s="60"/>
      <c r="AH1014" s="47" t="s">
        <v>52</v>
      </c>
      <c r="AI1014" s="60">
        <v>1</v>
      </c>
      <c r="AJ1014" s="60"/>
      <c r="AK1014" s="60"/>
      <c r="AL1014" s="60"/>
      <c r="AM1014" s="60"/>
      <c r="AN1014" s="47" t="s">
        <v>47</v>
      </c>
      <c r="AO1014" s="60"/>
      <c r="AP1014" s="60" t="s">
        <v>53</v>
      </c>
      <c r="AQ1014" s="2">
        <v>0</v>
      </c>
    </row>
    <row r="1015" s="8" customFormat="1" ht="12" spans="1:43">
      <c r="A1015" s="60">
        <v>210203</v>
      </c>
      <c r="B1015" s="60" t="s">
        <v>218</v>
      </c>
      <c r="C1015" s="60"/>
      <c r="D1015" s="60"/>
      <c r="E1015" s="60"/>
      <c r="F1015" s="60">
        <v>0</v>
      </c>
      <c r="G1015" s="60" t="s">
        <v>47</v>
      </c>
      <c r="H1015" s="60" t="s">
        <v>45</v>
      </c>
      <c r="I1015" s="60" t="s">
        <v>45</v>
      </c>
      <c r="J1015" s="60">
        <v>0</v>
      </c>
      <c r="K1015" s="60" t="s">
        <v>46</v>
      </c>
      <c r="L1015" s="47" t="s">
        <v>47</v>
      </c>
      <c r="M1015" s="60">
        <v>1020113</v>
      </c>
      <c r="N1015" s="60">
        <v>0</v>
      </c>
      <c r="O1015" s="47" t="s">
        <v>48</v>
      </c>
      <c r="P1015" s="60">
        <v>2102</v>
      </c>
      <c r="Q1015" s="60">
        <v>1114</v>
      </c>
      <c r="R1015" s="60">
        <v>706</v>
      </c>
      <c r="S1015" s="60">
        <f t="shared" ref="S1015:S1016" si="318">FLOOR(Q1015/16,1)</f>
        <v>69</v>
      </c>
      <c r="T1015" s="60">
        <f t="shared" ref="T1015:T1016" si="319">FLOOR(R1015/16,1)</f>
        <v>44</v>
      </c>
      <c r="U1015" s="60">
        <v>5</v>
      </c>
      <c r="V1015" s="60"/>
      <c r="W1015" s="47" t="s">
        <v>47</v>
      </c>
      <c r="X1015" s="47"/>
      <c r="Y1015" s="47" t="s">
        <v>218</v>
      </c>
      <c r="Z1015" s="60" t="s">
        <v>219</v>
      </c>
      <c r="AA1015" s="60"/>
      <c r="AB1015" s="60" t="s">
        <v>218</v>
      </c>
      <c r="AC1015" s="60">
        <v>2625</v>
      </c>
      <c r="AD1015" s="60">
        <v>2626</v>
      </c>
      <c r="AE1015" s="60">
        <v>2627</v>
      </c>
      <c r="AF1015" s="60">
        <v>2628</v>
      </c>
      <c r="AG1015" s="60"/>
      <c r="AH1015" s="47" t="s">
        <v>52</v>
      </c>
      <c r="AI1015" s="60">
        <v>1</v>
      </c>
      <c r="AJ1015" s="60"/>
      <c r="AK1015" s="60"/>
      <c r="AL1015" s="60"/>
      <c r="AM1015" s="60"/>
      <c r="AN1015" s="47" t="s">
        <v>47</v>
      </c>
      <c r="AO1015" s="60"/>
      <c r="AP1015" s="60" t="s">
        <v>53</v>
      </c>
      <c r="AQ1015" s="2">
        <v>0</v>
      </c>
    </row>
    <row r="1016" s="8" customFormat="1" ht="12" spans="1:43">
      <c r="A1016" s="60">
        <v>210204</v>
      </c>
      <c r="B1016" s="60" t="s">
        <v>216</v>
      </c>
      <c r="C1016" s="60"/>
      <c r="D1016" s="60"/>
      <c r="E1016" s="60"/>
      <c r="F1016" s="60">
        <v>0</v>
      </c>
      <c r="G1016" s="60" t="s">
        <v>47</v>
      </c>
      <c r="H1016" s="60" t="s">
        <v>45</v>
      </c>
      <c r="I1016" s="60" t="s">
        <v>45</v>
      </c>
      <c r="J1016" s="60">
        <v>0</v>
      </c>
      <c r="K1016" s="60" t="s">
        <v>46</v>
      </c>
      <c r="L1016" s="47" t="s">
        <v>47</v>
      </c>
      <c r="M1016" s="60">
        <v>1010118</v>
      </c>
      <c r="N1016" s="60">
        <v>0</v>
      </c>
      <c r="O1016" s="47" t="s">
        <v>48</v>
      </c>
      <c r="P1016" s="60">
        <v>2102</v>
      </c>
      <c r="Q1016" s="60">
        <v>1368</v>
      </c>
      <c r="R1016" s="60">
        <v>499</v>
      </c>
      <c r="S1016" s="60">
        <f t="shared" si="318"/>
        <v>85</v>
      </c>
      <c r="T1016" s="60">
        <f t="shared" si="319"/>
        <v>31</v>
      </c>
      <c r="U1016" s="60">
        <v>5</v>
      </c>
      <c r="V1016" s="60"/>
      <c r="W1016" s="47" t="s">
        <v>47</v>
      </c>
      <c r="X1016" s="16"/>
      <c r="Y1016" s="47" t="s">
        <v>216</v>
      </c>
      <c r="Z1016" s="60" t="s">
        <v>217</v>
      </c>
      <c r="AA1016" s="60"/>
      <c r="AB1016" s="60" t="s">
        <v>216</v>
      </c>
      <c r="AC1016" s="43">
        <v>2621</v>
      </c>
      <c r="AD1016" s="43">
        <v>2622</v>
      </c>
      <c r="AE1016" s="43">
        <v>2623</v>
      </c>
      <c r="AF1016" s="43">
        <v>2624</v>
      </c>
      <c r="AG1016" s="60"/>
      <c r="AH1016" s="47" t="s">
        <v>52</v>
      </c>
      <c r="AI1016" s="60">
        <v>1</v>
      </c>
      <c r="AJ1016" s="60"/>
      <c r="AK1016" s="60"/>
      <c r="AL1016" s="60"/>
      <c r="AM1016" s="60"/>
      <c r="AN1016" s="47" t="s">
        <v>47</v>
      </c>
      <c r="AO1016" s="60"/>
      <c r="AP1016" s="60" t="s">
        <v>53</v>
      </c>
      <c r="AQ1016" s="2">
        <v>0</v>
      </c>
    </row>
    <row r="1017" s="4" customFormat="1" ht="12" spans="1:43">
      <c r="A1017" s="37">
        <v>210301</v>
      </c>
      <c r="B1017" s="37" t="s">
        <v>665</v>
      </c>
      <c r="C1017" s="37"/>
      <c r="D1017" s="37"/>
      <c r="E1017" s="37"/>
      <c r="F1017" s="37">
        <v>0</v>
      </c>
      <c r="G1017" s="37" t="s">
        <v>47</v>
      </c>
      <c r="H1017" s="37" t="s">
        <v>45</v>
      </c>
      <c r="I1017" s="37" t="s">
        <v>45</v>
      </c>
      <c r="J1017" s="37">
        <v>0</v>
      </c>
      <c r="K1017" s="37" t="s">
        <v>46</v>
      </c>
      <c r="L1017" s="47" t="s">
        <v>47</v>
      </c>
      <c r="M1017" s="37">
        <v>1020109</v>
      </c>
      <c r="N1017" s="37">
        <v>0</v>
      </c>
      <c r="O1017" s="47" t="s">
        <v>48</v>
      </c>
      <c r="P1017" s="37">
        <v>2103</v>
      </c>
      <c r="Q1017" s="37">
        <v>827</v>
      </c>
      <c r="R1017" s="37">
        <v>1057</v>
      </c>
      <c r="S1017" s="37">
        <f t="shared" ref="S1017" si="320">FLOOR(Q1017/16,1)</f>
        <v>51</v>
      </c>
      <c r="T1017" s="37">
        <f t="shared" ref="T1017:T1022" si="321">FLOOR(R1017/16,1)</f>
        <v>66</v>
      </c>
      <c r="U1017" s="37">
        <v>5</v>
      </c>
      <c r="V1017" s="37"/>
      <c r="W1017" s="47" t="s">
        <v>47</v>
      </c>
      <c r="X1017" s="47"/>
      <c r="Y1017" s="47" t="s">
        <v>665</v>
      </c>
      <c r="Z1017" s="60" t="s">
        <v>146</v>
      </c>
      <c r="AA1017" s="37"/>
      <c r="AB1017" s="37" t="s">
        <v>665</v>
      </c>
      <c r="AC1017" s="43">
        <v>2585</v>
      </c>
      <c r="AD1017" s="43">
        <v>2586</v>
      </c>
      <c r="AE1017" s="43">
        <v>2587</v>
      </c>
      <c r="AF1017" s="43">
        <v>2588</v>
      </c>
      <c r="AG1017" s="37"/>
      <c r="AH1017" s="47" t="s">
        <v>52</v>
      </c>
      <c r="AI1017" s="37">
        <v>1</v>
      </c>
      <c r="AJ1017" s="37"/>
      <c r="AK1017" s="37"/>
      <c r="AL1017" s="37"/>
      <c r="AM1017" s="37"/>
      <c r="AN1017" s="47" t="s">
        <v>47</v>
      </c>
      <c r="AO1017" s="37"/>
      <c r="AP1017" s="37" t="s">
        <v>53</v>
      </c>
      <c r="AQ1017" s="2">
        <v>0</v>
      </c>
    </row>
    <row r="1018" s="4" customFormat="1" ht="12" spans="1:43">
      <c r="A1018" s="37">
        <v>210302</v>
      </c>
      <c r="B1018" s="37" t="s">
        <v>137</v>
      </c>
      <c r="C1018" s="37"/>
      <c r="D1018" s="37"/>
      <c r="E1018" s="37"/>
      <c r="F1018" s="37">
        <v>0</v>
      </c>
      <c r="G1018" s="37" t="s">
        <v>47</v>
      </c>
      <c r="H1018" s="37" t="s">
        <v>45</v>
      </c>
      <c r="I1018" s="37" t="s">
        <v>45</v>
      </c>
      <c r="J1018" s="37">
        <v>0</v>
      </c>
      <c r="K1018" s="37" t="s">
        <v>46</v>
      </c>
      <c r="L1018" s="47" t="s">
        <v>47</v>
      </c>
      <c r="M1018" s="37">
        <v>1000106</v>
      </c>
      <c r="N1018" s="37">
        <v>0</v>
      </c>
      <c r="O1018" s="47" t="s">
        <v>48</v>
      </c>
      <c r="P1018" s="37">
        <v>2103</v>
      </c>
      <c r="Q1018" s="37">
        <v>741</v>
      </c>
      <c r="R1018" s="37">
        <v>974</v>
      </c>
      <c r="S1018" s="37">
        <f t="shared" ref="S1018" si="322">FLOOR(Q1018/16,1)</f>
        <v>46</v>
      </c>
      <c r="T1018" s="37">
        <f t="shared" si="321"/>
        <v>60</v>
      </c>
      <c r="U1018" s="37">
        <v>5</v>
      </c>
      <c r="V1018" s="37"/>
      <c r="W1018" s="47" t="s">
        <v>47</v>
      </c>
      <c r="X1018" s="47"/>
      <c r="Y1018" s="47" t="s">
        <v>137</v>
      </c>
      <c r="Z1018" s="37"/>
      <c r="AA1018" s="37"/>
      <c r="AB1018" s="37" t="s">
        <v>137</v>
      </c>
      <c r="AC1018" s="12">
        <v>2103</v>
      </c>
      <c r="AD1018" s="12">
        <v>2106</v>
      </c>
      <c r="AE1018" s="12">
        <v>2462</v>
      </c>
      <c r="AF1018" s="43"/>
      <c r="AG1018" s="37"/>
      <c r="AH1018" s="47" t="s">
        <v>52</v>
      </c>
      <c r="AI1018" s="37">
        <v>1</v>
      </c>
      <c r="AJ1018" s="37"/>
      <c r="AK1018" s="37"/>
      <c r="AL1018" s="37"/>
      <c r="AM1018" s="37"/>
      <c r="AN1018" s="47" t="s">
        <v>47</v>
      </c>
      <c r="AO1018" s="37"/>
      <c r="AP1018" s="37" t="s">
        <v>53</v>
      </c>
      <c r="AQ1018" s="2">
        <v>0</v>
      </c>
    </row>
    <row r="1019" s="4" customFormat="1" ht="12" spans="1:43">
      <c r="A1019" s="37">
        <v>210303</v>
      </c>
      <c r="B1019" s="37" t="s">
        <v>216</v>
      </c>
      <c r="C1019" s="37"/>
      <c r="D1019" s="37"/>
      <c r="E1019" s="37"/>
      <c r="F1019" s="37">
        <v>0</v>
      </c>
      <c r="G1019" s="37" t="s">
        <v>47</v>
      </c>
      <c r="H1019" s="37" t="s">
        <v>45</v>
      </c>
      <c r="I1019" s="37" t="s">
        <v>45</v>
      </c>
      <c r="J1019" s="37">
        <v>0</v>
      </c>
      <c r="K1019" s="37" t="s">
        <v>46</v>
      </c>
      <c r="L1019" s="47" t="s">
        <v>47</v>
      </c>
      <c r="M1019" s="37">
        <v>1010118</v>
      </c>
      <c r="N1019" s="37">
        <v>0</v>
      </c>
      <c r="O1019" s="47" t="s">
        <v>48</v>
      </c>
      <c r="P1019" s="37">
        <v>2103</v>
      </c>
      <c r="Q1019" s="37">
        <v>622</v>
      </c>
      <c r="R1019" s="37">
        <v>638</v>
      </c>
      <c r="S1019" s="37">
        <f t="shared" ref="S1019:S1022" si="323">FLOOR(Q1019/16,1)</f>
        <v>38</v>
      </c>
      <c r="T1019" s="37">
        <f t="shared" si="321"/>
        <v>39</v>
      </c>
      <c r="U1019" s="37">
        <v>3</v>
      </c>
      <c r="V1019" s="37"/>
      <c r="W1019" s="47" t="s">
        <v>47</v>
      </c>
      <c r="X1019" s="47"/>
      <c r="Y1019" s="47" t="s">
        <v>216</v>
      </c>
      <c r="Z1019" s="60" t="s">
        <v>217</v>
      </c>
      <c r="AA1019" s="37"/>
      <c r="AB1019" s="37" t="s">
        <v>216</v>
      </c>
      <c r="AC1019" s="43">
        <v>2621</v>
      </c>
      <c r="AD1019" s="43">
        <v>2622</v>
      </c>
      <c r="AE1019" s="43">
        <v>2623</v>
      </c>
      <c r="AF1019" s="43">
        <v>2624</v>
      </c>
      <c r="AG1019" s="37"/>
      <c r="AH1019" s="47" t="s">
        <v>52</v>
      </c>
      <c r="AI1019" s="37">
        <v>1</v>
      </c>
      <c r="AJ1019" s="37"/>
      <c r="AK1019" s="37"/>
      <c r="AL1019" s="37"/>
      <c r="AM1019" s="37"/>
      <c r="AN1019" s="47" t="s">
        <v>47</v>
      </c>
      <c r="AO1019" s="37"/>
      <c r="AP1019" s="37" t="s">
        <v>53</v>
      </c>
      <c r="AQ1019" s="2">
        <v>0</v>
      </c>
    </row>
    <row r="1020" s="4" customFormat="1" ht="12" spans="1:43">
      <c r="A1020" s="37">
        <v>210304</v>
      </c>
      <c r="B1020" s="37" t="s">
        <v>1269</v>
      </c>
      <c r="C1020" s="37"/>
      <c r="D1020" s="37"/>
      <c r="E1020" s="37"/>
      <c r="F1020" s="37">
        <v>0</v>
      </c>
      <c r="G1020" s="37" t="s">
        <v>47</v>
      </c>
      <c r="H1020" s="37" t="s">
        <v>45</v>
      </c>
      <c r="I1020" s="37" t="s">
        <v>45</v>
      </c>
      <c r="J1020" s="37">
        <v>0</v>
      </c>
      <c r="K1020" s="37" t="s">
        <v>46</v>
      </c>
      <c r="L1020" s="47" t="s">
        <v>47</v>
      </c>
      <c r="M1020" s="37">
        <v>1010141</v>
      </c>
      <c r="N1020" s="37">
        <v>0</v>
      </c>
      <c r="O1020" s="47" t="s">
        <v>48</v>
      </c>
      <c r="P1020" s="37">
        <v>2103</v>
      </c>
      <c r="Q1020" s="37">
        <v>972</v>
      </c>
      <c r="R1020" s="37">
        <v>418</v>
      </c>
      <c r="S1020" s="37">
        <f t="shared" si="323"/>
        <v>60</v>
      </c>
      <c r="T1020" s="37">
        <f t="shared" si="321"/>
        <v>26</v>
      </c>
      <c r="U1020" s="37">
        <v>3</v>
      </c>
      <c r="V1020" s="37"/>
      <c r="W1020" s="47" t="s">
        <v>47</v>
      </c>
      <c r="X1020" s="47"/>
      <c r="Y1020" s="47" t="s">
        <v>1269</v>
      </c>
      <c r="Z1020" s="37"/>
      <c r="AA1020" s="37"/>
      <c r="AB1020" s="37" t="s">
        <v>1269</v>
      </c>
      <c r="AC1020" s="37">
        <v>2575</v>
      </c>
      <c r="AD1020" s="37"/>
      <c r="AE1020" s="37"/>
      <c r="AF1020" s="37"/>
      <c r="AG1020" s="37"/>
      <c r="AH1020" s="47" t="s">
        <v>52</v>
      </c>
      <c r="AI1020" s="37">
        <v>1</v>
      </c>
      <c r="AJ1020" s="37"/>
      <c r="AK1020" s="37"/>
      <c r="AL1020" s="37"/>
      <c r="AM1020" s="37"/>
      <c r="AN1020" s="47" t="s">
        <v>47</v>
      </c>
      <c r="AO1020" s="37"/>
      <c r="AP1020" s="37" t="s">
        <v>53</v>
      </c>
      <c r="AQ1020" s="2">
        <v>0</v>
      </c>
    </row>
    <row r="1021" s="4" customFormat="1" ht="12" spans="1:43">
      <c r="A1021" s="37">
        <v>210305</v>
      </c>
      <c r="B1021" s="37" t="s">
        <v>660</v>
      </c>
      <c r="C1021" s="37"/>
      <c r="D1021" s="37"/>
      <c r="E1021" s="37"/>
      <c r="F1021" s="37">
        <v>0</v>
      </c>
      <c r="G1021" s="37" t="s">
        <v>47</v>
      </c>
      <c r="H1021" s="37" t="s">
        <v>45</v>
      </c>
      <c r="I1021" s="37" t="s">
        <v>45</v>
      </c>
      <c r="J1021" s="37">
        <v>0</v>
      </c>
      <c r="K1021" s="37" t="s">
        <v>46</v>
      </c>
      <c r="L1021" s="47" t="s">
        <v>47</v>
      </c>
      <c r="M1021" s="37">
        <v>1010152</v>
      </c>
      <c r="N1021" s="37">
        <v>0</v>
      </c>
      <c r="O1021" s="47" t="s">
        <v>48</v>
      </c>
      <c r="P1021" s="37">
        <v>2103</v>
      </c>
      <c r="Q1021" s="37">
        <v>342</v>
      </c>
      <c r="R1021" s="37">
        <v>237</v>
      </c>
      <c r="S1021" s="37">
        <f t="shared" si="323"/>
        <v>21</v>
      </c>
      <c r="T1021" s="37">
        <f t="shared" si="321"/>
        <v>14</v>
      </c>
      <c r="U1021" s="37">
        <v>3</v>
      </c>
      <c r="V1021" s="37"/>
      <c r="W1021" s="47" t="s">
        <v>47</v>
      </c>
      <c r="X1021" s="47"/>
      <c r="Y1021" s="47" t="s">
        <v>660</v>
      </c>
      <c r="Z1021" s="37" t="s">
        <v>663</v>
      </c>
      <c r="AA1021" s="37"/>
      <c r="AB1021" s="37" t="s">
        <v>660</v>
      </c>
      <c r="AC1021" s="37">
        <v>2580</v>
      </c>
      <c r="AD1021" s="37">
        <v>2581</v>
      </c>
      <c r="AE1021" s="37">
        <v>2582</v>
      </c>
      <c r="AF1021" s="37" t="s">
        <v>51</v>
      </c>
      <c r="AG1021" s="37"/>
      <c r="AH1021" s="47" t="s">
        <v>52</v>
      </c>
      <c r="AI1021" s="37">
        <v>1</v>
      </c>
      <c r="AJ1021" s="37"/>
      <c r="AK1021" s="37"/>
      <c r="AL1021" s="37"/>
      <c r="AM1021" s="37"/>
      <c r="AN1021" s="47" t="s">
        <v>47</v>
      </c>
      <c r="AO1021" s="37"/>
      <c r="AP1021" s="37" t="s">
        <v>53</v>
      </c>
      <c r="AQ1021" s="2">
        <v>0</v>
      </c>
    </row>
    <row r="1022" s="4" customFormat="1" ht="12" spans="1:43">
      <c r="A1022" s="37">
        <v>210306</v>
      </c>
      <c r="B1022" s="37" t="s">
        <v>216</v>
      </c>
      <c r="C1022" s="37"/>
      <c r="D1022" s="37"/>
      <c r="E1022" s="37"/>
      <c r="F1022" s="37">
        <v>0</v>
      </c>
      <c r="G1022" s="37" t="s">
        <v>47</v>
      </c>
      <c r="H1022" s="37" t="s">
        <v>45</v>
      </c>
      <c r="I1022" s="37" t="s">
        <v>45</v>
      </c>
      <c r="J1022" s="37">
        <v>0</v>
      </c>
      <c r="K1022" s="37" t="s">
        <v>46</v>
      </c>
      <c r="L1022" s="47" t="s">
        <v>47</v>
      </c>
      <c r="M1022" s="37">
        <v>1010140</v>
      </c>
      <c r="N1022" s="37">
        <v>0</v>
      </c>
      <c r="O1022" s="47" t="s">
        <v>48</v>
      </c>
      <c r="P1022" s="37">
        <v>2103</v>
      </c>
      <c r="Q1022" s="37">
        <v>922</v>
      </c>
      <c r="R1022" s="37">
        <v>636</v>
      </c>
      <c r="S1022" s="37">
        <f t="shared" si="323"/>
        <v>57</v>
      </c>
      <c r="T1022" s="37">
        <f t="shared" si="321"/>
        <v>39</v>
      </c>
      <c r="U1022" s="37">
        <v>3</v>
      </c>
      <c r="V1022" s="37"/>
      <c r="W1022" s="47" t="s">
        <v>47</v>
      </c>
      <c r="X1022" s="47"/>
      <c r="Y1022" s="47" t="s">
        <v>216</v>
      </c>
      <c r="Z1022" s="60" t="s">
        <v>217</v>
      </c>
      <c r="AA1022" s="37"/>
      <c r="AB1022" s="37" t="s">
        <v>216</v>
      </c>
      <c r="AC1022" s="43">
        <v>2621</v>
      </c>
      <c r="AD1022" s="43">
        <v>2622</v>
      </c>
      <c r="AE1022" s="43">
        <v>2623</v>
      </c>
      <c r="AF1022" s="43">
        <v>2624</v>
      </c>
      <c r="AG1022" s="37"/>
      <c r="AH1022" s="47" t="s">
        <v>52</v>
      </c>
      <c r="AI1022" s="37">
        <v>1</v>
      </c>
      <c r="AJ1022" s="37"/>
      <c r="AK1022" s="37"/>
      <c r="AL1022" s="37"/>
      <c r="AM1022" s="37"/>
      <c r="AN1022" s="47" t="s">
        <v>47</v>
      </c>
      <c r="AO1022" s="37"/>
      <c r="AP1022" s="37" t="s">
        <v>53</v>
      </c>
      <c r="AQ1022" s="2">
        <v>0</v>
      </c>
    </row>
    <row r="1023" s="8" customFormat="1" ht="12" spans="1:43">
      <c r="A1023" s="60">
        <v>210401</v>
      </c>
      <c r="B1023" s="60" t="s">
        <v>665</v>
      </c>
      <c r="C1023" s="60"/>
      <c r="D1023" s="60"/>
      <c r="E1023" s="60"/>
      <c r="F1023" s="60">
        <v>0</v>
      </c>
      <c r="G1023" s="60" t="s">
        <v>47</v>
      </c>
      <c r="H1023" s="60" t="s">
        <v>45</v>
      </c>
      <c r="I1023" s="60" t="s">
        <v>45</v>
      </c>
      <c r="J1023" s="60">
        <v>0</v>
      </c>
      <c r="K1023" s="60" t="s">
        <v>46</v>
      </c>
      <c r="L1023" s="47" t="s">
        <v>47</v>
      </c>
      <c r="M1023" s="60">
        <v>1020109</v>
      </c>
      <c r="N1023" s="60">
        <v>0</v>
      </c>
      <c r="O1023" s="47" t="s">
        <v>48</v>
      </c>
      <c r="P1023" s="60">
        <v>2104</v>
      </c>
      <c r="Q1023" s="60">
        <v>931</v>
      </c>
      <c r="R1023" s="60">
        <v>1370</v>
      </c>
      <c r="S1023" s="60">
        <f t="shared" ref="S1023" si="324">FLOOR(Q1023/16,1)</f>
        <v>58</v>
      </c>
      <c r="T1023" s="60">
        <f t="shared" ref="T1023" si="325">FLOOR(R1023/16,1)</f>
        <v>85</v>
      </c>
      <c r="U1023" s="60">
        <v>5</v>
      </c>
      <c r="V1023" s="60"/>
      <c r="W1023" s="47">
        <v>0</v>
      </c>
      <c r="X1023" s="47"/>
      <c r="Y1023" s="47" t="s">
        <v>665</v>
      </c>
      <c r="Z1023" s="60" t="s">
        <v>146</v>
      </c>
      <c r="AA1023" s="60"/>
      <c r="AB1023" s="60" t="s">
        <v>665</v>
      </c>
      <c r="AC1023" s="43">
        <v>2585</v>
      </c>
      <c r="AD1023" s="43">
        <v>2586</v>
      </c>
      <c r="AE1023" s="43">
        <v>2587</v>
      </c>
      <c r="AF1023" s="43">
        <v>2588</v>
      </c>
      <c r="AG1023" s="60"/>
      <c r="AH1023" s="47" t="s">
        <v>52</v>
      </c>
      <c r="AI1023" s="60">
        <v>1</v>
      </c>
      <c r="AJ1023" s="60"/>
      <c r="AK1023" s="60"/>
      <c r="AL1023" s="60"/>
      <c r="AM1023" s="60"/>
      <c r="AN1023" s="47" t="s">
        <v>47</v>
      </c>
      <c r="AO1023" s="60"/>
      <c r="AP1023" s="60" t="s">
        <v>53</v>
      </c>
      <c r="AQ1023" s="2">
        <v>0</v>
      </c>
    </row>
    <row r="1024" s="8" customFormat="1" ht="12" spans="1:43">
      <c r="A1024" s="60">
        <v>210402</v>
      </c>
      <c r="B1024" s="60" t="s">
        <v>137</v>
      </c>
      <c r="C1024" s="60"/>
      <c r="D1024" s="60"/>
      <c r="E1024" s="60"/>
      <c r="F1024" s="60">
        <v>0</v>
      </c>
      <c r="G1024" s="60" t="s">
        <v>47</v>
      </c>
      <c r="H1024" s="60" t="s">
        <v>45</v>
      </c>
      <c r="I1024" s="60" t="s">
        <v>45</v>
      </c>
      <c r="J1024" s="60">
        <v>0</v>
      </c>
      <c r="K1024" s="60" t="s">
        <v>46</v>
      </c>
      <c r="L1024" s="47" t="s">
        <v>47</v>
      </c>
      <c r="M1024" s="60">
        <v>1000106</v>
      </c>
      <c r="N1024" s="60">
        <v>0</v>
      </c>
      <c r="O1024" s="47" t="s">
        <v>48</v>
      </c>
      <c r="P1024" s="60">
        <v>2104</v>
      </c>
      <c r="Q1024" s="60">
        <v>364</v>
      </c>
      <c r="R1024" s="60">
        <v>242</v>
      </c>
      <c r="S1024" s="60">
        <f t="shared" ref="S1024" si="326">FLOOR(Q1024/16,1)</f>
        <v>22</v>
      </c>
      <c r="T1024" s="60">
        <f t="shared" ref="T1024" si="327">FLOOR(R1024/16,1)</f>
        <v>15</v>
      </c>
      <c r="U1024" s="60">
        <v>5</v>
      </c>
      <c r="V1024" s="60"/>
      <c r="W1024" s="47" t="s">
        <v>47</v>
      </c>
      <c r="X1024" s="47"/>
      <c r="Y1024" s="47" t="s">
        <v>137</v>
      </c>
      <c r="Z1024" s="60" t="s">
        <v>671</v>
      </c>
      <c r="AA1024" s="60"/>
      <c r="AB1024" s="60" t="s">
        <v>137</v>
      </c>
      <c r="AC1024" s="12">
        <v>2103</v>
      </c>
      <c r="AD1024" s="12">
        <v>2106</v>
      </c>
      <c r="AE1024" s="12">
        <v>2462</v>
      </c>
      <c r="AF1024" s="43"/>
      <c r="AG1024" s="60"/>
      <c r="AH1024" s="47" t="s">
        <v>52</v>
      </c>
      <c r="AI1024" s="60">
        <v>1</v>
      </c>
      <c r="AJ1024" s="60"/>
      <c r="AK1024" s="60"/>
      <c r="AL1024" s="60"/>
      <c r="AM1024" s="60"/>
      <c r="AN1024" s="47" t="s">
        <v>47</v>
      </c>
      <c r="AO1024" s="60"/>
      <c r="AP1024" s="60" t="s">
        <v>53</v>
      </c>
      <c r="AQ1024" s="2">
        <v>0</v>
      </c>
    </row>
    <row r="1025" s="8" customFormat="1" ht="12" spans="1:43">
      <c r="A1025" s="60">
        <v>210403</v>
      </c>
      <c r="B1025" s="60" t="s">
        <v>546</v>
      </c>
      <c r="C1025" s="60"/>
      <c r="D1025" s="60"/>
      <c r="E1025" s="60"/>
      <c r="F1025" s="60">
        <v>0</v>
      </c>
      <c r="G1025" s="60" t="s">
        <v>47</v>
      </c>
      <c r="H1025" s="60" t="s">
        <v>45</v>
      </c>
      <c r="I1025" s="60" t="s">
        <v>45</v>
      </c>
      <c r="J1025" s="60">
        <v>0</v>
      </c>
      <c r="K1025" s="60" t="s">
        <v>46</v>
      </c>
      <c r="L1025" s="47" t="s">
        <v>47</v>
      </c>
      <c r="M1025" s="60">
        <v>1030001</v>
      </c>
      <c r="N1025" s="60">
        <v>0</v>
      </c>
      <c r="O1025" s="47" t="s">
        <v>48</v>
      </c>
      <c r="P1025" s="60">
        <v>2104</v>
      </c>
      <c r="Q1025" s="60">
        <v>834</v>
      </c>
      <c r="R1025" s="60">
        <v>1357</v>
      </c>
      <c r="S1025" s="60">
        <f t="shared" ref="S1025" si="328">FLOOR(Q1025/16,1)</f>
        <v>52</v>
      </c>
      <c r="T1025" s="60">
        <f t="shared" ref="T1025:T1028" si="329">FLOOR(R1025/16,1)</f>
        <v>84</v>
      </c>
      <c r="U1025" s="60">
        <v>3</v>
      </c>
      <c r="V1025" s="60"/>
      <c r="W1025" s="47" t="s">
        <v>47</v>
      </c>
      <c r="X1025" s="47"/>
      <c r="Y1025" s="47" t="s">
        <v>546</v>
      </c>
      <c r="Z1025" s="60"/>
      <c r="AA1025" s="60"/>
      <c r="AB1025" s="60" t="s">
        <v>546</v>
      </c>
      <c r="AC1025" s="43">
        <v>2188</v>
      </c>
      <c r="AD1025" s="43">
        <v>2189</v>
      </c>
      <c r="AE1025" s="43">
        <v>2190</v>
      </c>
      <c r="AF1025" s="43">
        <v>2191</v>
      </c>
      <c r="AG1025" s="60"/>
      <c r="AH1025" s="47" t="s">
        <v>52</v>
      </c>
      <c r="AI1025" s="60">
        <v>1</v>
      </c>
      <c r="AJ1025" s="60"/>
      <c r="AK1025" s="60"/>
      <c r="AL1025" s="60"/>
      <c r="AM1025" s="60"/>
      <c r="AN1025" s="47" t="s">
        <v>47</v>
      </c>
      <c r="AO1025" s="60"/>
      <c r="AP1025" s="60" t="s">
        <v>53</v>
      </c>
      <c r="AQ1025" s="2">
        <v>0</v>
      </c>
    </row>
    <row r="1026" s="8" customFormat="1" ht="12.75" spans="1:43">
      <c r="A1026" s="60">
        <v>210404</v>
      </c>
      <c r="B1026" s="60" t="s">
        <v>608</v>
      </c>
      <c r="C1026" s="60"/>
      <c r="D1026" s="60"/>
      <c r="E1026" s="60"/>
      <c r="F1026" s="60">
        <v>0</v>
      </c>
      <c r="G1026" s="60" t="s">
        <v>47</v>
      </c>
      <c r="H1026" s="60" t="s">
        <v>45</v>
      </c>
      <c r="I1026" s="60" t="s">
        <v>45</v>
      </c>
      <c r="J1026" s="60">
        <v>0</v>
      </c>
      <c r="K1026" s="60" t="s">
        <v>46</v>
      </c>
      <c r="L1026" s="47" t="s">
        <v>47</v>
      </c>
      <c r="M1026" s="64">
        <v>1030009</v>
      </c>
      <c r="N1026" s="60">
        <v>0</v>
      </c>
      <c r="O1026" s="47" t="s">
        <v>48</v>
      </c>
      <c r="P1026" s="60">
        <v>2104</v>
      </c>
      <c r="Q1026" s="60">
        <v>746</v>
      </c>
      <c r="R1026" s="60">
        <v>1403</v>
      </c>
      <c r="S1026" s="60">
        <f t="shared" ref="S1026:S1028" si="330">FLOOR(Q1026/16,1)</f>
        <v>46</v>
      </c>
      <c r="T1026" s="60">
        <f t="shared" si="329"/>
        <v>87</v>
      </c>
      <c r="U1026" s="60">
        <v>3</v>
      </c>
      <c r="V1026" s="60"/>
      <c r="W1026" s="47" t="s">
        <v>47</v>
      </c>
      <c r="X1026" s="47"/>
      <c r="Y1026" s="47" t="s">
        <v>608</v>
      </c>
      <c r="Z1026" s="60"/>
      <c r="AA1026" s="60"/>
      <c r="AB1026" s="60" t="s">
        <v>608</v>
      </c>
      <c r="AC1026" s="43">
        <v>2590</v>
      </c>
      <c r="AD1026" s="43">
        <v>2591</v>
      </c>
      <c r="AE1026" s="43">
        <v>2592</v>
      </c>
      <c r="AF1026" s="43">
        <v>2593</v>
      </c>
      <c r="AG1026" s="60"/>
      <c r="AH1026" s="47" t="s">
        <v>52</v>
      </c>
      <c r="AI1026" s="60">
        <v>1</v>
      </c>
      <c r="AJ1026" s="60"/>
      <c r="AK1026" s="60"/>
      <c r="AL1026" s="60"/>
      <c r="AM1026" s="60"/>
      <c r="AN1026" s="47" t="s">
        <v>47</v>
      </c>
      <c r="AO1026" s="60"/>
      <c r="AP1026" s="60" t="s">
        <v>53</v>
      </c>
      <c r="AQ1026" s="2">
        <v>0</v>
      </c>
    </row>
    <row r="1027" s="8" customFormat="1" ht="12" spans="1:43">
      <c r="A1027" s="60">
        <v>210405</v>
      </c>
      <c r="B1027" s="60" t="s">
        <v>216</v>
      </c>
      <c r="C1027" s="60"/>
      <c r="D1027" s="60"/>
      <c r="E1027" s="60"/>
      <c r="F1027" s="60">
        <v>0</v>
      </c>
      <c r="G1027" s="60" t="s">
        <v>47</v>
      </c>
      <c r="H1027" s="60" t="s">
        <v>45</v>
      </c>
      <c r="I1027" s="60" t="s">
        <v>45</v>
      </c>
      <c r="J1027" s="60">
        <v>0</v>
      </c>
      <c r="K1027" s="60" t="s">
        <v>46</v>
      </c>
      <c r="L1027" s="47" t="s">
        <v>47</v>
      </c>
      <c r="M1027" s="60">
        <v>1010127</v>
      </c>
      <c r="N1027" s="60">
        <v>0</v>
      </c>
      <c r="O1027" s="47" t="s">
        <v>48</v>
      </c>
      <c r="P1027" s="60">
        <v>2104</v>
      </c>
      <c r="Q1027" s="60">
        <v>741</v>
      </c>
      <c r="R1027" s="60">
        <v>827</v>
      </c>
      <c r="S1027" s="60">
        <f t="shared" si="330"/>
        <v>46</v>
      </c>
      <c r="T1027" s="60">
        <f t="shared" si="329"/>
        <v>51</v>
      </c>
      <c r="U1027" s="60">
        <v>3</v>
      </c>
      <c r="V1027" s="60"/>
      <c r="W1027" s="47" t="s">
        <v>47</v>
      </c>
      <c r="X1027" s="47"/>
      <c r="Y1027" s="47" t="s">
        <v>663</v>
      </c>
      <c r="Z1027" s="60"/>
      <c r="AA1027" s="60"/>
      <c r="AB1027" s="60" t="s">
        <v>663</v>
      </c>
      <c r="AC1027" s="60">
        <v>2575</v>
      </c>
      <c r="AD1027" s="60"/>
      <c r="AE1027" s="60"/>
      <c r="AF1027" s="60" t="s">
        <v>51</v>
      </c>
      <c r="AG1027" s="60"/>
      <c r="AH1027" s="47" t="s">
        <v>52</v>
      </c>
      <c r="AI1027" s="60">
        <v>1</v>
      </c>
      <c r="AJ1027" s="60"/>
      <c r="AK1027" s="60"/>
      <c r="AL1027" s="60"/>
      <c r="AM1027" s="60"/>
      <c r="AN1027" s="47" t="s">
        <v>47</v>
      </c>
      <c r="AO1027" s="60"/>
      <c r="AP1027" s="60" t="s">
        <v>53</v>
      </c>
      <c r="AQ1027" s="2">
        <v>0</v>
      </c>
    </row>
    <row r="1028" s="8" customFormat="1" ht="12" spans="1:43">
      <c r="A1028" s="60">
        <v>210406</v>
      </c>
      <c r="B1028" s="60" t="s">
        <v>1270</v>
      </c>
      <c r="C1028" s="60"/>
      <c r="D1028" s="60"/>
      <c r="E1028" s="60"/>
      <c r="F1028" s="60">
        <v>2</v>
      </c>
      <c r="G1028" s="60" t="s">
        <v>47</v>
      </c>
      <c r="H1028" s="60" t="s">
        <v>45</v>
      </c>
      <c r="I1028" s="60" t="s">
        <v>45</v>
      </c>
      <c r="J1028" s="60">
        <v>0</v>
      </c>
      <c r="K1028" s="60" t="s">
        <v>46</v>
      </c>
      <c r="L1028" s="47" t="s">
        <v>47</v>
      </c>
      <c r="M1028" s="60">
        <v>1020129</v>
      </c>
      <c r="N1028" s="60">
        <v>0</v>
      </c>
      <c r="O1028" s="47" t="s">
        <v>48</v>
      </c>
      <c r="P1028" s="60">
        <v>2104</v>
      </c>
      <c r="Q1028" s="60">
        <v>234</v>
      </c>
      <c r="R1028" s="60">
        <v>232</v>
      </c>
      <c r="S1028" s="60">
        <f t="shared" si="330"/>
        <v>14</v>
      </c>
      <c r="T1028" s="60">
        <f t="shared" si="329"/>
        <v>14</v>
      </c>
      <c r="U1028" s="60">
        <v>3</v>
      </c>
      <c r="V1028" s="60"/>
      <c r="W1028" s="47" t="s">
        <v>47</v>
      </c>
      <c r="X1028" s="47"/>
      <c r="Y1028" s="47" t="s">
        <v>1270</v>
      </c>
      <c r="Z1028" s="60"/>
      <c r="AA1028" s="60"/>
      <c r="AB1028" s="60" t="s">
        <v>1270</v>
      </c>
      <c r="AC1028" s="60">
        <v>2629</v>
      </c>
      <c r="AD1028" s="60">
        <v>2630</v>
      </c>
      <c r="AE1028" s="60"/>
      <c r="AF1028" s="60" t="s">
        <v>51</v>
      </c>
      <c r="AG1028" s="60"/>
      <c r="AH1028" s="47" t="s">
        <v>52</v>
      </c>
      <c r="AI1028" s="60">
        <v>1</v>
      </c>
      <c r="AJ1028" s="60"/>
      <c r="AK1028" s="60"/>
      <c r="AL1028" s="60"/>
      <c r="AM1028" s="60"/>
      <c r="AN1028" s="47" t="s">
        <v>47</v>
      </c>
      <c r="AO1028" s="60"/>
      <c r="AP1028" s="60" t="s">
        <v>53</v>
      </c>
      <c r="AQ1028" s="2">
        <v>0</v>
      </c>
    </row>
    <row r="1029" s="8" customFormat="1" ht="12" spans="1:43">
      <c r="A1029" s="60">
        <v>210407</v>
      </c>
      <c r="B1029" s="60" t="s">
        <v>658</v>
      </c>
      <c r="C1029" s="60"/>
      <c r="D1029" s="60"/>
      <c r="E1029" s="60"/>
      <c r="F1029" s="60">
        <v>0</v>
      </c>
      <c r="G1029" s="60" t="s">
        <v>47</v>
      </c>
      <c r="H1029" s="60" t="s">
        <v>45</v>
      </c>
      <c r="I1029" s="60" t="s">
        <v>45</v>
      </c>
      <c r="J1029" s="60">
        <v>0</v>
      </c>
      <c r="K1029" s="60" t="s">
        <v>46</v>
      </c>
      <c r="L1029" s="47" t="s">
        <v>47</v>
      </c>
      <c r="M1029" s="60">
        <v>1020130</v>
      </c>
      <c r="N1029" s="60">
        <v>0</v>
      </c>
      <c r="O1029" s="47" t="s">
        <v>48</v>
      </c>
      <c r="P1029" s="60">
        <v>2104</v>
      </c>
      <c r="Q1029" s="60">
        <v>204</v>
      </c>
      <c r="R1029" s="60">
        <v>287</v>
      </c>
      <c r="S1029" s="60">
        <f t="shared" ref="S1029" si="331">FLOOR(Q1029/16,1)</f>
        <v>12</v>
      </c>
      <c r="T1029" s="60">
        <f t="shared" ref="T1029" si="332">FLOOR(R1029/16,1)</f>
        <v>17</v>
      </c>
      <c r="U1029" s="60">
        <v>3</v>
      </c>
      <c r="V1029" s="60"/>
      <c r="W1029" s="47" t="s">
        <v>47</v>
      </c>
      <c r="X1029" s="47"/>
      <c r="Y1029" s="47" t="s">
        <v>658</v>
      </c>
      <c r="Z1029" s="60"/>
      <c r="AA1029" s="60"/>
      <c r="AB1029" s="60" t="s">
        <v>658</v>
      </c>
      <c r="AC1029" s="60">
        <v>2560</v>
      </c>
      <c r="AD1029" s="60">
        <v>2561</v>
      </c>
      <c r="AE1029" s="60">
        <v>2562</v>
      </c>
      <c r="AF1029" s="60">
        <v>2563</v>
      </c>
      <c r="AG1029" s="60"/>
      <c r="AH1029" s="47" t="s">
        <v>52</v>
      </c>
      <c r="AI1029" s="60">
        <v>1</v>
      </c>
      <c r="AJ1029" s="60"/>
      <c r="AK1029" s="60"/>
      <c r="AL1029" s="60"/>
      <c r="AM1029" s="60"/>
      <c r="AN1029" s="47" t="s">
        <v>47</v>
      </c>
      <c r="AO1029" s="60"/>
      <c r="AP1029" s="60" t="s">
        <v>53</v>
      </c>
      <c r="AQ1029" s="2">
        <v>0</v>
      </c>
    </row>
    <row r="1030" s="8" customFormat="1" ht="12" spans="1:43">
      <c r="A1030" s="60">
        <v>210408</v>
      </c>
      <c r="B1030" s="60" t="s">
        <v>546</v>
      </c>
      <c r="C1030" s="60"/>
      <c r="D1030" s="60"/>
      <c r="E1030" s="60"/>
      <c r="F1030" s="60">
        <v>0</v>
      </c>
      <c r="G1030" s="60" t="s">
        <v>47</v>
      </c>
      <c r="H1030" s="60" t="s">
        <v>45</v>
      </c>
      <c r="I1030" s="60" t="s">
        <v>45</v>
      </c>
      <c r="J1030" s="60">
        <v>0</v>
      </c>
      <c r="K1030" s="60" t="s">
        <v>46</v>
      </c>
      <c r="L1030" s="47" t="s">
        <v>47</v>
      </c>
      <c r="M1030" s="60">
        <v>1030001</v>
      </c>
      <c r="N1030" s="60">
        <v>0</v>
      </c>
      <c r="O1030" s="47" t="s">
        <v>48</v>
      </c>
      <c r="P1030" s="60">
        <v>2104</v>
      </c>
      <c r="Q1030" s="60">
        <v>660</v>
      </c>
      <c r="R1030" s="60">
        <v>532</v>
      </c>
      <c r="S1030" s="60">
        <f t="shared" ref="S1030" si="333">FLOOR(Q1030/16,1)</f>
        <v>41</v>
      </c>
      <c r="T1030" s="60">
        <f t="shared" ref="T1030" si="334">FLOOR(R1030/16,1)</f>
        <v>33</v>
      </c>
      <c r="U1030" s="60">
        <v>5</v>
      </c>
      <c r="V1030" s="60"/>
      <c r="W1030" s="47" t="s">
        <v>47</v>
      </c>
      <c r="X1030" s="47"/>
      <c r="Y1030" s="47" t="s">
        <v>546</v>
      </c>
      <c r="Z1030" s="60"/>
      <c r="AA1030" s="60"/>
      <c r="AB1030" s="60" t="s">
        <v>546</v>
      </c>
      <c r="AC1030" s="43">
        <v>2188</v>
      </c>
      <c r="AD1030" s="43">
        <v>2189</v>
      </c>
      <c r="AE1030" s="43">
        <v>2190</v>
      </c>
      <c r="AF1030" s="43">
        <v>2191</v>
      </c>
      <c r="AG1030" s="60"/>
      <c r="AH1030" s="47" t="s">
        <v>52</v>
      </c>
      <c r="AI1030" s="60">
        <v>1</v>
      </c>
      <c r="AJ1030" s="60"/>
      <c r="AK1030" s="60"/>
      <c r="AL1030" s="60"/>
      <c r="AM1030" s="60"/>
      <c r="AN1030" s="47" t="s">
        <v>47</v>
      </c>
      <c r="AO1030" s="60"/>
      <c r="AP1030" s="60" t="s">
        <v>53</v>
      </c>
      <c r="AQ1030" s="2">
        <v>0</v>
      </c>
    </row>
    <row r="1031" s="8" customFormat="1" ht="12.75" spans="1:43">
      <c r="A1031" s="60">
        <v>210409</v>
      </c>
      <c r="B1031" s="60" t="s">
        <v>608</v>
      </c>
      <c r="C1031" s="60"/>
      <c r="D1031" s="60"/>
      <c r="E1031" s="60"/>
      <c r="F1031" s="60">
        <v>0</v>
      </c>
      <c r="G1031" s="60" t="s">
        <v>47</v>
      </c>
      <c r="H1031" s="60" t="s">
        <v>45</v>
      </c>
      <c r="I1031" s="60" t="s">
        <v>45</v>
      </c>
      <c r="J1031" s="60">
        <v>0</v>
      </c>
      <c r="K1031" s="60" t="s">
        <v>46</v>
      </c>
      <c r="L1031" s="47" t="s">
        <v>47</v>
      </c>
      <c r="M1031" s="64">
        <v>1030009</v>
      </c>
      <c r="N1031" s="60">
        <v>0</v>
      </c>
      <c r="O1031" s="47" t="s">
        <v>48</v>
      </c>
      <c r="P1031" s="60">
        <v>2104</v>
      </c>
      <c r="Q1031" s="60">
        <v>836</v>
      </c>
      <c r="R1031" s="60">
        <v>795</v>
      </c>
      <c r="S1031" s="60">
        <f t="shared" ref="S1031" si="335">FLOOR(Q1031/16,1)</f>
        <v>52</v>
      </c>
      <c r="T1031" s="60">
        <f t="shared" ref="T1031" si="336">FLOOR(R1031/16,1)</f>
        <v>49</v>
      </c>
      <c r="U1031" s="60">
        <v>5</v>
      </c>
      <c r="V1031" s="60"/>
      <c r="W1031" s="47" t="s">
        <v>47</v>
      </c>
      <c r="X1031" s="47"/>
      <c r="Y1031" s="47" t="s">
        <v>608</v>
      </c>
      <c r="Z1031" s="60"/>
      <c r="AA1031" s="60"/>
      <c r="AB1031" s="60" t="s">
        <v>608</v>
      </c>
      <c r="AC1031" s="43">
        <v>2590</v>
      </c>
      <c r="AD1031" s="43">
        <v>2591</v>
      </c>
      <c r="AE1031" s="43">
        <v>2592</v>
      </c>
      <c r="AF1031" s="43">
        <v>2593</v>
      </c>
      <c r="AG1031" s="60"/>
      <c r="AH1031" s="47" t="s">
        <v>52</v>
      </c>
      <c r="AI1031" s="60">
        <v>1</v>
      </c>
      <c r="AJ1031" s="60"/>
      <c r="AK1031" s="60"/>
      <c r="AL1031" s="60"/>
      <c r="AM1031" s="60"/>
      <c r="AN1031" s="47" t="s">
        <v>47</v>
      </c>
      <c r="AO1031" s="60"/>
      <c r="AP1031" s="60" t="s">
        <v>53</v>
      </c>
      <c r="AQ1031" s="2">
        <v>0</v>
      </c>
    </row>
    <row r="1032" s="8" customFormat="1" ht="12" spans="1:43">
      <c r="A1032" s="60">
        <v>210410</v>
      </c>
      <c r="B1032" s="60" t="s">
        <v>663</v>
      </c>
      <c r="C1032" s="60"/>
      <c r="D1032" s="60"/>
      <c r="E1032" s="60"/>
      <c r="F1032" s="60">
        <v>0</v>
      </c>
      <c r="G1032" s="60" t="s">
        <v>47</v>
      </c>
      <c r="H1032" s="60" t="s">
        <v>45</v>
      </c>
      <c r="I1032" s="60" t="s">
        <v>45</v>
      </c>
      <c r="J1032" s="60">
        <v>0</v>
      </c>
      <c r="K1032" s="60" t="s">
        <v>46</v>
      </c>
      <c r="L1032" s="47" t="s">
        <v>47</v>
      </c>
      <c r="M1032" s="60">
        <v>1010152</v>
      </c>
      <c r="N1032" s="60">
        <v>0</v>
      </c>
      <c r="O1032" s="47" t="s">
        <v>48</v>
      </c>
      <c r="P1032" s="60">
        <v>2104</v>
      </c>
      <c r="Q1032" s="60">
        <v>513</v>
      </c>
      <c r="R1032" s="60">
        <v>575</v>
      </c>
      <c r="S1032" s="60">
        <f t="shared" ref="S1032" si="337">FLOOR(Q1032/16,1)</f>
        <v>32</v>
      </c>
      <c r="T1032" s="60">
        <f t="shared" ref="T1032" si="338">FLOOR(R1032/16,1)</f>
        <v>35</v>
      </c>
      <c r="U1032" s="60">
        <v>3</v>
      </c>
      <c r="V1032" s="60"/>
      <c r="W1032" s="47" t="s">
        <v>47</v>
      </c>
      <c r="X1032" s="47"/>
      <c r="Y1032" s="47" t="s">
        <v>663</v>
      </c>
      <c r="Z1032" s="60"/>
      <c r="AA1032" s="60"/>
      <c r="AB1032" s="60" t="s">
        <v>663</v>
      </c>
      <c r="AC1032" s="60">
        <v>2575</v>
      </c>
      <c r="AD1032" s="60"/>
      <c r="AE1032" s="60"/>
      <c r="AF1032" s="60" t="s">
        <v>51</v>
      </c>
      <c r="AG1032" s="60"/>
      <c r="AH1032" s="47" t="s">
        <v>52</v>
      </c>
      <c r="AI1032" s="60">
        <v>1</v>
      </c>
      <c r="AJ1032" s="60"/>
      <c r="AK1032" s="60"/>
      <c r="AL1032" s="60"/>
      <c r="AM1032" s="60"/>
      <c r="AN1032" s="47" t="s">
        <v>47</v>
      </c>
      <c r="AO1032" s="60"/>
      <c r="AP1032" s="60" t="s">
        <v>53</v>
      </c>
      <c r="AQ1032" s="2">
        <v>0</v>
      </c>
    </row>
    <row r="1033" s="8" customFormat="1" ht="12" spans="1:43">
      <c r="A1033" s="60">
        <v>210411</v>
      </c>
      <c r="B1033" s="60" t="s">
        <v>137</v>
      </c>
      <c r="C1033" s="60"/>
      <c r="D1033" s="60"/>
      <c r="E1033" s="60"/>
      <c r="F1033" s="60">
        <v>0</v>
      </c>
      <c r="G1033" s="60" t="s">
        <v>47</v>
      </c>
      <c r="H1033" s="60" t="s">
        <v>45</v>
      </c>
      <c r="I1033" s="60" t="s">
        <v>45</v>
      </c>
      <c r="J1033" s="60">
        <v>0</v>
      </c>
      <c r="K1033" s="60" t="s">
        <v>46</v>
      </c>
      <c r="L1033" s="47" t="s">
        <v>47</v>
      </c>
      <c r="M1033" s="60">
        <v>1000106</v>
      </c>
      <c r="N1033" s="60">
        <v>0</v>
      </c>
      <c r="O1033" s="47" t="s">
        <v>48</v>
      </c>
      <c r="P1033" s="60">
        <v>2104</v>
      </c>
      <c r="Q1033" s="60">
        <v>364</v>
      </c>
      <c r="R1033" s="60">
        <v>242</v>
      </c>
      <c r="S1033" s="60">
        <f t="shared" ref="S1033" si="339">FLOOR(Q1033/16,1)</f>
        <v>22</v>
      </c>
      <c r="T1033" s="60">
        <f t="shared" ref="T1033" si="340">FLOOR(R1033/16,1)</f>
        <v>15</v>
      </c>
      <c r="U1033" s="60">
        <v>5</v>
      </c>
      <c r="V1033" s="60"/>
      <c r="W1033" s="47" t="s">
        <v>47</v>
      </c>
      <c r="X1033" s="47"/>
      <c r="Y1033" s="47" t="s">
        <v>137</v>
      </c>
      <c r="Z1033" s="60" t="s">
        <v>671</v>
      </c>
      <c r="AA1033" s="60"/>
      <c r="AB1033" s="60" t="s">
        <v>137</v>
      </c>
      <c r="AC1033" s="12">
        <v>2103</v>
      </c>
      <c r="AD1033" s="12">
        <v>2106</v>
      </c>
      <c r="AE1033" s="12">
        <v>2462</v>
      </c>
      <c r="AF1033" s="43"/>
      <c r="AG1033" s="60"/>
      <c r="AH1033" s="47" t="s">
        <v>52</v>
      </c>
      <c r="AI1033" s="60">
        <v>1</v>
      </c>
      <c r="AJ1033" s="60"/>
      <c r="AK1033" s="60"/>
      <c r="AL1033" s="60"/>
      <c r="AM1033" s="60"/>
      <c r="AN1033" s="47" t="s">
        <v>47</v>
      </c>
      <c r="AO1033" s="60"/>
      <c r="AP1033" s="60" t="s">
        <v>53</v>
      </c>
      <c r="AQ1033" s="2">
        <v>0</v>
      </c>
    </row>
    <row r="1034" s="4" customFormat="1" ht="12" spans="1:43">
      <c r="A1034" s="37">
        <v>210501</v>
      </c>
      <c r="B1034" s="37" t="s">
        <v>1271</v>
      </c>
      <c r="C1034" s="37"/>
      <c r="D1034" s="37"/>
      <c r="E1034" s="37"/>
      <c r="F1034" s="37">
        <v>0</v>
      </c>
      <c r="G1034" s="37" t="s">
        <v>47</v>
      </c>
      <c r="H1034" s="37" t="s">
        <v>45</v>
      </c>
      <c r="I1034" s="37" t="s">
        <v>45</v>
      </c>
      <c r="J1034" s="37">
        <v>0</v>
      </c>
      <c r="K1034" s="37" t="s">
        <v>46</v>
      </c>
      <c r="L1034" s="47" t="s">
        <v>47</v>
      </c>
      <c r="M1034" s="37">
        <v>1010129</v>
      </c>
      <c r="N1034" s="37">
        <v>0</v>
      </c>
      <c r="O1034" s="47" t="s">
        <v>48</v>
      </c>
      <c r="P1034" s="37">
        <v>2105</v>
      </c>
      <c r="Q1034" s="37">
        <v>909</v>
      </c>
      <c r="R1034" s="37">
        <v>767</v>
      </c>
      <c r="S1034" s="37">
        <f t="shared" ref="S1034" si="341">FLOOR(Q1034/16,1)</f>
        <v>56</v>
      </c>
      <c r="T1034" s="37">
        <f t="shared" ref="T1034" si="342">FLOOR(R1034/16,1)</f>
        <v>47</v>
      </c>
      <c r="U1034" s="37">
        <v>5</v>
      </c>
      <c r="V1034" s="37"/>
      <c r="W1034" s="47" t="s">
        <v>47</v>
      </c>
      <c r="X1034" s="47"/>
      <c r="Y1034" s="37" t="s">
        <v>1271</v>
      </c>
      <c r="Z1034" s="37"/>
      <c r="AA1034" s="37"/>
      <c r="AB1034" s="37" t="s">
        <v>1271</v>
      </c>
      <c r="AC1034" s="37">
        <v>2666</v>
      </c>
      <c r="AD1034" s="37"/>
      <c r="AE1034" s="37"/>
      <c r="AF1034" s="37" t="s">
        <v>51</v>
      </c>
      <c r="AG1034" s="37"/>
      <c r="AH1034" s="47" t="s">
        <v>52</v>
      </c>
      <c r="AI1034" s="37">
        <v>1</v>
      </c>
      <c r="AJ1034" s="37"/>
      <c r="AK1034" s="37"/>
      <c r="AL1034" s="37"/>
      <c r="AM1034" s="37"/>
      <c r="AN1034" s="47" t="s">
        <v>47</v>
      </c>
      <c r="AO1034" s="37"/>
      <c r="AP1034" s="37" t="s">
        <v>53</v>
      </c>
      <c r="AQ1034" s="2">
        <v>0</v>
      </c>
    </row>
    <row r="1035" s="4" customFormat="1" ht="12" spans="1:43">
      <c r="A1035" s="37">
        <v>210502</v>
      </c>
      <c r="B1035" s="37" t="s">
        <v>1272</v>
      </c>
      <c r="C1035" s="37"/>
      <c r="D1035" s="37"/>
      <c r="E1035" s="37"/>
      <c r="F1035" s="37">
        <v>0</v>
      </c>
      <c r="G1035" s="37" t="s">
        <v>47</v>
      </c>
      <c r="H1035" s="37" t="s">
        <v>45</v>
      </c>
      <c r="I1035" s="37" t="s">
        <v>45</v>
      </c>
      <c r="J1035" s="37">
        <v>0</v>
      </c>
      <c r="K1035" s="37" t="s">
        <v>46</v>
      </c>
      <c r="L1035" s="47" t="s">
        <v>47</v>
      </c>
      <c r="M1035" s="37">
        <v>1010119</v>
      </c>
      <c r="N1035" s="37">
        <v>0</v>
      </c>
      <c r="O1035" s="47" t="s">
        <v>48</v>
      </c>
      <c r="P1035" s="37">
        <v>2105</v>
      </c>
      <c r="Q1035" s="37">
        <v>1440</v>
      </c>
      <c r="R1035" s="37">
        <v>1507</v>
      </c>
      <c r="S1035" s="37">
        <f t="shared" ref="S1035" si="343">FLOOR(Q1035/16,1)</f>
        <v>90</v>
      </c>
      <c r="T1035" s="37">
        <f t="shared" ref="T1035" si="344">FLOOR(R1035/16,1)</f>
        <v>94</v>
      </c>
      <c r="U1035" s="37">
        <v>3</v>
      </c>
      <c r="V1035" s="37"/>
      <c r="W1035" s="47" t="s">
        <v>47</v>
      </c>
      <c r="X1035" s="47"/>
      <c r="Y1035" s="37" t="s">
        <v>1272</v>
      </c>
      <c r="Z1035" s="37"/>
      <c r="AA1035" s="37"/>
      <c r="AB1035" s="37" t="s">
        <v>1272</v>
      </c>
      <c r="AC1035" s="37">
        <v>2416</v>
      </c>
      <c r="AD1035" s="37"/>
      <c r="AE1035" s="37"/>
      <c r="AF1035" s="37" t="s">
        <v>51</v>
      </c>
      <c r="AG1035" s="37"/>
      <c r="AH1035" s="47" t="s">
        <v>52</v>
      </c>
      <c r="AI1035" s="37">
        <v>1</v>
      </c>
      <c r="AJ1035" s="37"/>
      <c r="AK1035" s="37"/>
      <c r="AL1035" s="37"/>
      <c r="AM1035" s="37"/>
      <c r="AN1035" s="47" t="s">
        <v>47</v>
      </c>
      <c r="AO1035" s="37"/>
      <c r="AP1035" s="37" t="s">
        <v>53</v>
      </c>
      <c r="AQ1035" s="2">
        <v>0</v>
      </c>
    </row>
    <row r="1036" s="4" customFormat="1" ht="12" spans="1:43">
      <c r="A1036" s="37">
        <v>210503</v>
      </c>
      <c r="B1036" s="37" t="s">
        <v>1273</v>
      </c>
      <c r="C1036" s="37"/>
      <c r="D1036" s="37"/>
      <c r="E1036" s="37"/>
      <c r="F1036" s="37">
        <v>0</v>
      </c>
      <c r="G1036" s="37" t="s">
        <v>47</v>
      </c>
      <c r="H1036" s="37" t="s">
        <v>45</v>
      </c>
      <c r="I1036" s="37" t="s">
        <v>45</v>
      </c>
      <c r="J1036" s="37">
        <v>0</v>
      </c>
      <c r="K1036" s="37" t="s">
        <v>46</v>
      </c>
      <c r="L1036" s="47" t="s">
        <v>47</v>
      </c>
      <c r="M1036" s="37">
        <v>1010119</v>
      </c>
      <c r="N1036" s="37">
        <v>0</v>
      </c>
      <c r="O1036" s="47" t="s">
        <v>48</v>
      </c>
      <c r="P1036" s="37">
        <v>2105</v>
      </c>
      <c r="Q1036" s="37">
        <v>1442</v>
      </c>
      <c r="R1036" s="37">
        <v>1501</v>
      </c>
      <c r="S1036" s="37">
        <f t="shared" ref="S1036" si="345">FLOOR(Q1036/16,1)</f>
        <v>90</v>
      </c>
      <c r="T1036" s="37">
        <f t="shared" ref="T1036" si="346">FLOOR(R1036/16,1)</f>
        <v>93</v>
      </c>
      <c r="U1036" s="37">
        <v>3</v>
      </c>
      <c r="V1036" s="37">
        <v>14</v>
      </c>
      <c r="W1036" s="47" t="s">
        <v>47</v>
      </c>
      <c r="X1036" s="47"/>
      <c r="Y1036" s="37" t="s">
        <v>1273</v>
      </c>
      <c r="Z1036" s="37"/>
      <c r="AA1036" s="37"/>
      <c r="AB1036" s="37" t="s">
        <v>1273</v>
      </c>
      <c r="AC1036" s="37">
        <v>2278</v>
      </c>
      <c r="AD1036" s="37">
        <v>2279</v>
      </c>
      <c r="AE1036" s="37"/>
      <c r="AF1036" s="37" t="s">
        <v>51</v>
      </c>
      <c r="AG1036" s="37"/>
      <c r="AH1036" s="47" t="s">
        <v>52</v>
      </c>
      <c r="AI1036" s="37">
        <v>1</v>
      </c>
      <c r="AJ1036" s="37"/>
      <c r="AK1036" s="37"/>
      <c r="AL1036" s="37"/>
      <c r="AM1036" s="37"/>
      <c r="AN1036" s="47" t="s">
        <v>47</v>
      </c>
      <c r="AO1036" s="37"/>
      <c r="AP1036" s="37" t="s">
        <v>53</v>
      </c>
      <c r="AQ1036" s="2">
        <v>0</v>
      </c>
    </row>
    <row r="1037" s="8" customFormat="1" ht="12" spans="1:43">
      <c r="A1037" s="60">
        <v>210601</v>
      </c>
      <c r="B1037" s="60" t="s">
        <v>1269</v>
      </c>
      <c r="C1037" s="60"/>
      <c r="D1037" s="60"/>
      <c r="E1037" s="60"/>
      <c r="F1037" s="60">
        <v>0</v>
      </c>
      <c r="G1037" s="60" t="s">
        <v>47</v>
      </c>
      <c r="H1037" s="60" t="s">
        <v>45</v>
      </c>
      <c r="I1037" s="60" t="s">
        <v>45</v>
      </c>
      <c r="J1037" s="60">
        <v>0</v>
      </c>
      <c r="K1037" s="60" t="s">
        <v>46</v>
      </c>
      <c r="L1037" s="60" t="s">
        <v>47</v>
      </c>
      <c r="M1037" s="60">
        <v>1010152</v>
      </c>
      <c r="N1037" s="60">
        <v>0</v>
      </c>
      <c r="O1037" s="60" t="s">
        <v>48</v>
      </c>
      <c r="P1037" s="60">
        <v>2106</v>
      </c>
      <c r="Q1037" s="60">
        <v>702</v>
      </c>
      <c r="R1037" s="60">
        <v>679</v>
      </c>
      <c r="S1037" s="60">
        <f t="shared" ref="S1037" si="347">FLOOR(Q1037/16,1)</f>
        <v>43</v>
      </c>
      <c r="T1037" s="60">
        <f t="shared" ref="T1037" si="348">FLOOR(R1037/16,1)</f>
        <v>42</v>
      </c>
      <c r="U1037" s="60">
        <v>5</v>
      </c>
      <c r="V1037" s="60"/>
      <c r="W1037" s="60" t="s">
        <v>47</v>
      </c>
      <c r="X1037" s="60"/>
      <c r="Y1037" s="60" t="s">
        <v>1269</v>
      </c>
      <c r="Z1037" s="60"/>
      <c r="AA1037" s="60"/>
      <c r="AB1037" s="60" t="s">
        <v>1269</v>
      </c>
      <c r="AC1037" s="60">
        <v>2666</v>
      </c>
      <c r="AD1037" s="60"/>
      <c r="AE1037" s="60"/>
      <c r="AF1037" s="60" t="s">
        <v>51</v>
      </c>
      <c r="AG1037" s="60"/>
      <c r="AH1037" s="60" t="s">
        <v>52</v>
      </c>
      <c r="AI1037" s="60">
        <v>1</v>
      </c>
      <c r="AJ1037" s="60"/>
      <c r="AK1037" s="60"/>
      <c r="AL1037" s="60"/>
      <c r="AM1037" s="60"/>
      <c r="AN1037" s="60" t="s">
        <v>47</v>
      </c>
      <c r="AO1037" s="60"/>
      <c r="AP1037" s="60" t="s">
        <v>53</v>
      </c>
      <c r="AQ1037" s="2">
        <v>0</v>
      </c>
    </row>
    <row r="1038" s="8" customFormat="1" ht="12" spans="1:43">
      <c r="A1038" s="60">
        <v>210602</v>
      </c>
      <c r="B1038" s="60" t="s">
        <v>216</v>
      </c>
      <c r="C1038" s="60"/>
      <c r="D1038" s="60"/>
      <c r="E1038" s="60"/>
      <c r="F1038" s="60">
        <v>0</v>
      </c>
      <c r="G1038" s="60" t="s">
        <v>47</v>
      </c>
      <c r="H1038" s="60" t="s">
        <v>45</v>
      </c>
      <c r="I1038" s="60" t="s">
        <v>45</v>
      </c>
      <c r="J1038" s="60">
        <v>0</v>
      </c>
      <c r="K1038" s="60" t="s">
        <v>46</v>
      </c>
      <c r="L1038" s="60" t="s">
        <v>47</v>
      </c>
      <c r="M1038" s="60">
        <v>1010140</v>
      </c>
      <c r="N1038" s="60">
        <v>0</v>
      </c>
      <c r="O1038" s="60" t="s">
        <v>48</v>
      </c>
      <c r="P1038" s="60">
        <v>2106</v>
      </c>
      <c r="Q1038" s="60">
        <v>874</v>
      </c>
      <c r="R1038" s="60">
        <v>420</v>
      </c>
      <c r="S1038" s="60">
        <f t="shared" ref="S1038" si="349">FLOOR(Q1038/16,1)</f>
        <v>54</v>
      </c>
      <c r="T1038" s="60">
        <f t="shared" ref="T1038" si="350">FLOOR(R1038/16,1)</f>
        <v>26</v>
      </c>
      <c r="U1038" s="60">
        <v>3</v>
      </c>
      <c r="V1038" s="60"/>
      <c r="W1038" s="60" t="s">
        <v>47</v>
      </c>
      <c r="X1038" s="60"/>
      <c r="Y1038" s="60" t="s">
        <v>216</v>
      </c>
      <c r="Z1038" s="60" t="s">
        <v>217</v>
      </c>
      <c r="AA1038" s="60"/>
      <c r="AB1038" s="60" t="s">
        <v>216</v>
      </c>
      <c r="AC1038" s="60">
        <v>2621</v>
      </c>
      <c r="AD1038" s="60">
        <v>2622</v>
      </c>
      <c r="AE1038" s="60">
        <v>2623</v>
      </c>
      <c r="AF1038" s="60">
        <v>2624</v>
      </c>
      <c r="AG1038" s="60"/>
      <c r="AH1038" s="60" t="s">
        <v>52</v>
      </c>
      <c r="AI1038" s="60">
        <v>1</v>
      </c>
      <c r="AJ1038" s="60"/>
      <c r="AK1038" s="60"/>
      <c r="AL1038" s="60"/>
      <c r="AM1038" s="60"/>
      <c r="AN1038" s="60" t="s">
        <v>47</v>
      </c>
      <c r="AO1038" s="60"/>
      <c r="AP1038" s="60" t="s">
        <v>53</v>
      </c>
      <c r="AQ1038" s="2">
        <v>0</v>
      </c>
    </row>
    <row r="1039" s="4" customFormat="1" ht="12" spans="1:43">
      <c r="A1039" s="37">
        <v>210701</v>
      </c>
      <c r="B1039" s="37" t="s">
        <v>544</v>
      </c>
      <c r="C1039" s="37"/>
      <c r="D1039" s="37"/>
      <c r="E1039" s="37"/>
      <c r="F1039" s="37">
        <v>0</v>
      </c>
      <c r="G1039" s="37" t="s">
        <v>47</v>
      </c>
      <c r="H1039" s="37" t="s">
        <v>45</v>
      </c>
      <c r="I1039" s="37" t="s">
        <v>45</v>
      </c>
      <c r="J1039" s="37">
        <v>0</v>
      </c>
      <c r="K1039" s="37" t="s">
        <v>46</v>
      </c>
      <c r="L1039" s="47" t="s">
        <v>47</v>
      </c>
      <c r="M1039" s="37">
        <v>1030008</v>
      </c>
      <c r="N1039" s="37">
        <v>0</v>
      </c>
      <c r="O1039" s="47" t="s">
        <v>48</v>
      </c>
      <c r="P1039" s="37">
        <v>2107</v>
      </c>
      <c r="Q1039" s="37">
        <v>606</v>
      </c>
      <c r="R1039" s="37">
        <v>456</v>
      </c>
      <c r="S1039" s="37">
        <f t="shared" ref="S1039" si="351">FLOOR(Q1039/16,1)</f>
        <v>37</v>
      </c>
      <c r="T1039" s="37">
        <f t="shared" ref="T1039" si="352">FLOOR(R1039/16,1)</f>
        <v>28</v>
      </c>
      <c r="U1039" s="37">
        <v>3</v>
      </c>
      <c r="V1039" s="37"/>
      <c r="W1039" s="47" t="s">
        <v>47</v>
      </c>
      <c r="X1039" s="47"/>
      <c r="Y1039" s="37" t="s">
        <v>544</v>
      </c>
      <c r="Z1039" s="37"/>
      <c r="AA1039" s="37"/>
      <c r="AB1039" s="37" t="s">
        <v>544</v>
      </c>
      <c r="AC1039" s="37">
        <v>2672</v>
      </c>
      <c r="AD1039" s="37"/>
      <c r="AE1039" s="37"/>
      <c r="AF1039" s="37" t="s">
        <v>51</v>
      </c>
      <c r="AG1039" s="37"/>
      <c r="AH1039" s="47" t="s">
        <v>52</v>
      </c>
      <c r="AI1039" s="37">
        <v>1</v>
      </c>
      <c r="AJ1039" s="37"/>
      <c r="AK1039" s="37"/>
      <c r="AL1039" s="37"/>
      <c r="AM1039" s="37"/>
      <c r="AN1039" s="47" t="s">
        <v>47</v>
      </c>
      <c r="AO1039" s="37"/>
      <c r="AP1039" s="37" t="s">
        <v>53</v>
      </c>
      <c r="AQ1039" s="2">
        <v>0</v>
      </c>
    </row>
    <row r="1040" s="4" customFormat="1" ht="12" spans="1:43">
      <c r="A1040" s="37">
        <v>210702</v>
      </c>
      <c r="B1040" s="37" t="s">
        <v>1274</v>
      </c>
      <c r="C1040" s="37"/>
      <c r="D1040" s="37"/>
      <c r="E1040" s="37"/>
      <c r="F1040" s="37">
        <v>0</v>
      </c>
      <c r="G1040" s="37" t="s">
        <v>47</v>
      </c>
      <c r="H1040" s="37" t="s">
        <v>45</v>
      </c>
      <c r="I1040" s="37" t="s">
        <v>45</v>
      </c>
      <c r="J1040" s="37">
        <v>0</v>
      </c>
      <c r="K1040" s="37" t="s">
        <v>46</v>
      </c>
      <c r="L1040" s="47" t="s">
        <v>47</v>
      </c>
      <c r="M1040" s="37">
        <v>1010122</v>
      </c>
      <c r="N1040" s="37">
        <v>0</v>
      </c>
      <c r="O1040" s="47" t="s">
        <v>48</v>
      </c>
      <c r="P1040" s="37">
        <v>2107</v>
      </c>
      <c r="Q1040" s="37">
        <v>1010</v>
      </c>
      <c r="R1040" s="37">
        <v>497</v>
      </c>
      <c r="S1040" s="37">
        <f t="shared" ref="S1040" si="353">FLOOR(Q1040/16,1)</f>
        <v>63</v>
      </c>
      <c r="T1040" s="37">
        <f t="shared" ref="T1040" si="354">FLOOR(R1040/16,1)</f>
        <v>31</v>
      </c>
      <c r="U1040" s="37">
        <v>5</v>
      </c>
      <c r="V1040" s="37"/>
      <c r="W1040" s="47" t="s">
        <v>47</v>
      </c>
      <c r="X1040" s="47"/>
      <c r="Y1040" s="37" t="s">
        <v>1274</v>
      </c>
      <c r="Z1040" s="37"/>
      <c r="AA1040" s="37"/>
      <c r="AB1040" s="37" t="s">
        <v>1274</v>
      </c>
      <c r="AC1040" s="37">
        <v>2766</v>
      </c>
      <c r="AD1040" s="37"/>
      <c r="AE1040" s="37"/>
      <c r="AF1040" s="37" t="s">
        <v>51</v>
      </c>
      <c r="AG1040" s="37"/>
      <c r="AH1040" s="47" t="s">
        <v>52</v>
      </c>
      <c r="AI1040" s="37">
        <v>1</v>
      </c>
      <c r="AJ1040" s="37"/>
      <c r="AK1040" s="37"/>
      <c r="AL1040" s="37"/>
      <c r="AM1040" s="37"/>
      <c r="AN1040" s="47" t="s">
        <v>47</v>
      </c>
      <c r="AO1040" s="37"/>
      <c r="AP1040" s="37" t="s">
        <v>53</v>
      </c>
      <c r="AQ1040" s="2">
        <v>0</v>
      </c>
    </row>
    <row r="1041" s="8" customFormat="1" ht="12" spans="1:43">
      <c r="A1041" s="60">
        <v>210801</v>
      </c>
      <c r="B1041" s="60" t="s">
        <v>218</v>
      </c>
      <c r="C1041" s="60"/>
      <c r="D1041" s="60"/>
      <c r="E1041" s="60"/>
      <c r="F1041" s="60">
        <v>0</v>
      </c>
      <c r="G1041" s="60" t="s">
        <v>47</v>
      </c>
      <c r="H1041" s="60" t="s">
        <v>45</v>
      </c>
      <c r="I1041" s="60" t="s">
        <v>45</v>
      </c>
      <c r="J1041" s="60">
        <v>0</v>
      </c>
      <c r="K1041" s="60" t="s">
        <v>46</v>
      </c>
      <c r="L1041" s="47" t="s">
        <v>47</v>
      </c>
      <c r="M1041" s="60">
        <v>1020113</v>
      </c>
      <c r="N1041" s="60">
        <v>0</v>
      </c>
      <c r="O1041" s="47" t="s">
        <v>48</v>
      </c>
      <c r="P1041" s="60">
        <v>2108</v>
      </c>
      <c r="Q1041" s="60">
        <v>1146</v>
      </c>
      <c r="R1041" s="60">
        <v>625</v>
      </c>
      <c r="S1041" s="60">
        <f t="shared" ref="S1041" si="355">FLOOR(Q1041/16,1)</f>
        <v>71</v>
      </c>
      <c r="T1041" s="60">
        <f t="shared" ref="T1041" si="356">FLOOR(R1041/16,1)</f>
        <v>39</v>
      </c>
      <c r="U1041" s="60">
        <v>7</v>
      </c>
      <c r="V1041" s="60"/>
      <c r="W1041" s="47" t="s">
        <v>47</v>
      </c>
      <c r="X1041" s="47"/>
      <c r="Y1041" s="47" t="s">
        <v>218</v>
      </c>
      <c r="Z1041" s="60" t="s">
        <v>219</v>
      </c>
      <c r="AA1041" s="60"/>
      <c r="AB1041" s="60" t="s">
        <v>218</v>
      </c>
      <c r="AC1041" s="60">
        <v>2625</v>
      </c>
      <c r="AD1041" s="60">
        <v>2626</v>
      </c>
      <c r="AE1041" s="60">
        <v>2627</v>
      </c>
      <c r="AF1041" s="60">
        <v>2628</v>
      </c>
      <c r="AG1041" s="60"/>
      <c r="AH1041" s="47" t="s">
        <v>52</v>
      </c>
      <c r="AI1041" s="60">
        <v>1</v>
      </c>
      <c r="AJ1041" s="60"/>
      <c r="AK1041" s="60"/>
      <c r="AL1041" s="60"/>
      <c r="AM1041" s="60"/>
      <c r="AN1041" s="47" t="s">
        <v>47</v>
      </c>
      <c r="AO1041" s="60"/>
      <c r="AP1041" s="60" t="s">
        <v>53</v>
      </c>
      <c r="AQ1041" s="2">
        <v>0</v>
      </c>
    </row>
    <row r="1042" s="8" customFormat="1" ht="12" spans="1:43">
      <c r="A1042" s="60">
        <v>210802</v>
      </c>
      <c r="B1042" s="60" t="s">
        <v>216</v>
      </c>
      <c r="C1042" s="60"/>
      <c r="D1042" s="60"/>
      <c r="E1042" s="60"/>
      <c r="F1042" s="60">
        <v>0</v>
      </c>
      <c r="G1042" s="60" t="s">
        <v>47</v>
      </c>
      <c r="H1042" s="60" t="s">
        <v>45</v>
      </c>
      <c r="I1042" s="60" t="s">
        <v>45</v>
      </c>
      <c r="J1042" s="60">
        <v>0</v>
      </c>
      <c r="K1042" s="60" t="s">
        <v>46</v>
      </c>
      <c r="L1042" s="60" t="s">
        <v>47</v>
      </c>
      <c r="M1042" s="60">
        <v>1010140</v>
      </c>
      <c r="N1042" s="60">
        <v>0</v>
      </c>
      <c r="O1042" s="60" t="s">
        <v>48</v>
      </c>
      <c r="P1042" s="60">
        <v>2108</v>
      </c>
      <c r="Q1042" s="60">
        <v>951</v>
      </c>
      <c r="R1042" s="60">
        <v>434</v>
      </c>
      <c r="S1042" s="60">
        <f t="shared" ref="S1042" si="357">FLOOR(Q1042/16,1)</f>
        <v>59</v>
      </c>
      <c r="T1042" s="60">
        <f t="shared" ref="T1042" si="358">FLOOR(R1042/16,1)</f>
        <v>27</v>
      </c>
      <c r="U1042" s="60">
        <v>5</v>
      </c>
      <c r="V1042" s="60"/>
      <c r="W1042" s="60" t="s">
        <v>47</v>
      </c>
      <c r="X1042" s="60"/>
      <c r="Y1042" s="60" t="s">
        <v>216</v>
      </c>
      <c r="Z1042" s="60" t="s">
        <v>217</v>
      </c>
      <c r="AA1042" s="60"/>
      <c r="AB1042" s="60" t="s">
        <v>216</v>
      </c>
      <c r="AC1042" s="60">
        <v>2621</v>
      </c>
      <c r="AD1042" s="60">
        <v>2622</v>
      </c>
      <c r="AE1042" s="60">
        <v>2623</v>
      </c>
      <c r="AF1042" s="60">
        <v>2624</v>
      </c>
      <c r="AG1042" s="60"/>
      <c r="AH1042" s="60" t="s">
        <v>52</v>
      </c>
      <c r="AI1042" s="60">
        <v>1</v>
      </c>
      <c r="AJ1042" s="60"/>
      <c r="AK1042" s="60"/>
      <c r="AL1042" s="60"/>
      <c r="AM1042" s="60"/>
      <c r="AN1042" s="60" t="s">
        <v>47</v>
      </c>
      <c r="AO1042" s="60"/>
      <c r="AP1042" s="60" t="s">
        <v>53</v>
      </c>
      <c r="AQ1042" s="2">
        <v>0</v>
      </c>
    </row>
    <row r="1043" s="8" customFormat="1" ht="12" spans="1:43">
      <c r="A1043" s="60">
        <v>210803</v>
      </c>
      <c r="B1043" s="60" t="s">
        <v>220</v>
      </c>
      <c r="C1043" s="60"/>
      <c r="D1043" s="60"/>
      <c r="E1043" s="60"/>
      <c r="F1043" s="60">
        <v>0</v>
      </c>
      <c r="G1043" s="60" t="s">
        <v>47</v>
      </c>
      <c r="H1043" s="60" t="s">
        <v>45</v>
      </c>
      <c r="I1043" s="60" t="s">
        <v>45</v>
      </c>
      <c r="J1043" s="60">
        <v>0</v>
      </c>
      <c r="K1043" s="60" t="s">
        <v>46</v>
      </c>
      <c r="L1043" s="47" t="s">
        <v>47</v>
      </c>
      <c r="M1043" s="60">
        <v>1010162</v>
      </c>
      <c r="N1043" s="60">
        <v>0</v>
      </c>
      <c r="O1043" s="47" t="s">
        <v>48</v>
      </c>
      <c r="P1043" s="60">
        <v>2108</v>
      </c>
      <c r="Q1043" s="60">
        <v>850</v>
      </c>
      <c r="R1043" s="60">
        <v>409</v>
      </c>
      <c r="S1043" s="60">
        <f t="shared" ref="S1043" si="359">FLOOR(Q1043/16,1)</f>
        <v>53</v>
      </c>
      <c r="T1043" s="60">
        <f t="shared" ref="T1043:T1048" si="360">FLOOR(R1043/16,1)</f>
        <v>25</v>
      </c>
      <c r="U1043" s="60">
        <v>3</v>
      </c>
      <c r="V1043" s="60"/>
      <c r="W1043" s="47" t="s">
        <v>47</v>
      </c>
      <c r="X1043" s="47"/>
      <c r="Y1043" s="47" t="s">
        <v>220</v>
      </c>
      <c r="Z1043" s="60" t="s">
        <v>1275</v>
      </c>
      <c r="AA1043" s="60"/>
      <c r="AB1043" s="60" t="s">
        <v>220</v>
      </c>
      <c r="AC1043" s="60">
        <v>2631</v>
      </c>
      <c r="AD1043" s="60">
        <v>2632</v>
      </c>
      <c r="AE1043" s="60">
        <v>2633</v>
      </c>
      <c r="AF1043" s="60" t="s">
        <v>51</v>
      </c>
      <c r="AG1043" s="60"/>
      <c r="AH1043" s="47" t="s">
        <v>52</v>
      </c>
      <c r="AI1043" s="60">
        <v>1</v>
      </c>
      <c r="AJ1043" s="60"/>
      <c r="AK1043" s="60"/>
      <c r="AL1043" s="60"/>
      <c r="AM1043" s="60"/>
      <c r="AN1043" s="47" t="s">
        <v>47</v>
      </c>
      <c r="AO1043" s="60"/>
      <c r="AP1043" s="60" t="s">
        <v>53</v>
      </c>
      <c r="AQ1043" s="2">
        <v>0</v>
      </c>
    </row>
    <row r="1044" s="4" customFormat="1" ht="12" spans="1:43">
      <c r="A1044" s="37">
        <v>210901</v>
      </c>
      <c r="B1044" s="37" t="s">
        <v>1276</v>
      </c>
      <c r="C1044" s="37"/>
      <c r="D1044" s="37"/>
      <c r="E1044" s="37"/>
      <c r="F1044" s="37">
        <v>0</v>
      </c>
      <c r="G1044" s="37" t="s">
        <v>47</v>
      </c>
      <c r="H1044" s="37" t="s">
        <v>45</v>
      </c>
      <c r="I1044" s="37" t="s">
        <v>45</v>
      </c>
      <c r="J1044" s="37">
        <v>0</v>
      </c>
      <c r="K1044" s="37" t="s">
        <v>46</v>
      </c>
      <c r="L1044" s="47" t="s">
        <v>47</v>
      </c>
      <c r="M1044" s="37">
        <v>1010130</v>
      </c>
      <c r="N1044" s="37">
        <v>0</v>
      </c>
      <c r="O1044" s="47" t="s">
        <v>48</v>
      </c>
      <c r="P1044" s="37">
        <v>2109</v>
      </c>
      <c r="Q1044" s="37">
        <v>450</v>
      </c>
      <c r="R1044" s="37">
        <v>466</v>
      </c>
      <c r="S1044" s="37">
        <f t="shared" ref="S1044:S1048" si="361">FLOOR(Q1044/16,1)</f>
        <v>28</v>
      </c>
      <c r="T1044" s="37">
        <f t="shared" si="360"/>
        <v>29</v>
      </c>
      <c r="U1044" s="37">
        <v>3</v>
      </c>
      <c r="V1044" s="37"/>
      <c r="W1044" s="47" t="s">
        <v>47</v>
      </c>
      <c r="X1044" s="47"/>
      <c r="Y1044" s="47" t="s">
        <v>672</v>
      </c>
      <c r="Z1044" s="37"/>
      <c r="AA1044" s="37"/>
      <c r="AB1044" s="37" t="s">
        <v>672</v>
      </c>
      <c r="AC1044" s="37">
        <v>2575</v>
      </c>
      <c r="AD1044" s="37"/>
      <c r="AE1044" s="37"/>
      <c r="AF1044" s="37" t="s">
        <v>51</v>
      </c>
      <c r="AG1044" s="37"/>
      <c r="AH1044" s="47" t="s">
        <v>52</v>
      </c>
      <c r="AI1044" s="37">
        <v>1</v>
      </c>
      <c r="AJ1044" s="37"/>
      <c r="AK1044" s="37"/>
      <c r="AL1044" s="37"/>
      <c r="AM1044" s="37"/>
      <c r="AN1044" s="47" t="s">
        <v>47</v>
      </c>
      <c r="AO1044" s="37"/>
      <c r="AP1044" s="37" t="s">
        <v>53</v>
      </c>
      <c r="AQ1044" s="2">
        <v>0</v>
      </c>
    </row>
    <row r="1045" s="4" customFormat="1" ht="12" spans="1:43">
      <c r="A1045" s="37">
        <v>210902</v>
      </c>
      <c r="B1045" s="37" t="s">
        <v>216</v>
      </c>
      <c r="C1045" s="37"/>
      <c r="D1045" s="37"/>
      <c r="E1045" s="37"/>
      <c r="F1045" s="37">
        <v>0</v>
      </c>
      <c r="G1045" s="37" t="s">
        <v>47</v>
      </c>
      <c r="H1045" s="37" t="s">
        <v>45</v>
      </c>
      <c r="I1045" s="37" t="s">
        <v>45</v>
      </c>
      <c r="J1045" s="37">
        <v>0</v>
      </c>
      <c r="K1045" s="37" t="s">
        <v>46</v>
      </c>
      <c r="L1045" s="37" t="s">
        <v>47</v>
      </c>
      <c r="M1045" s="37">
        <v>1010140</v>
      </c>
      <c r="N1045" s="37">
        <v>0</v>
      </c>
      <c r="O1045" s="37" t="s">
        <v>48</v>
      </c>
      <c r="P1045" s="37">
        <v>2109</v>
      </c>
      <c r="Q1045" s="37">
        <v>980</v>
      </c>
      <c r="R1045" s="37">
        <v>351</v>
      </c>
      <c r="S1045" s="37">
        <f t="shared" si="361"/>
        <v>61</v>
      </c>
      <c r="T1045" s="37">
        <f t="shared" si="360"/>
        <v>21</v>
      </c>
      <c r="U1045" s="37">
        <v>5</v>
      </c>
      <c r="V1045" s="37"/>
      <c r="W1045" s="37" t="s">
        <v>47</v>
      </c>
      <c r="X1045" s="37"/>
      <c r="Y1045" s="37" t="s">
        <v>216</v>
      </c>
      <c r="Z1045" s="37" t="s">
        <v>217</v>
      </c>
      <c r="AA1045" s="37"/>
      <c r="AB1045" s="37" t="s">
        <v>216</v>
      </c>
      <c r="AC1045" s="37">
        <v>2621</v>
      </c>
      <c r="AD1045" s="37">
        <v>2622</v>
      </c>
      <c r="AE1045" s="37">
        <v>2623</v>
      </c>
      <c r="AF1045" s="37">
        <v>2624</v>
      </c>
      <c r="AG1045" s="37"/>
      <c r="AH1045" s="37" t="s">
        <v>52</v>
      </c>
      <c r="AI1045" s="37">
        <v>1</v>
      </c>
      <c r="AJ1045" s="37"/>
      <c r="AK1045" s="37"/>
      <c r="AL1045" s="37"/>
      <c r="AM1045" s="37"/>
      <c r="AN1045" s="37" t="s">
        <v>47</v>
      </c>
      <c r="AO1045" s="37"/>
      <c r="AP1045" s="37" t="s">
        <v>53</v>
      </c>
      <c r="AQ1045" s="2">
        <v>0</v>
      </c>
    </row>
    <row r="1046" s="4" customFormat="1" ht="12" spans="1:43">
      <c r="A1046" s="37">
        <v>210903</v>
      </c>
      <c r="B1046" s="37" t="s">
        <v>216</v>
      </c>
      <c r="C1046" s="37"/>
      <c r="D1046" s="37"/>
      <c r="E1046" s="37"/>
      <c r="F1046" s="37">
        <v>0</v>
      </c>
      <c r="G1046" s="37" t="s">
        <v>47</v>
      </c>
      <c r="H1046" s="37" t="s">
        <v>45</v>
      </c>
      <c r="I1046" s="37" t="s">
        <v>45</v>
      </c>
      <c r="J1046" s="37">
        <v>0</v>
      </c>
      <c r="K1046" s="37" t="s">
        <v>46</v>
      </c>
      <c r="L1046" s="37" t="s">
        <v>47</v>
      </c>
      <c r="M1046" s="37">
        <v>1030003</v>
      </c>
      <c r="N1046" s="37">
        <v>0</v>
      </c>
      <c r="O1046" s="37" t="s">
        <v>48</v>
      </c>
      <c r="P1046" s="37">
        <v>2109</v>
      </c>
      <c r="Q1046" s="37">
        <v>827</v>
      </c>
      <c r="R1046" s="37">
        <v>366</v>
      </c>
      <c r="S1046" s="37">
        <f t="shared" si="361"/>
        <v>51</v>
      </c>
      <c r="T1046" s="37">
        <f t="shared" si="360"/>
        <v>22</v>
      </c>
      <c r="U1046" s="37">
        <v>5</v>
      </c>
      <c r="V1046" s="37"/>
      <c r="W1046" s="37" t="s">
        <v>47</v>
      </c>
      <c r="X1046" s="37"/>
      <c r="Y1046" s="37" t="s">
        <v>216</v>
      </c>
      <c r="Z1046" s="37" t="s">
        <v>672</v>
      </c>
      <c r="AA1046" s="37"/>
      <c r="AB1046" s="37" t="s">
        <v>216</v>
      </c>
      <c r="AC1046" s="37">
        <v>2123</v>
      </c>
      <c r="AD1046" s="37">
        <v>2125</v>
      </c>
      <c r="AE1046" s="37">
        <v>2126</v>
      </c>
      <c r="AF1046" s="37" t="s">
        <v>51</v>
      </c>
      <c r="AG1046" s="37"/>
      <c r="AH1046" s="37" t="s">
        <v>52</v>
      </c>
      <c r="AI1046" s="37">
        <v>1</v>
      </c>
      <c r="AJ1046" s="37"/>
      <c r="AK1046" s="37"/>
      <c r="AL1046" s="37"/>
      <c r="AM1046" s="37"/>
      <c r="AN1046" s="37" t="s">
        <v>47</v>
      </c>
      <c r="AO1046" s="37"/>
      <c r="AP1046" s="37" t="s">
        <v>53</v>
      </c>
      <c r="AQ1046" s="2">
        <v>0</v>
      </c>
    </row>
    <row r="1047" s="4" customFormat="1" ht="12" spans="1:43">
      <c r="A1047" s="37">
        <v>210904</v>
      </c>
      <c r="B1047" s="37" t="s">
        <v>137</v>
      </c>
      <c r="C1047" s="37"/>
      <c r="D1047" s="37"/>
      <c r="E1047" s="37"/>
      <c r="F1047" s="37">
        <v>0</v>
      </c>
      <c r="G1047" s="37" t="s">
        <v>47</v>
      </c>
      <c r="H1047" s="37" t="s">
        <v>45</v>
      </c>
      <c r="I1047" s="37" t="s">
        <v>45</v>
      </c>
      <c r="J1047" s="37">
        <v>0</v>
      </c>
      <c r="K1047" s="37" t="s">
        <v>46</v>
      </c>
      <c r="L1047" s="47" t="s">
        <v>47</v>
      </c>
      <c r="M1047" s="37">
        <v>1000106</v>
      </c>
      <c r="N1047" s="37">
        <v>0</v>
      </c>
      <c r="O1047" s="47" t="s">
        <v>48</v>
      </c>
      <c r="P1047" s="37">
        <v>2109</v>
      </c>
      <c r="Q1047" s="37">
        <v>856</v>
      </c>
      <c r="R1047" s="37">
        <v>363</v>
      </c>
      <c r="S1047" s="37">
        <f t="shared" si="361"/>
        <v>53</v>
      </c>
      <c r="T1047" s="37">
        <f t="shared" si="360"/>
        <v>22</v>
      </c>
      <c r="U1047" s="37">
        <v>5</v>
      </c>
      <c r="V1047" s="37"/>
      <c r="W1047" s="47" t="s">
        <v>47</v>
      </c>
      <c r="X1047" s="47"/>
      <c r="Y1047" s="47" t="s">
        <v>137</v>
      </c>
      <c r="Z1047" s="37"/>
      <c r="AA1047" s="37"/>
      <c r="AB1047" s="37" t="s">
        <v>137</v>
      </c>
      <c r="AC1047" s="12">
        <v>2103</v>
      </c>
      <c r="AD1047" s="12">
        <v>2106</v>
      </c>
      <c r="AE1047" s="12">
        <v>2462</v>
      </c>
      <c r="AF1047" s="43"/>
      <c r="AG1047" s="37"/>
      <c r="AH1047" s="47" t="s">
        <v>52</v>
      </c>
      <c r="AI1047" s="37">
        <v>1</v>
      </c>
      <c r="AJ1047" s="37"/>
      <c r="AK1047" s="37"/>
      <c r="AL1047" s="37"/>
      <c r="AM1047" s="37"/>
      <c r="AN1047" s="47" t="s">
        <v>47</v>
      </c>
      <c r="AO1047" s="37"/>
      <c r="AP1047" s="37" t="s">
        <v>53</v>
      </c>
      <c r="AQ1047" s="2">
        <v>0</v>
      </c>
    </row>
    <row r="1048" s="4" customFormat="1" ht="12" spans="1:43">
      <c r="A1048" s="37">
        <v>210905</v>
      </c>
      <c r="B1048" s="37" t="s">
        <v>209</v>
      </c>
      <c r="C1048" s="37"/>
      <c r="D1048" s="37"/>
      <c r="E1048" s="37"/>
      <c r="F1048" s="37">
        <v>0</v>
      </c>
      <c r="G1048" s="37" t="s">
        <v>47</v>
      </c>
      <c r="H1048" s="37" t="s">
        <v>45</v>
      </c>
      <c r="I1048" s="37" t="s">
        <v>45</v>
      </c>
      <c r="J1048" s="37">
        <v>0</v>
      </c>
      <c r="K1048" s="37" t="s">
        <v>46</v>
      </c>
      <c r="L1048" s="37" t="s">
        <v>47</v>
      </c>
      <c r="M1048" s="44">
        <v>1020131</v>
      </c>
      <c r="N1048" s="37">
        <v>0</v>
      </c>
      <c r="O1048" s="37" t="s">
        <v>48</v>
      </c>
      <c r="P1048" s="37">
        <v>2109</v>
      </c>
      <c r="Q1048" s="37">
        <v>1040</v>
      </c>
      <c r="R1048" s="37">
        <v>508</v>
      </c>
      <c r="S1048" s="37">
        <f t="shared" si="361"/>
        <v>65</v>
      </c>
      <c r="T1048" s="37">
        <f t="shared" si="360"/>
        <v>31</v>
      </c>
      <c r="U1048" s="37">
        <v>7</v>
      </c>
      <c r="V1048" s="37"/>
      <c r="W1048" s="37" t="s">
        <v>47</v>
      </c>
      <c r="X1048" s="37"/>
      <c r="Y1048" s="37" t="s">
        <v>1277</v>
      </c>
      <c r="Z1048" s="37"/>
      <c r="AA1048" s="37"/>
      <c r="AB1048" s="37" t="s">
        <v>1278</v>
      </c>
      <c r="AC1048" s="37">
        <v>2166</v>
      </c>
      <c r="AD1048" s="37">
        <v>2167</v>
      </c>
      <c r="AE1048" s="37">
        <v>2168</v>
      </c>
      <c r="AF1048" s="37">
        <v>2169</v>
      </c>
      <c r="AG1048" s="37"/>
      <c r="AH1048" s="37" t="s">
        <v>52</v>
      </c>
      <c r="AI1048" s="37">
        <v>1</v>
      </c>
      <c r="AJ1048" s="37"/>
      <c r="AK1048" s="37"/>
      <c r="AL1048" s="37"/>
      <c r="AM1048" s="37"/>
      <c r="AN1048" s="37" t="s">
        <v>47</v>
      </c>
      <c r="AO1048" s="37"/>
      <c r="AP1048" s="37" t="s">
        <v>53</v>
      </c>
      <c r="AQ1048" s="2">
        <v>0</v>
      </c>
    </row>
    <row r="1049" s="4" customFormat="1" ht="12" spans="1:43">
      <c r="A1049" s="37">
        <v>210906</v>
      </c>
      <c r="B1049" s="37" t="s">
        <v>1279</v>
      </c>
      <c r="C1049" s="37"/>
      <c r="D1049" s="37"/>
      <c r="E1049" s="37"/>
      <c r="F1049" s="37">
        <v>0</v>
      </c>
      <c r="G1049" s="37" t="s">
        <v>47</v>
      </c>
      <c r="H1049" s="37" t="s">
        <v>45</v>
      </c>
      <c r="I1049" s="37" t="s">
        <v>45</v>
      </c>
      <c r="J1049" s="37">
        <v>0</v>
      </c>
      <c r="K1049" s="37" t="s">
        <v>46</v>
      </c>
      <c r="L1049" s="37" t="s">
        <v>47</v>
      </c>
      <c r="M1049" s="37">
        <v>1010139</v>
      </c>
      <c r="N1049" s="37">
        <v>0</v>
      </c>
      <c r="O1049" s="37" t="s">
        <v>48</v>
      </c>
      <c r="P1049" s="37">
        <v>2109</v>
      </c>
      <c r="Q1049" s="37">
        <v>793</v>
      </c>
      <c r="R1049" s="37">
        <v>755</v>
      </c>
      <c r="S1049" s="37">
        <f t="shared" ref="S1049" si="362">FLOOR(Q1049/16,1)</f>
        <v>49</v>
      </c>
      <c r="T1049" s="37">
        <f t="shared" ref="T1049:T1052" si="363">FLOOR(R1049/16,1)</f>
        <v>47</v>
      </c>
      <c r="U1049" s="37">
        <v>5</v>
      </c>
      <c r="V1049" s="37"/>
      <c r="W1049" s="37" t="s">
        <v>47</v>
      </c>
      <c r="X1049" s="37"/>
      <c r="Y1049" s="37" t="s">
        <v>1279</v>
      </c>
      <c r="Z1049" s="37"/>
      <c r="AA1049" s="37"/>
      <c r="AB1049" s="37" t="s">
        <v>1279</v>
      </c>
      <c r="AC1049" s="37">
        <v>2141</v>
      </c>
      <c r="AD1049" s="37"/>
      <c r="AE1049" s="37"/>
      <c r="AF1049" s="37"/>
      <c r="AG1049" s="37"/>
      <c r="AH1049" s="37" t="s">
        <v>52</v>
      </c>
      <c r="AI1049" s="37">
        <v>1</v>
      </c>
      <c r="AJ1049" s="37"/>
      <c r="AK1049" s="37"/>
      <c r="AL1049" s="37"/>
      <c r="AM1049" s="37"/>
      <c r="AN1049" s="37" t="s">
        <v>47</v>
      </c>
      <c r="AO1049" s="37"/>
      <c r="AP1049" s="37" t="s">
        <v>53</v>
      </c>
      <c r="AQ1049" s="2">
        <v>0</v>
      </c>
    </row>
    <row r="1050" s="4" customFormat="1" ht="12" spans="1:43">
      <c r="A1050" s="37">
        <v>210907</v>
      </c>
      <c r="B1050" s="37" t="s">
        <v>1280</v>
      </c>
      <c r="C1050" s="37"/>
      <c r="D1050" s="37"/>
      <c r="E1050" s="37"/>
      <c r="F1050" s="37">
        <v>1</v>
      </c>
      <c r="G1050" s="37">
        <v>1</v>
      </c>
      <c r="H1050" s="37" t="s">
        <v>45</v>
      </c>
      <c r="I1050" s="37" t="s">
        <v>45</v>
      </c>
      <c r="J1050" s="37">
        <v>0</v>
      </c>
      <c r="K1050" s="37" t="s">
        <v>46</v>
      </c>
      <c r="L1050" s="37" t="s">
        <v>47</v>
      </c>
      <c r="M1050" s="37">
        <v>1010152</v>
      </c>
      <c r="N1050" s="37">
        <v>0</v>
      </c>
      <c r="O1050" s="37" t="s">
        <v>48</v>
      </c>
      <c r="P1050" s="37">
        <v>2109</v>
      </c>
      <c r="Q1050" s="37">
        <v>922</v>
      </c>
      <c r="R1050" s="37">
        <v>386</v>
      </c>
      <c r="S1050" s="37">
        <f t="shared" ref="S1050:S1052" si="364">FLOOR(Q1050/16,1)</f>
        <v>57</v>
      </c>
      <c r="T1050" s="37">
        <f t="shared" si="363"/>
        <v>24</v>
      </c>
      <c r="U1050" s="37">
        <v>5</v>
      </c>
      <c r="V1050" s="37"/>
      <c r="W1050" s="37" t="s">
        <v>47</v>
      </c>
      <c r="X1050" s="37"/>
      <c r="Y1050" s="37" t="s">
        <v>1280</v>
      </c>
      <c r="Z1050" s="37" t="s">
        <v>1281</v>
      </c>
      <c r="AA1050" s="37"/>
      <c r="AB1050" s="37" t="s">
        <v>1280</v>
      </c>
      <c r="AC1050" s="37">
        <v>2141</v>
      </c>
      <c r="AD1050" s="37"/>
      <c r="AE1050" s="37"/>
      <c r="AF1050" s="37"/>
      <c r="AG1050" s="37"/>
      <c r="AH1050" s="37" t="s">
        <v>52</v>
      </c>
      <c r="AI1050" s="37">
        <v>1</v>
      </c>
      <c r="AJ1050" s="37"/>
      <c r="AK1050" s="37"/>
      <c r="AL1050" s="37"/>
      <c r="AM1050" s="37"/>
      <c r="AN1050" s="37" t="s">
        <v>47</v>
      </c>
      <c r="AO1050" s="37"/>
      <c r="AP1050" s="37" t="s">
        <v>53</v>
      </c>
      <c r="AQ1050" s="2">
        <v>0</v>
      </c>
    </row>
    <row r="1051" s="4" customFormat="1" ht="12" spans="1:43">
      <c r="A1051" s="37">
        <v>210908</v>
      </c>
      <c r="B1051" s="37" t="s">
        <v>1282</v>
      </c>
      <c r="C1051" s="37"/>
      <c r="D1051" s="37"/>
      <c r="E1051" s="37"/>
      <c r="F1051" s="37">
        <v>2</v>
      </c>
      <c r="G1051" s="37">
        <v>2</v>
      </c>
      <c r="H1051" s="37" t="s">
        <v>45</v>
      </c>
      <c r="I1051" s="37" t="s">
        <v>45</v>
      </c>
      <c r="J1051" s="37">
        <v>0</v>
      </c>
      <c r="K1051" s="37" t="s">
        <v>46</v>
      </c>
      <c r="L1051" s="37" t="s">
        <v>47</v>
      </c>
      <c r="M1051" s="37">
        <v>1010152</v>
      </c>
      <c r="N1051" s="37">
        <v>0</v>
      </c>
      <c r="O1051" s="37" t="s">
        <v>48</v>
      </c>
      <c r="P1051" s="37">
        <v>2109</v>
      </c>
      <c r="Q1051" s="37">
        <v>348</v>
      </c>
      <c r="R1051" s="37">
        <v>494</v>
      </c>
      <c r="S1051" s="37">
        <f t="shared" si="364"/>
        <v>21</v>
      </c>
      <c r="T1051" s="37">
        <f t="shared" si="363"/>
        <v>30</v>
      </c>
      <c r="U1051" s="37">
        <v>3</v>
      </c>
      <c r="V1051" s="37"/>
      <c r="W1051" s="37" t="s">
        <v>47</v>
      </c>
      <c r="X1051" s="37"/>
      <c r="Y1051" s="37" t="s">
        <v>1282</v>
      </c>
      <c r="Z1051" s="37" t="s">
        <v>1281</v>
      </c>
      <c r="AA1051" s="37"/>
      <c r="AB1051" s="37" t="s">
        <v>1282</v>
      </c>
      <c r="AC1051" s="37">
        <v>2141</v>
      </c>
      <c r="AD1051" s="37"/>
      <c r="AE1051" s="37"/>
      <c r="AF1051" s="37"/>
      <c r="AG1051" s="37"/>
      <c r="AH1051" s="37" t="s">
        <v>52</v>
      </c>
      <c r="AI1051" s="37">
        <v>1</v>
      </c>
      <c r="AJ1051" s="37"/>
      <c r="AK1051" s="37"/>
      <c r="AL1051" s="37"/>
      <c r="AM1051" s="37"/>
      <c r="AN1051" s="37" t="s">
        <v>47</v>
      </c>
      <c r="AO1051" s="37"/>
      <c r="AP1051" s="37" t="s">
        <v>53</v>
      </c>
      <c r="AQ1051" s="2">
        <v>0</v>
      </c>
    </row>
    <row r="1052" s="4" customFormat="1" ht="12" spans="1:43">
      <c r="A1052" s="37">
        <v>210909</v>
      </c>
      <c r="B1052" s="37" t="s">
        <v>1283</v>
      </c>
      <c r="C1052" s="37"/>
      <c r="D1052" s="37"/>
      <c r="E1052" s="37"/>
      <c r="F1052" s="37">
        <v>0</v>
      </c>
      <c r="G1052" s="37" t="s">
        <v>47</v>
      </c>
      <c r="H1052" s="37" t="s">
        <v>45</v>
      </c>
      <c r="I1052" s="37" t="s">
        <v>45</v>
      </c>
      <c r="J1052" s="37">
        <v>0</v>
      </c>
      <c r="K1052" s="37" t="s">
        <v>46</v>
      </c>
      <c r="L1052" s="37" t="s">
        <v>47</v>
      </c>
      <c r="M1052" s="37">
        <v>1000108</v>
      </c>
      <c r="N1052" s="37">
        <v>0</v>
      </c>
      <c r="O1052" s="37" t="s">
        <v>48</v>
      </c>
      <c r="P1052" s="37">
        <v>2109</v>
      </c>
      <c r="Q1052" s="37">
        <v>278</v>
      </c>
      <c r="R1052" s="37">
        <v>673</v>
      </c>
      <c r="S1052" s="37">
        <f t="shared" si="364"/>
        <v>17</v>
      </c>
      <c r="T1052" s="37">
        <f t="shared" si="363"/>
        <v>42</v>
      </c>
      <c r="U1052" s="37">
        <v>3</v>
      </c>
      <c r="V1052" s="37"/>
      <c r="W1052" s="37" t="s">
        <v>47</v>
      </c>
      <c r="X1052" s="37"/>
      <c r="Y1052" s="37" t="s">
        <v>1283</v>
      </c>
      <c r="Z1052" s="37" t="s">
        <v>1284</v>
      </c>
      <c r="AA1052" s="37"/>
      <c r="AB1052" s="37" t="s">
        <v>1283</v>
      </c>
      <c r="AC1052" s="37">
        <v>2467</v>
      </c>
      <c r="AD1052" s="37"/>
      <c r="AE1052" s="37"/>
      <c r="AF1052" s="37"/>
      <c r="AG1052" s="37"/>
      <c r="AH1052" s="37" t="s">
        <v>52</v>
      </c>
      <c r="AI1052" s="37">
        <v>1</v>
      </c>
      <c r="AJ1052" s="37"/>
      <c r="AK1052" s="37"/>
      <c r="AL1052" s="37"/>
      <c r="AM1052" s="37"/>
      <c r="AN1052" s="37" t="s">
        <v>47</v>
      </c>
      <c r="AO1052" s="37"/>
      <c r="AP1052" s="37" t="s">
        <v>53</v>
      </c>
      <c r="AQ1052" s="2">
        <v>0</v>
      </c>
    </row>
    <row r="1053" s="8" customFormat="1" ht="12" spans="1:43">
      <c r="A1053" s="60">
        <v>211001</v>
      </c>
      <c r="B1053" s="60" t="s">
        <v>216</v>
      </c>
      <c r="C1053" s="60"/>
      <c r="D1053" s="60"/>
      <c r="E1053" s="60"/>
      <c r="F1053" s="60">
        <v>0</v>
      </c>
      <c r="G1053" s="60" t="s">
        <v>47</v>
      </c>
      <c r="H1053" s="60" t="s">
        <v>45</v>
      </c>
      <c r="I1053" s="60" t="s">
        <v>45</v>
      </c>
      <c r="J1053" s="60">
        <v>0</v>
      </c>
      <c r="K1053" s="60" t="s">
        <v>46</v>
      </c>
      <c r="L1053" s="60" t="s">
        <v>47</v>
      </c>
      <c r="M1053" s="60">
        <v>1030003</v>
      </c>
      <c r="N1053" s="60">
        <v>0</v>
      </c>
      <c r="O1053" s="60" t="s">
        <v>48</v>
      </c>
      <c r="P1053" s="60">
        <v>2110</v>
      </c>
      <c r="Q1053" s="60">
        <v>516</v>
      </c>
      <c r="R1053" s="60">
        <v>861</v>
      </c>
      <c r="S1053" s="60">
        <f t="shared" ref="S1053" si="365">FLOOR(Q1053/16,1)</f>
        <v>32</v>
      </c>
      <c r="T1053" s="60">
        <f t="shared" ref="T1053" si="366">FLOOR(R1053/16,1)</f>
        <v>53</v>
      </c>
      <c r="U1053" s="60">
        <v>5</v>
      </c>
      <c r="V1053" s="60"/>
      <c r="W1053" s="60" t="s">
        <v>47</v>
      </c>
      <c r="X1053" s="60"/>
      <c r="Y1053" s="60" t="s">
        <v>216</v>
      </c>
      <c r="Z1053" s="60" t="s">
        <v>672</v>
      </c>
      <c r="AA1053" s="60"/>
      <c r="AB1053" s="60" t="s">
        <v>216</v>
      </c>
      <c r="AC1053" s="60">
        <v>2123</v>
      </c>
      <c r="AD1053" s="60">
        <v>2125</v>
      </c>
      <c r="AE1053" s="60">
        <v>2126</v>
      </c>
      <c r="AF1053" s="60" t="s">
        <v>51</v>
      </c>
      <c r="AG1053" s="60"/>
      <c r="AH1053" s="60" t="s">
        <v>52</v>
      </c>
      <c r="AI1053" s="60">
        <v>1</v>
      </c>
      <c r="AJ1053" s="60"/>
      <c r="AK1053" s="60"/>
      <c r="AL1053" s="60"/>
      <c r="AM1053" s="60"/>
      <c r="AN1053" s="60" t="s">
        <v>47</v>
      </c>
      <c r="AO1053" s="60"/>
      <c r="AP1053" s="60" t="s">
        <v>53</v>
      </c>
      <c r="AQ1053" s="2">
        <v>0</v>
      </c>
    </row>
    <row r="1054" s="8" customFormat="1" ht="12" spans="1:43">
      <c r="A1054" s="60">
        <v>211002</v>
      </c>
      <c r="B1054" s="60" t="s">
        <v>216</v>
      </c>
      <c r="C1054" s="60"/>
      <c r="D1054" s="60"/>
      <c r="E1054" s="60"/>
      <c r="F1054" s="60">
        <v>0</v>
      </c>
      <c r="G1054" s="60" t="s">
        <v>47</v>
      </c>
      <c r="H1054" s="60" t="s">
        <v>45</v>
      </c>
      <c r="I1054" s="60" t="s">
        <v>45</v>
      </c>
      <c r="J1054" s="60">
        <v>0</v>
      </c>
      <c r="K1054" s="60" t="s">
        <v>46</v>
      </c>
      <c r="L1054" s="60" t="s">
        <v>47</v>
      </c>
      <c r="M1054" s="60">
        <v>1010140</v>
      </c>
      <c r="N1054" s="60">
        <v>0</v>
      </c>
      <c r="O1054" s="60" t="s">
        <v>48</v>
      </c>
      <c r="P1054" s="60">
        <v>2110</v>
      </c>
      <c r="Q1054" s="60">
        <v>798</v>
      </c>
      <c r="R1054" s="60">
        <v>440</v>
      </c>
      <c r="S1054" s="60">
        <f t="shared" ref="S1054" si="367">FLOOR(Q1054/16,1)</f>
        <v>49</v>
      </c>
      <c r="T1054" s="60">
        <f t="shared" ref="T1054" si="368">FLOOR(R1054/16,1)</f>
        <v>27</v>
      </c>
      <c r="U1054" s="60">
        <v>5</v>
      </c>
      <c r="V1054" s="60"/>
      <c r="W1054" s="60" t="s">
        <v>47</v>
      </c>
      <c r="X1054" s="60"/>
      <c r="Y1054" s="60" t="s">
        <v>216</v>
      </c>
      <c r="Z1054" s="60" t="s">
        <v>217</v>
      </c>
      <c r="AA1054" s="60"/>
      <c r="AB1054" s="60" t="s">
        <v>216</v>
      </c>
      <c r="AC1054" s="60">
        <v>2621</v>
      </c>
      <c r="AD1054" s="60">
        <v>2622</v>
      </c>
      <c r="AE1054" s="60">
        <v>2623</v>
      </c>
      <c r="AF1054" s="60">
        <v>2624</v>
      </c>
      <c r="AG1054" s="60"/>
      <c r="AH1054" s="60" t="s">
        <v>52</v>
      </c>
      <c r="AI1054" s="60">
        <v>1</v>
      </c>
      <c r="AJ1054" s="60"/>
      <c r="AK1054" s="60"/>
      <c r="AL1054" s="60"/>
      <c r="AM1054" s="60"/>
      <c r="AN1054" s="60" t="s">
        <v>47</v>
      </c>
      <c r="AO1054" s="60"/>
      <c r="AP1054" s="60" t="s">
        <v>53</v>
      </c>
      <c r="AQ1054" s="2">
        <v>0</v>
      </c>
    </row>
    <row r="1055" s="8" customFormat="1" ht="12" spans="1:43">
      <c r="A1055" s="60">
        <v>211003</v>
      </c>
      <c r="B1055" s="60" t="s">
        <v>137</v>
      </c>
      <c r="C1055" s="60"/>
      <c r="D1055" s="60"/>
      <c r="E1055" s="60"/>
      <c r="F1055" s="60">
        <v>0</v>
      </c>
      <c r="G1055" s="60" t="s">
        <v>47</v>
      </c>
      <c r="H1055" s="60" t="s">
        <v>45</v>
      </c>
      <c r="I1055" s="60" t="s">
        <v>45</v>
      </c>
      <c r="J1055" s="60">
        <v>0</v>
      </c>
      <c r="K1055" s="60" t="s">
        <v>46</v>
      </c>
      <c r="L1055" s="47" t="s">
        <v>47</v>
      </c>
      <c r="M1055" s="60">
        <v>1000106</v>
      </c>
      <c r="N1055" s="60">
        <v>0</v>
      </c>
      <c r="O1055" s="47" t="s">
        <v>48</v>
      </c>
      <c r="P1055" s="60">
        <v>2110</v>
      </c>
      <c r="Q1055" s="60">
        <v>690</v>
      </c>
      <c r="R1055" s="60">
        <v>460</v>
      </c>
      <c r="S1055" s="60">
        <f t="shared" ref="S1055" si="369">FLOOR(Q1055/16,1)</f>
        <v>43</v>
      </c>
      <c r="T1055" s="60">
        <f t="shared" ref="T1055" si="370">FLOOR(R1055/16,1)</f>
        <v>28</v>
      </c>
      <c r="U1055" s="60">
        <v>3</v>
      </c>
      <c r="V1055" s="60"/>
      <c r="W1055" s="47" t="s">
        <v>47</v>
      </c>
      <c r="X1055" s="47"/>
      <c r="Y1055" s="47" t="s">
        <v>137</v>
      </c>
      <c r="Z1055" s="60" t="s">
        <v>671</v>
      </c>
      <c r="AA1055" s="60"/>
      <c r="AB1055" s="60" t="s">
        <v>137</v>
      </c>
      <c r="AC1055" s="12">
        <v>2103</v>
      </c>
      <c r="AD1055" s="12">
        <v>2106</v>
      </c>
      <c r="AE1055" s="12">
        <v>2462</v>
      </c>
      <c r="AF1055" s="43"/>
      <c r="AG1055" s="60"/>
      <c r="AH1055" s="47" t="s">
        <v>52</v>
      </c>
      <c r="AI1055" s="60">
        <v>1</v>
      </c>
      <c r="AJ1055" s="60"/>
      <c r="AK1055" s="60"/>
      <c r="AL1055" s="60"/>
      <c r="AM1055" s="60"/>
      <c r="AN1055" s="47" t="s">
        <v>47</v>
      </c>
      <c r="AO1055" s="60"/>
      <c r="AP1055" s="60" t="s">
        <v>53</v>
      </c>
      <c r="AQ1055" s="2">
        <v>0</v>
      </c>
    </row>
    <row r="1056" s="8" customFormat="1" ht="12" spans="1:43">
      <c r="A1056" s="60">
        <v>211004</v>
      </c>
      <c r="B1056" s="60" t="s">
        <v>346</v>
      </c>
      <c r="C1056" s="60"/>
      <c r="D1056" s="60"/>
      <c r="E1056" s="60"/>
      <c r="F1056" s="60">
        <v>0</v>
      </c>
      <c r="G1056" s="60" t="s">
        <v>47</v>
      </c>
      <c r="H1056" s="60" t="s">
        <v>45</v>
      </c>
      <c r="I1056" s="60" t="s">
        <v>45</v>
      </c>
      <c r="J1056" s="60">
        <v>0</v>
      </c>
      <c r="K1056" s="60" t="s">
        <v>46</v>
      </c>
      <c r="L1056" s="47" t="s">
        <v>47</v>
      </c>
      <c r="M1056" s="60">
        <v>1010127</v>
      </c>
      <c r="N1056" s="60">
        <v>0</v>
      </c>
      <c r="O1056" s="47" t="s">
        <v>48</v>
      </c>
      <c r="P1056" s="60">
        <v>2110</v>
      </c>
      <c r="Q1056" s="60">
        <v>564</v>
      </c>
      <c r="R1056" s="60">
        <v>736</v>
      </c>
      <c r="S1056" s="60">
        <f t="shared" ref="S1056" si="371">FLOOR(Q1056/16,1)</f>
        <v>35</v>
      </c>
      <c r="T1056" s="60">
        <f t="shared" ref="T1056" si="372">FLOOR(R1056/16,1)</f>
        <v>46</v>
      </c>
      <c r="U1056" s="60">
        <v>5</v>
      </c>
      <c r="V1056" s="60"/>
      <c r="W1056" s="47" t="s">
        <v>47</v>
      </c>
      <c r="X1056" s="47"/>
      <c r="Y1056" s="47" t="s">
        <v>346</v>
      </c>
      <c r="Z1056" s="60"/>
      <c r="AA1056" s="60"/>
      <c r="AB1056" s="60" t="s">
        <v>346</v>
      </c>
      <c r="AC1056" s="12">
        <v>2634</v>
      </c>
      <c r="AD1056" s="12">
        <v>2635</v>
      </c>
      <c r="AE1056" s="12">
        <v>2636</v>
      </c>
      <c r="AF1056" s="43"/>
      <c r="AG1056" s="60"/>
      <c r="AH1056" s="47" t="s">
        <v>52</v>
      </c>
      <c r="AI1056" s="60">
        <v>1</v>
      </c>
      <c r="AJ1056" s="60"/>
      <c r="AK1056" s="60"/>
      <c r="AL1056" s="60"/>
      <c r="AM1056" s="60"/>
      <c r="AN1056" s="47" t="s">
        <v>47</v>
      </c>
      <c r="AO1056" s="60"/>
      <c r="AP1056" s="60" t="s">
        <v>53</v>
      </c>
      <c r="AQ1056" s="2">
        <v>0</v>
      </c>
    </row>
    <row r="1057" s="28" customFormat="1" ht="12" spans="1:43">
      <c r="A1057" s="168">
        <v>211005</v>
      </c>
      <c r="B1057" s="168" t="s">
        <v>1283</v>
      </c>
      <c r="C1057" s="168"/>
      <c r="D1057" s="168"/>
      <c r="E1057" s="168"/>
      <c r="F1057" s="168">
        <v>0</v>
      </c>
      <c r="G1057" s="168" t="s">
        <v>47</v>
      </c>
      <c r="H1057" s="168" t="s">
        <v>45</v>
      </c>
      <c r="I1057" s="168" t="s">
        <v>45</v>
      </c>
      <c r="J1057" s="168">
        <v>0</v>
      </c>
      <c r="K1057" s="168" t="s">
        <v>46</v>
      </c>
      <c r="L1057" s="168" t="s">
        <v>47</v>
      </c>
      <c r="M1057" s="168">
        <v>1000108</v>
      </c>
      <c r="N1057" s="168">
        <v>0</v>
      </c>
      <c r="O1057" s="168" t="s">
        <v>48</v>
      </c>
      <c r="P1057" s="168">
        <v>2110</v>
      </c>
      <c r="Q1057" s="168">
        <v>370</v>
      </c>
      <c r="R1057" s="168">
        <v>1038</v>
      </c>
      <c r="S1057" s="168">
        <f t="shared" ref="S1057" si="373">FLOOR(Q1057/16,1)</f>
        <v>23</v>
      </c>
      <c r="T1057" s="168">
        <f t="shared" ref="T1057" si="374">FLOOR(R1057/16,1)</f>
        <v>64</v>
      </c>
      <c r="U1057" s="168">
        <v>5</v>
      </c>
      <c r="V1057" s="168"/>
      <c r="W1057" s="168" t="s">
        <v>47</v>
      </c>
      <c r="X1057" s="168"/>
      <c r="Y1057" s="168" t="s">
        <v>1283</v>
      </c>
      <c r="Z1057" s="168" t="s">
        <v>1284</v>
      </c>
      <c r="AA1057" s="168"/>
      <c r="AB1057" s="168" t="s">
        <v>1283</v>
      </c>
      <c r="AC1057" s="168">
        <v>2467</v>
      </c>
      <c r="AD1057" s="168"/>
      <c r="AE1057" s="168"/>
      <c r="AF1057" s="168"/>
      <c r="AG1057" s="168"/>
      <c r="AH1057" s="168" t="s">
        <v>52</v>
      </c>
      <c r="AI1057" s="168">
        <v>1</v>
      </c>
      <c r="AJ1057" s="168"/>
      <c r="AK1057" s="168"/>
      <c r="AL1057" s="168"/>
      <c r="AM1057" s="168"/>
      <c r="AN1057" s="168" t="s">
        <v>47</v>
      </c>
      <c r="AO1057" s="168"/>
      <c r="AP1057" s="168" t="s">
        <v>53</v>
      </c>
      <c r="AQ1057" s="28">
        <v>0</v>
      </c>
    </row>
    <row r="1058" s="28" customFormat="1" ht="12" spans="1:43">
      <c r="A1058" s="168">
        <v>211006</v>
      </c>
      <c r="B1058" s="168" t="s">
        <v>1285</v>
      </c>
      <c r="C1058" s="168"/>
      <c r="D1058" s="168"/>
      <c r="E1058" s="168"/>
      <c r="F1058" s="168">
        <v>1</v>
      </c>
      <c r="G1058" s="168">
        <v>1</v>
      </c>
      <c r="H1058" s="168" t="s">
        <v>45</v>
      </c>
      <c r="I1058" s="168" t="s">
        <v>45</v>
      </c>
      <c r="J1058" s="168">
        <v>0</v>
      </c>
      <c r="K1058" s="168" t="s">
        <v>46</v>
      </c>
      <c r="L1058" s="168" t="s">
        <v>47</v>
      </c>
      <c r="M1058" s="168">
        <v>1000108</v>
      </c>
      <c r="N1058" s="168">
        <v>0</v>
      </c>
      <c r="O1058" s="168" t="s">
        <v>48</v>
      </c>
      <c r="P1058" s="168">
        <v>2110</v>
      </c>
      <c r="Q1058" s="168">
        <v>500</v>
      </c>
      <c r="R1058" s="168">
        <v>606</v>
      </c>
      <c r="S1058" s="168">
        <f t="shared" ref="S1058:S1059" si="375">FLOOR(Q1058/16,1)</f>
        <v>31</v>
      </c>
      <c r="T1058" s="168">
        <f t="shared" ref="T1058:T1059" si="376">FLOOR(R1058/16,1)</f>
        <v>37</v>
      </c>
      <c r="U1058" s="168">
        <v>3</v>
      </c>
      <c r="V1058" s="168">
        <v>14</v>
      </c>
      <c r="W1058" s="168" t="s">
        <v>47</v>
      </c>
      <c r="X1058" s="168"/>
      <c r="Y1058" s="168" t="s">
        <v>1285</v>
      </c>
      <c r="Z1058" s="168" t="s">
        <v>1286</v>
      </c>
      <c r="AA1058" s="168"/>
      <c r="AB1058" s="168" t="s">
        <v>1287</v>
      </c>
      <c r="AC1058" s="168">
        <v>2467</v>
      </c>
      <c r="AD1058" s="168"/>
      <c r="AE1058" s="168"/>
      <c r="AF1058" s="168"/>
      <c r="AG1058" s="168"/>
      <c r="AH1058" s="168" t="s">
        <v>52</v>
      </c>
      <c r="AI1058" s="168">
        <v>1</v>
      </c>
      <c r="AJ1058" s="168"/>
      <c r="AK1058" s="168"/>
      <c r="AL1058" s="168"/>
      <c r="AM1058" s="168"/>
      <c r="AN1058" s="168" t="s">
        <v>47</v>
      </c>
      <c r="AO1058" s="168"/>
      <c r="AP1058" s="168" t="s">
        <v>53</v>
      </c>
      <c r="AQ1058" s="28">
        <v>0</v>
      </c>
    </row>
    <row r="1059" s="28" customFormat="1" ht="12" spans="1:43">
      <c r="A1059" s="168">
        <v>211007</v>
      </c>
      <c r="B1059" s="168" t="s">
        <v>1288</v>
      </c>
      <c r="C1059" s="168"/>
      <c r="D1059" s="168"/>
      <c r="E1059" s="168"/>
      <c r="F1059" s="168">
        <v>2</v>
      </c>
      <c r="G1059" s="168">
        <v>2</v>
      </c>
      <c r="H1059" s="168" t="s">
        <v>45</v>
      </c>
      <c r="I1059" s="168" t="s">
        <v>45</v>
      </c>
      <c r="J1059" s="168">
        <v>0</v>
      </c>
      <c r="K1059" s="168" t="s">
        <v>46</v>
      </c>
      <c r="L1059" s="168" t="s">
        <v>47</v>
      </c>
      <c r="M1059" s="168">
        <v>1000108</v>
      </c>
      <c r="N1059" s="168">
        <v>0</v>
      </c>
      <c r="O1059" s="168" t="s">
        <v>48</v>
      </c>
      <c r="P1059" s="168">
        <v>2110</v>
      </c>
      <c r="Q1059" s="168">
        <v>947</v>
      </c>
      <c r="R1059" s="168">
        <v>453</v>
      </c>
      <c r="S1059" s="168">
        <f t="shared" si="375"/>
        <v>59</v>
      </c>
      <c r="T1059" s="168">
        <f t="shared" si="376"/>
        <v>28</v>
      </c>
      <c r="U1059" s="168">
        <v>5</v>
      </c>
      <c r="V1059" s="168">
        <v>14</v>
      </c>
      <c r="W1059" s="168" t="s">
        <v>47</v>
      </c>
      <c r="X1059" s="168"/>
      <c r="Y1059" s="168" t="s">
        <v>1288</v>
      </c>
      <c r="Z1059" s="168" t="s">
        <v>1286</v>
      </c>
      <c r="AA1059" s="168"/>
      <c r="AB1059" s="168" t="s">
        <v>1289</v>
      </c>
      <c r="AC1059" s="168">
        <v>2467</v>
      </c>
      <c r="AD1059" s="168"/>
      <c r="AE1059" s="168"/>
      <c r="AF1059" s="168"/>
      <c r="AG1059" s="168"/>
      <c r="AH1059" s="168" t="s">
        <v>52</v>
      </c>
      <c r="AI1059" s="168">
        <v>1</v>
      </c>
      <c r="AJ1059" s="168"/>
      <c r="AK1059" s="168"/>
      <c r="AL1059" s="168"/>
      <c r="AM1059" s="168"/>
      <c r="AN1059" s="168" t="s">
        <v>47</v>
      </c>
      <c r="AO1059" s="168"/>
      <c r="AP1059" s="168" t="s">
        <v>53</v>
      </c>
      <c r="AQ1059" s="28">
        <v>0</v>
      </c>
    </row>
    <row r="1060" s="28" customFormat="1" ht="12" spans="1:43">
      <c r="A1060" s="168">
        <v>211008</v>
      </c>
      <c r="B1060" s="168" t="s">
        <v>1290</v>
      </c>
      <c r="C1060" s="168"/>
      <c r="D1060" s="168"/>
      <c r="E1060" s="168"/>
      <c r="F1060" s="168">
        <v>0</v>
      </c>
      <c r="G1060" s="168" t="s">
        <v>47</v>
      </c>
      <c r="H1060" s="168" t="s">
        <v>45</v>
      </c>
      <c r="I1060" s="168" t="s">
        <v>45</v>
      </c>
      <c r="J1060" s="168">
        <v>0</v>
      </c>
      <c r="K1060" s="168" t="s">
        <v>46</v>
      </c>
      <c r="L1060" s="168" t="s">
        <v>47</v>
      </c>
      <c r="M1060" s="168">
        <v>1010122</v>
      </c>
      <c r="N1060" s="168">
        <v>0</v>
      </c>
      <c r="O1060" s="168" t="s">
        <v>48</v>
      </c>
      <c r="P1060" s="168">
        <v>2110</v>
      </c>
      <c r="Q1060" s="168">
        <v>388</v>
      </c>
      <c r="R1060" s="168">
        <v>935</v>
      </c>
      <c r="S1060" s="168">
        <f t="shared" ref="S1060" si="377">FLOOR(Q1060/16,1)</f>
        <v>24</v>
      </c>
      <c r="T1060" s="168">
        <f t="shared" ref="T1060:T1064" si="378">FLOOR(R1060/16,1)</f>
        <v>58</v>
      </c>
      <c r="U1060" s="168">
        <v>5</v>
      </c>
      <c r="V1060" s="168"/>
      <c r="W1060" s="168" t="s">
        <v>47</v>
      </c>
      <c r="X1060" s="168"/>
      <c r="Y1060" s="168" t="s">
        <v>1290</v>
      </c>
      <c r="Z1060" s="168"/>
      <c r="AA1060" s="168"/>
      <c r="AB1060" s="168" t="s">
        <v>1291</v>
      </c>
      <c r="AC1060" s="168">
        <v>2141</v>
      </c>
      <c r="AD1060" s="168"/>
      <c r="AE1060" s="168"/>
      <c r="AF1060" s="168"/>
      <c r="AG1060" s="168"/>
      <c r="AH1060" s="168" t="s">
        <v>52</v>
      </c>
      <c r="AI1060" s="168">
        <v>1</v>
      </c>
      <c r="AJ1060" s="168"/>
      <c r="AK1060" s="168"/>
      <c r="AL1060" s="168"/>
      <c r="AM1060" s="168"/>
      <c r="AN1060" s="168" t="s">
        <v>47</v>
      </c>
      <c r="AO1060" s="168"/>
      <c r="AP1060" s="168" t="s">
        <v>53</v>
      </c>
      <c r="AQ1060" s="28">
        <v>0</v>
      </c>
    </row>
    <row r="1061" s="28" customFormat="1" ht="12" spans="1:43">
      <c r="A1061" s="168">
        <v>211009</v>
      </c>
      <c r="B1061" s="168" t="s">
        <v>1290</v>
      </c>
      <c r="C1061" s="168"/>
      <c r="D1061" s="168"/>
      <c r="E1061" s="168"/>
      <c r="F1061" s="168">
        <v>0</v>
      </c>
      <c r="G1061" s="168" t="s">
        <v>47</v>
      </c>
      <c r="H1061" s="168" t="s">
        <v>45</v>
      </c>
      <c r="I1061" s="168" t="s">
        <v>45</v>
      </c>
      <c r="J1061" s="168">
        <v>0</v>
      </c>
      <c r="K1061" s="168" t="s">
        <v>46</v>
      </c>
      <c r="L1061" s="168" t="s">
        <v>47</v>
      </c>
      <c r="M1061" s="168">
        <v>1010122</v>
      </c>
      <c r="N1061" s="168">
        <v>0</v>
      </c>
      <c r="O1061" s="168" t="s">
        <v>48</v>
      </c>
      <c r="P1061" s="168">
        <v>2110</v>
      </c>
      <c r="Q1061" s="168">
        <v>434</v>
      </c>
      <c r="R1061" s="168">
        <v>1013</v>
      </c>
      <c r="S1061" s="168">
        <f t="shared" ref="S1061" si="379">FLOOR(Q1061/16,1)</f>
        <v>27</v>
      </c>
      <c r="T1061" s="168">
        <f t="shared" si="378"/>
        <v>63</v>
      </c>
      <c r="U1061" s="168">
        <v>5</v>
      </c>
      <c r="V1061" s="168"/>
      <c r="W1061" s="168" t="s">
        <v>47</v>
      </c>
      <c r="X1061" s="168"/>
      <c r="Y1061" s="168" t="s">
        <v>1290</v>
      </c>
      <c r="Z1061" s="168"/>
      <c r="AA1061" s="168"/>
      <c r="AB1061" s="168" t="s">
        <v>1291</v>
      </c>
      <c r="AC1061" s="168">
        <v>2141</v>
      </c>
      <c r="AD1061" s="168"/>
      <c r="AE1061" s="168"/>
      <c r="AF1061" s="168"/>
      <c r="AG1061" s="168"/>
      <c r="AH1061" s="168" t="s">
        <v>52</v>
      </c>
      <c r="AI1061" s="168">
        <v>1</v>
      </c>
      <c r="AJ1061" s="168"/>
      <c r="AK1061" s="168"/>
      <c r="AL1061" s="168"/>
      <c r="AM1061" s="168"/>
      <c r="AN1061" s="168" t="s">
        <v>47</v>
      </c>
      <c r="AO1061" s="168"/>
      <c r="AP1061" s="168" t="s">
        <v>53</v>
      </c>
      <c r="AQ1061" s="28">
        <v>0</v>
      </c>
    </row>
    <row r="1062" s="28" customFormat="1" ht="12" spans="1:43">
      <c r="A1062" s="168">
        <v>211010</v>
      </c>
      <c r="B1062" s="168" t="s">
        <v>1292</v>
      </c>
      <c r="C1062" s="168"/>
      <c r="D1062" s="168"/>
      <c r="E1062" s="168"/>
      <c r="F1062" s="168">
        <v>0</v>
      </c>
      <c r="G1062" s="168" t="s">
        <v>47</v>
      </c>
      <c r="H1062" s="168" t="s">
        <v>45</v>
      </c>
      <c r="I1062" s="168" t="s">
        <v>45</v>
      </c>
      <c r="J1062" s="168">
        <v>0</v>
      </c>
      <c r="K1062" s="168" t="s">
        <v>46</v>
      </c>
      <c r="L1062" s="168" t="s">
        <v>47</v>
      </c>
      <c r="M1062" s="168">
        <v>1010127</v>
      </c>
      <c r="N1062" s="168">
        <v>0</v>
      </c>
      <c r="O1062" s="168" t="s">
        <v>48</v>
      </c>
      <c r="P1062" s="168">
        <v>2110</v>
      </c>
      <c r="Q1062" s="168">
        <v>625</v>
      </c>
      <c r="R1062" s="168">
        <v>649</v>
      </c>
      <c r="S1062" s="168">
        <f t="shared" ref="S1062:S1064" si="380">FLOOR(Q1062/16,1)</f>
        <v>39</v>
      </c>
      <c r="T1062" s="168">
        <f t="shared" si="378"/>
        <v>40</v>
      </c>
      <c r="U1062" s="168">
        <v>5</v>
      </c>
      <c r="V1062" s="168"/>
      <c r="W1062" s="168" t="s">
        <v>47</v>
      </c>
      <c r="X1062" s="168"/>
      <c r="Y1062" s="168" t="s">
        <v>1292</v>
      </c>
      <c r="Z1062" s="168"/>
      <c r="AA1062" s="168"/>
      <c r="AB1062" s="168" t="s">
        <v>1293</v>
      </c>
      <c r="AC1062" s="168">
        <v>2141</v>
      </c>
      <c r="AD1062" s="168"/>
      <c r="AE1062" s="168"/>
      <c r="AF1062" s="168"/>
      <c r="AG1062" s="168"/>
      <c r="AH1062" s="168" t="s">
        <v>52</v>
      </c>
      <c r="AI1062" s="168">
        <v>1</v>
      </c>
      <c r="AJ1062" s="168"/>
      <c r="AK1062" s="168"/>
      <c r="AL1062" s="168"/>
      <c r="AM1062" s="168"/>
      <c r="AN1062" s="168" t="s">
        <v>47</v>
      </c>
      <c r="AO1062" s="168"/>
      <c r="AP1062" s="168" t="s">
        <v>53</v>
      </c>
      <c r="AQ1062" s="28">
        <v>0</v>
      </c>
    </row>
    <row r="1063" s="28" customFormat="1" ht="12" spans="1:43">
      <c r="A1063" s="168">
        <v>211011</v>
      </c>
      <c r="B1063" s="168" t="s">
        <v>644</v>
      </c>
      <c r="C1063" s="168"/>
      <c r="D1063" s="168"/>
      <c r="E1063" s="168"/>
      <c r="F1063" s="168">
        <v>0</v>
      </c>
      <c r="G1063" s="168" t="s">
        <v>47</v>
      </c>
      <c r="H1063" s="168" t="s">
        <v>45</v>
      </c>
      <c r="I1063" s="168" t="s">
        <v>45</v>
      </c>
      <c r="J1063" s="168">
        <v>0</v>
      </c>
      <c r="K1063" s="168" t="s">
        <v>46</v>
      </c>
      <c r="L1063" s="168" t="s">
        <v>47</v>
      </c>
      <c r="M1063" s="168">
        <v>1010130</v>
      </c>
      <c r="N1063" s="168">
        <v>0</v>
      </c>
      <c r="O1063" s="168" t="s">
        <v>48</v>
      </c>
      <c r="P1063" s="168">
        <v>2110</v>
      </c>
      <c r="Q1063" s="168">
        <v>830</v>
      </c>
      <c r="R1063" s="168">
        <v>562</v>
      </c>
      <c r="S1063" s="168">
        <f t="shared" si="380"/>
        <v>51</v>
      </c>
      <c r="T1063" s="168">
        <f t="shared" si="378"/>
        <v>35</v>
      </c>
      <c r="U1063" s="168">
        <v>1</v>
      </c>
      <c r="V1063" s="168"/>
      <c r="W1063" s="168" t="s">
        <v>47</v>
      </c>
      <c r="X1063" s="168"/>
      <c r="Y1063" s="168" t="s">
        <v>644</v>
      </c>
      <c r="Z1063" s="168"/>
      <c r="AA1063" s="168"/>
      <c r="AB1063" s="168" t="s">
        <v>1294</v>
      </c>
      <c r="AC1063" s="168">
        <v>2141</v>
      </c>
      <c r="AD1063" s="168"/>
      <c r="AE1063" s="168"/>
      <c r="AF1063" s="168"/>
      <c r="AG1063" s="168"/>
      <c r="AH1063" s="168" t="s">
        <v>52</v>
      </c>
      <c r="AI1063" s="168">
        <v>1</v>
      </c>
      <c r="AJ1063" s="168"/>
      <c r="AK1063" s="168"/>
      <c r="AL1063" s="168"/>
      <c r="AM1063" s="168"/>
      <c r="AN1063" s="168" t="s">
        <v>47</v>
      </c>
      <c r="AO1063" s="168"/>
      <c r="AP1063" s="168" t="s">
        <v>53</v>
      </c>
      <c r="AQ1063" s="28">
        <v>0</v>
      </c>
    </row>
    <row r="1064" s="28" customFormat="1" ht="12" spans="1:43">
      <c r="A1064" s="168">
        <v>211012</v>
      </c>
      <c r="B1064" s="168" t="s">
        <v>1292</v>
      </c>
      <c r="C1064" s="168"/>
      <c r="D1064" s="168"/>
      <c r="E1064" s="168"/>
      <c r="F1064" s="168">
        <v>0</v>
      </c>
      <c r="G1064" s="168" t="s">
        <v>47</v>
      </c>
      <c r="H1064" s="168" t="s">
        <v>45</v>
      </c>
      <c r="I1064" s="168" t="s">
        <v>45</v>
      </c>
      <c r="J1064" s="168">
        <v>0</v>
      </c>
      <c r="K1064" s="168" t="s">
        <v>46</v>
      </c>
      <c r="L1064" s="168" t="s">
        <v>47</v>
      </c>
      <c r="M1064" s="168">
        <v>1010127</v>
      </c>
      <c r="N1064" s="168">
        <v>0</v>
      </c>
      <c r="O1064" s="168" t="s">
        <v>48</v>
      </c>
      <c r="P1064" s="168">
        <v>2110</v>
      </c>
      <c r="Q1064" s="168">
        <v>871</v>
      </c>
      <c r="R1064" s="168">
        <v>438</v>
      </c>
      <c r="S1064" s="168">
        <f t="shared" si="380"/>
        <v>54</v>
      </c>
      <c r="T1064" s="168">
        <f t="shared" si="378"/>
        <v>27</v>
      </c>
      <c r="U1064" s="168">
        <v>3</v>
      </c>
      <c r="V1064" s="168"/>
      <c r="W1064" s="168" t="s">
        <v>47</v>
      </c>
      <c r="X1064" s="168"/>
      <c r="Y1064" s="168" t="s">
        <v>1292</v>
      </c>
      <c r="Z1064" s="168"/>
      <c r="AA1064" s="168"/>
      <c r="AB1064" s="168" t="s">
        <v>1295</v>
      </c>
      <c r="AC1064" s="168">
        <v>2141</v>
      </c>
      <c r="AD1064" s="168"/>
      <c r="AE1064" s="168"/>
      <c r="AF1064" s="168"/>
      <c r="AG1064" s="168"/>
      <c r="AH1064" s="168" t="s">
        <v>52</v>
      </c>
      <c r="AI1064" s="168">
        <v>1</v>
      </c>
      <c r="AJ1064" s="168"/>
      <c r="AK1064" s="168"/>
      <c r="AL1064" s="168"/>
      <c r="AM1064" s="168"/>
      <c r="AN1064" s="168" t="s">
        <v>47</v>
      </c>
      <c r="AO1064" s="168"/>
      <c r="AP1064" s="168" t="s">
        <v>53</v>
      </c>
      <c r="AQ1064" s="28">
        <v>0</v>
      </c>
    </row>
    <row r="1065" s="28" customFormat="1" ht="12" spans="1:43">
      <c r="A1065" s="168">
        <v>211013</v>
      </c>
      <c r="B1065" s="168" t="s">
        <v>1292</v>
      </c>
      <c r="C1065" s="168"/>
      <c r="D1065" s="168"/>
      <c r="E1065" s="168"/>
      <c r="F1065" s="168">
        <v>0</v>
      </c>
      <c r="G1065" s="168" t="s">
        <v>47</v>
      </c>
      <c r="H1065" s="168" t="s">
        <v>45</v>
      </c>
      <c r="I1065" s="168" t="s">
        <v>45</v>
      </c>
      <c r="J1065" s="168">
        <v>0</v>
      </c>
      <c r="K1065" s="168" t="s">
        <v>46</v>
      </c>
      <c r="L1065" s="168" t="s">
        <v>47</v>
      </c>
      <c r="M1065" s="168">
        <v>1010127</v>
      </c>
      <c r="N1065" s="168">
        <v>0</v>
      </c>
      <c r="O1065" s="168" t="s">
        <v>48</v>
      </c>
      <c r="P1065" s="168">
        <v>2110</v>
      </c>
      <c r="Q1065" s="168">
        <v>996</v>
      </c>
      <c r="R1065" s="168">
        <v>616</v>
      </c>
      <c r="S1065" s="168">
        <f t="shared" ref="S1065" si="381">FLOOR(Q1065/16,1)</f>
        <v>62</v>
      </c>
      <c r="T1065" s="168">
        <f t="shared" ref="T1065" si="382">FLOOR(R1065/16,1)</f>
        <v>38</v>
      </c>
      <c r="U1065" s="168">
        <v>7</v>
      </c>
      <c r="V1065" s="168"/>
      <c r="W1065" s="168" t="s">
        <v>47</v>
      </c>
      <c r="X1065" s="168"/>
      <c r="Y1065" s="168" t="s">
        <v>1292</v>
      </c>
      <c r="Z1065" s="168"/>
      <c r="AA1065" s="168"/>
      <c r="AB1065" s="168" t="s">
        <v>1295</v>
      </c>
      <c r="AC1065" s="168">
        <v>2141</v>
      </c>
      <c r="AD1065" s="168"/>
      <c r="AE1065" s="168"/>
      <c r="AF1065" s="168"/>
      <c r="AG1065" s="168"/>
      <c r="AH1065" s="168" t="s">
        <v>52</v>
      </c>
      <c r="AI1065" s="168">
        <v>1</v>
      </c>
      <c r="AJ1065" s="168"/>
      <c r="AK1065" s="168"/>
      <c r="AL1065" s="168"/>
      <c r="AM1065" s="168"/>
      <c r="AN1065" s="168" t="s">
        <v>47</v>
      </c>
      <c r="AO1065" s="168"/>
      <c r="AP1065" s="168" t="s">
        <v>53</v>
      </c>
      <c r="AQ1065" s="28">
        <v>0</v>
      </c>
    </row>
    <row r="1066" s="4" customFormat="1" ht="12" spans="1:43">
      <c r="A1066" s="37">
        <v>211101</v>
      </c>
      <c r="B1066" s="37" t="s">
        <v>1296</v>
      </c>
      <c r="C1066" s="37"/>
      <c r="D1066" s="37"/>
      <c r="E1066" s="37"/>
      <c r="F1066" s="37">
        <v>0</v>
      </c>
      <c r="G1066" s="37" t="s">
        <v>47</v>
      </c>
      <c r="H1066" s="37" t="s">
        <v>45</v>
      </c>
      <c r="I1066" s="37" t="s">
        <v>45</v>
      </c>
      <c r="J1066" s="37">
        <v>0</v>
      </c>
      <c r="K1066" s="37" t="s">
        <v>46</v>
      </c>
      <c r="L1066" s="47" t="s">
        <v>47</v>
      </c>
      <c r="M1066" s="37">
        <v>1020110</v>
      </c>
      <c r="N1066" s="37">
        <v>0</v>
      </c>
      <c r="O1066" s="47" t="s">
        <v>48</v>
      </c>
      <c r="P1066" s="37">
        <v>2111</v>
      </c>
      <c r="Q1066" s="37">
        <v>780</v>
      </c>
      <c r="R1066" s="37">
        <v>1278</v>
      </c>
      <c r="S1066" s="37">
        <f t="shared" ref="S1066" si="383">FLOOR(Q1066/16,1)</f>
        <v>48</v>
      </c>
      <c r="T1066" s="37">
        <f t="shared" ref="T1066:T1071" si="384">FLOOR(R1066/16,1)</f>
        <v>79</v>
      </c>
      <c r="U1066" s="37">
        <v>3</v>
      </c>
      <c r="V1066" s="37"/>
      <c r="W1066" s="47" t="s">
        <v>47</v>
      </c>
      <c r="X1066" s="47"/>
      <c r="Y1066" s="37" t="s">
        <v>1296</v>
      </c>
      <c r="Z1066" s="37"/>
      <c r="AA1066" s="37"/>
      <c r="AB1066" s="37" t="s">
        <v>1296</v>
      </c>
      <c r="AC1066" s="37">
        <v>2072</v>
      </c>
      <c r="AD1066" s="37">
        <v>2073</v>
      </c>
      <c r="AE1066" s="37">
        <v>2074</v>
      </c>
      <c r="AF1066" s="37">
        <v>2075</v>
      </c>
      <c r="AG1066" s="37"/>
      <c r="AH1066" s="47" t="s">
        <v>52</v>
      </c>
      <c r="AI1066" s="37">
        <v>1</v>
      </c>
      <c r="AJ1066" s="37"/>
      <c r="AK1066" s="37"/>
      <c r="AL1066" s="37"/>
      <c r="AM1066" s="37"/>
      <c r="AN1066" s="47" t="s">
        <v>47</v>
      </c>
      <c r="AO1066" s="37"/>
      <c r="AP1066" s="37" t="s">
        <v>53</v>
      </c>
      <c r="AQ1066" s="2">
        <v>0</v>
      </c>
    </row>
    <row r="1067" s="4" customFormat="1" ht="12" spans="1:43">
      <c r="A1067" s="37">
        <v>211102</v>
      </c>
      <c r="B1067" s="37" t="s">
        <v>1297</v>
      </c>
      <c r="C1067" s="37"/>
      <c r="D1067" s="37"/>
      <c r="E1067" s="37"/>
      <c r="F1067" s="37">
        <v>0</v>
      </c>
      <c r="G1067" s="37" t="s">
        <v>47</v>
      </c>
      <c r="H1067" s="37" t="s">
        <v>45</v>
      </c>
      <c r="I1067" s="37" t="s">
        <v>45</v>
      </c>
      <c r="J1067" s="37">
        <v>0</v>
      </c>
      <c r="K1067" s="37" t="s">
        <v>46</v>
      </c>
      <c r="L1067" s="37" t="s">
        <v>47</v>
      </c>
      <c r="M1067" s="37">
        <v>1020104</v>
      </c>
      <c r="N1067" s="37">
        <v>0</v>
      </c>
      <c r="O1067" s="37" t="s">
        <v>48</v>
      </c>
      <c r="P1067" s="37">
        <v>2111</v>
      </c>
      <c r="Q1067" s="37">
        <v>888</v>
      </c>
      <c r="R1067" s="37">
        <v>1270</v>
      </c>
      <c r="S1067" s="37">
        <f t="shared" ref="S1067" si="385">FLOOR(Q1067/16,1)</f>
        <v>55</v>
      </c>
      <c r="T1067" s="37">
        <f t="shared" si="384"/>
        <v>79</v>
      </c>
      <c r="U1067" s="37">
        <v>5</v>
      </c>
      <c r="V1067" s="37"/>
      <c r="W1067" s="37" t="s">
        <v>47</v>
      </c>
      <c r="X1067" s="37"/>
      <c r="Y1067" s="37" t="s">
        <v>1297</v>
      </c>
      <c r="Z1067" s="37"/>
      <c r="AA1067" s="37"/>
      <c r="AB1067" s="37" t="s">
        <v>1297</v>
      </c>
      <c r="AC1067" s="37">
        <v>2060</v>
      </c>
      <c r="AD1067" s="37">
        <v>2061</v>
      </c>
      <c r="AE1067" s="37">
        <v>2062</v>
      </c>
      <c r="AF1067" s="37">
        <v>2063</v>
      </c>
      <c r="AG1067" s="37"/>
      <c r="AH1067" s="37" t="s">
        <v>52</v>
      </c>
      <c r="AI1067" s="37">
        <v>1</v>
      </c>
      <c r="AJ1067" s="37"/>
      <c r="AK1067" s="37"/>
      <c r="AL1067" s="37"/>
      <c r="AM1067" s="37"/>
      <c r="AN1067" s="37" t="s">
        <v>47</v>
      </c>
      <c r="AO1067" s="37"/>
      <c r="AP1067" s="37" t="s">
        <v>53</v>
      </c>
      <c r="AQ1067" s="2">
        <v>0</v>
      </c>
    </row>
    <row r="1068" s="4" customFormat="1" ht="12" spans="1:43">
      <c r="A1068" s="37">
        <v>211103</v>
      </c>
      <c r="B1068" s="37" t="s">
        <v>1298</v>
      </c>
      <c r="C1068" s="37"/>
      <c r="D1068" s="37"/>
      <c r="E1068" s="37"/>
      <c r="F1068" s="37">
        <v>0</v>
      </c>
      <c r="G1068" s="37" t="s">
        <v>47</v>
      </c>
      <c r="H1068" s="37" t="s">
        <v>45</v>
      </c>
      <c r="I1068" s="37" t="s">
        <v>45</v>
      </c>
      <c r="J1068" s="37">
        <v>0</v>
      </c>
      <c r="K1068" s="37" t="s">
        <v>46</v>
      </c>
      <c r="L1068" s="37" t="s">
        <v>47</v>
      </c>
      <c r="M1068" s="37">
        <v>1010134</v>
      </c>
      <c r="N1068" s="37">
        <v>0</v>
      </c>
      <c r="O1068" s="37" t="s">
        <v>48</v>
      </c>
      <c r="P1068" s="37">
        <v>2111</v>
      </c>
      <c r="Q1068" s="37">
        <v>1634</v>
      </c>
      <c r="R1068" s="37">
        <v>880</v>
      </c>
      <c r="S1068" s="37">
        <f t="shared" ref="S1068:S1071" si="386">FLOOR(Q1068/16,1)</f>
        <v>102</v>
      </c>
      <c r="T1068" s="37">
        <f t="shared" si="384"/>
        <v>55</v>
      </c>
      <c r="U1068" s="37">
        <v>5</v>
      </c>
      <c r="V1068" s="37"/>
      <c r="W1068" s="37" t="s">
        <v>47</v>
      </c>
      <c r="X1068" s="37"/>
      <c r="Y1068" s="37" t="s">
        <v>1299</v>
      </c>
      <c r="Z1068" s="37"/>
      <c r="AA1068" s="37"/>
      <c r="AB1068" s="37" t="s">
        <v>1299</v>
      </c>
      <c r="AC1068" s="37">
        <v>2382</v>
      </c>
      <c r="AD1068" s="37"/>
      <c r="AE1068" s="37"/>
      <c r="AF1068" s="37" t="s">
        <v>51</v>
      </c>
      <c r="AG1068" s="37"/>
      <c r="AH1068" s="37" t="s">
        <v>52</v>
      </c>
      <c r="AI1068" s="37">
        <v>1</v>
      </c>
      <c r="AJ1068" s="37"/>
      <c r="AK1068" s="37"/>
      <c r="AL1068" s="37"/>
      <c r="AM1068" s="37"/>
      <c r="AN1068" s="37" t="s">
        <v>47</v>
      </c>
      <c r="AO1068" s="37"/>
      <c r="AP1068" s="37" t="s">
        <v>53</v>
      </c>
      <c r="AQ1068" s="2">
        <v>0</v>
      </c>
    </row>
    <row r="1069" s="4" customFormat="1" ht="12" spans="1:43">
      <c r="A1069" s="37">
        <v>211104</v>
      </c>
      <c r="B1069" s="37" t="s">
        <v>1296</v>
      </c>
      <c r="C1069" s="37"/>
      <c r="D1069" s="37"/>
      <c r="E1069" s="37"/>
      <c r="F1069" s="37">
        <v>0</v>
      </c>
      <c r="G1069" s="37" t="s">
        <v>47</v>
      </c>
      <c r="H1069" s="37" t="s">
        <v>45</v>
      </c>
      <c r="I1069" s="37" t="s">
        <v>45</v>
      </c>
      <c r="J1069" s="37">
        <v>0</v>
      </c>
      <c r="K1069" s="37" t="s">
        <v>46</v>
      </c>
      <c r="L1069" s="47" t="s">
        <v>47</v>
      </c>
      <c r="M1069" s="37">
        <v>1020110</v>
      </c>
      <c r="N1069" s="37">
        <v>0</v>
      </c>
      <c r="O1069" s="47" t="s">
        <v>48</v>
      </c>
      <c r="P1069" s="37">
        <v>2111</v>
      </c>
      <c r="Q1069" s="37">
        <v>1490</v>
      </c>
      <c r="R1069" s="37">
        <v>857</v>
      </c>
      <c r="S1069" s="37">
        <f t="shared" si="386"/>
        <v>93</v>
      </c>
      <c r="T1069" s="37">
        <f t="shared" si="384"/>
        <v>53</v>
      </c>
      <c r="U1069" s="37">
        <v>3</v>
      </c>
      <c r="V1069" s="37"/>
      <c r="W1069" s="47" t="s">
        <v>47</v>
      </c>
      <c r="X1069" s="47"/>
      <c r="Y1069" s="37" t="s">
        <v>1296</v>
      </c>
      <c r="Z1069" s="37"/>
      <c r="AA1069" s="37"/>
      <c r="AB1069" s="37" t="s">
        <v>1296</v>
      </c>
      <c r="AC1069" s="37">
        <v>2072</v>
      </c>
      <c r="AD1069" s="37">
        <v>2073</v>
      </c>
      <c r="AE1069" s="37">
        <v>2074</v>
      </c>
      <c r="AF1069" s="37">
        <v>2075</v>
      </c>
      <c r="AG1069" s="37"/>
      <c r="AH1069" s="47" t="s">
        <v>52</v>
      </c>
      <c r="AI1069" s="37">
        <v>1</v>
      </c>
      <c r="AJ1069" s="37"/>
      <c r="AK1069" s="37"/>
      <c r="AL1069" s="37"/>
      <c r="AM1069" s="37"/>
      <c r="AN1069" s="47" t="s">
        <v>47</v>
      </c>
      <c r="AO1069" s="37"/>
      <c r="AP1069" s="37" t="s">
        <v>53</v>
      </c>
      <c r="AQ1069" s="2">
        <v>0</v>
      </c>
    </row>
    <row r="1070" s="4" customFormat="1" ht="12" spans="1:43">
      <c r="A1070" s="37">
        <v>211105</v>
      </c>
      <c r="B1070" s="37" t="s">
        <v>1298</v>
      </c>
      <c r="C1070" s="37"/>
      <c r="D1070" s="37"/>
      <c r="E1070" s="37"/>
      <c r="F1070" s="37">
        <v>0</v>
      </c>
      <c r="G1070" s="37" t="s">
        <v>47</v>
      </c>
      <c r="H1070" s="37" t="s">
        <v>45</v>
      </c>
      <c r="I1070" s="37" t="s">
        <v>45</v>
      </c>
      <c r="J1070" s="37">
        <v>0</v>
      </c>
      <c r="K1070" s="37" t="s">
        <v>46</v>
      </c>
      <c r="L1070" s="37" t="s">
        <v>47</v>
      </c>
      <c r="M1070" s="37">
        <v>1010134</v>
      </c>
      <c r="N1070" s="37">
        <v>0</v>
      </c>
      <c r="O1070" s="37" t="s">
        <v>48</v>
      </c>
      <c r="P1070" s="37">
        <v>2111</v>
      </c>
      <c r="Q1070" s="37">
        <v>846</v>
      </c>
      <c r="R1070" s="37">
        <v>391</v>
      </c>
      <c r="S1070" s="37">
        <f t="shared" si="386"/>
        <v>52</v>
      </c>
      <c r="T1070" s="37">
        <f t="shared" si="384"/>
        <v>24</v>
      </c>
      <c r="U1070" s="37">
        <v>3</v>
      </c>
      <c r="V1070" s="37"/>
      <c r="W1070" s="37" t="s">
        <v>47</v>
      </c>
      <c r="X1070" s="37"/>
      <c r="Y1070" s="37" t="s">
        <v>1299</v>
      </c>
      <c r="Z1070" s="37"/>
      <c r="AA1070" s="37"/>
      <c r="AB1070" s="37" t="s">
        <v>1299</v>
      </c>
      <c r="AC1070" s="37">
        <v>2382</v>
      </c>
      <c r="AD1070" s="37"/>
      <c r="AE1070" s="37"/>
      <c r="AF1070" s="37"/>
      <c r="AG1070" s="37"/>
      <c r="AH1070" s="37" t="s">
        <v>52</v>
      </c>
      <c r="AI1070" s="37">
        <v>1</v>
      </c>
      <c r="AJ1070" s="37"/>
      <c r="AK1070" s="37"/>
      <c r="AL1070" s="37"/>
      <c r="AM1070" s="37"/>
      <c r="AN1070" s="37" t="s">
        <v>47</v>
      </c>
      <c r="AO1070" s="37"/>
      <c r="AP1070" s="37" t="s">
        <v>53</v>
      </c>
      <c r="AQ1070" s="2">
        <v>0</v>
      </c>
    </row>
    <row r="1071" s="4" customFormat="1" ht="12" spans="1:43">
      <c r="A1071" s="37">
        <v>211106</v>
      </c>
      <c r="B1071" s="37" t="s">
        <v>327</v>
      </c>
      <c r="C1071" s="37"/>
      <c r="D1071" s="37"/>
      <c r="E1071" s="37"/>
      <c r="F1071" s="37">
        <v>0</v>
      </c>
      <c r="G1071" s="37" t="s">
        <v>47</v>
      </c>
      <c r="H1071" s="37" t="s">
        <v>45</v>
      </c>
      <c r="I1071" s="37" t="s">
        <v>45</v>
      </c>
      <c r="J1071" s="37">
        <v>0</v>
      </c>
      <c r="K1071" s="37" t="s">
        <v>46</v>
      </c>
      <c r="L1071" s="37" t="s">
        <v>47</v>
      </c>
      <c r="M1071" s="37">
        <v>1020101</v>
      </c>
      <c r="N1071" s="37">
        <v>0</v>
      </c>
      <c r="O1071" s="37" t="s">
        <v>48</v>
      </c>
      <c r="P1071" s="37">
        <v>2111</v>
      </c>
      <c r="Q1071" s="37">
        <v>956</v>
      </c>
      <c r="R1071" s="37">
        <v>392</v>
      </c>
      <c r="S1071" s="37">
        <f t="shared" si="386"/>
        <v>59</v>
      </c>
      <c r="T1071" s="37">
        <f t="shared" si="384"/>
        <v>24</v>
      </c>
      <c r="U1071" s="37">
        <v>5</v>
      </c>
      <c r="V1071" s="37"/>
      <c r="W1071" s="37" t="s">
        <v>47</v>
      </c>
      <c r="X1071" s="37"/>
      <c r="Y1071" s="37" t="s">
        <v>327</v>
      </c>
      <c r="Z1071" s="37"/>
      <c r="AA1071" s="37"/>
      <c r="AB1071" s="37" t="s">
        <v>327</v>
      </c>
      <c r="AC1071" s="37">
        <v>2040</v>
      </c>
      <c r="AD1071" s="37">
        <v>2041</v>
      </c>
      <c r="AE1071" s="37">
        <v>2042</v>
      </c>
      <c r="AF1071" s="37">
        <v>2043</v>
      </c>
      <c r="AG1071" s="37"/>
      <c r="AH1071" s="37" t="s">
        <v>52</v>
      </c>
      <c r="AI1071" s="37">
        <v>1</v>
      </c>
      <c r="AJ1071" s="37"/>
      <c r="AK1071" s="37"/>
      <c r="AL1071" s="37"/>
      <c r="AM1071" s="37"/>
      <c r="AN1071" s="37" t="s">
        <v>47</v>
      </c>
      <c r="AO1071" s="37"/>
      <c r="AP1071" s="37" t="s">
        <v>53</v>
      </c>
      <c r="AQ1071" s="2">
        <v>0</v>
      </c>
    </row>
    <row r="1072" s="3" customFormat="1" ht="12.75" spans="1:43">
      <c r="A1072" s="61">
        <v>211107</v>
      </c>
      <c r="B1072" s="61" t="s">
        <v>728</v>
      </c>
      <c r="C1072" s="12"/>
      <c r="D1072" s="12"/>
      <c r="E1072" s="12"/>
      <c r="F1072" s="12">
        <v>0</v>
      </c>
      <c r="G1072" s="12">
        <v>0</v>
      </c>
      <c r="H1072" s="12" t="s">
        <v>45</v>
      </c>
      <c r="I1072" s="12">
        <v>7</v>
      </c>
      <c r="J1072" s="12">
        <v>0</v>
      </c>
      <c r="K1072" s="12" t="s">
        <v>46</v>
      </c>
      <c r="L1072" s="47" t="s">
        <v>47</v>
      </c>
      <c r="M1072" s="54">
        <v>2010160</v>
      </c>
      <c r="N1072" s="12">
        <v>0</v>
      </c>
      <c r="O1072" s="47" t="s">
        <v>48</v>
      </c>
      <c r="P1072" s="12">
        <v>0</v>
      </c>
      <c r="Q1072" s="12"/>
      <c r="R1072" s="12"/>
      <c r="S1072" s="12">
        <v>0</v>
      </c>
      <c r="T1072" s="12">
        <v>0</v>
      </c>
      <c r="U1072" s="12"/>
      <c r="V1072" s="12"/>
      <c r="W1072" s="47" t="s">
        <v>47</v>
      </c>
      <c r="X1072" s="47"/>
      <c r="Y1072" s="47"/>
      <c r="Z1072" s="12" t="s">
        <v>722</v>
      </c>
      <c r="AA1072" s="12"/>
      <c r="AB1072" s="12" t="s">
        <v>723</v>
      </c>
      <c r="AC1072" s="12">
        <v>2192</v>
      </c>
      <c r="AD1072" s="12" t="s">
        <v>51</v>
      </c>
      <c r="AE1072" s="12" t="s">
        <v>51</v>
      </c>
      <c r="AF1072" s="12" t="s">
        <v>51</v>
      </c>
      <c r="AG1072" s="12"/>
      <c r="AH1072" s="47" t="s">
        <v>52</v>
      </c>
      <c r="AI1072" s="12">
        <v>0</v>
      </c>
      <c r="AJ1072" s="12"/>
      <c r="AK1072" s="12"/>
      <c r="AL1072" s="12"/>
      <c r="AM1072" s="12"/>
      <c r="AN1072" s="47" t="s">
        <v>47</v>
      </c>
      <c r="AO1072" s="12">
        <v>3114</v>
      </c>
      <c r="AP1072" s="12" t="s">
        <v>53</v>
      </c>
      <c r="AQ1072" s="2">
        <v>0</v>
      </c>
    </row>
    <row r="1073" s="2" customFormat="1" ht="12.75" spans="1:43">
      <c r="A1073" s="53">
        <v>211108</v>
      </c>
      <c r="B1073" s="61" t="s">
        <v>1300</v>
      </c>
      <c r="C1073" s="11"/>
      <c r="D1073" s="11"/>
      <c r="E1073" s="11"/>
      <c r="F1073" s="11">
        <v>0</v>
      </c>
      <c r="G1073" s="11">
        <v>0</v>
      </c>
      <c r="H1073" s="11" t="s">
        <v>45</v>
      </c>
      <c r="I1073" s="11">
        <v>7</v>
      </c>
      <c r="J1073" s="11">
        <v>0</v>
      </c>
      <c r="K1073" s="11" t="s">
        <v>46</v>
      </c>
      <c r="L1073" s="47" t="s">
        <v>47</v>
      </c>
      <c r="M1073" s="54">
        <v>2010129</v>
      </c>
      <c r="N1073" s="11">
        <v>0</v>
      </c>
      <c r="O1073" s="47" t="s">
        <v>48</v>
      </c>
      <c r="P1073" s="11">
        <v>0</v>
      </c>
      <c r="Q1073" s="11"/>
      <c r="R1073" s="11"/>
      <c r="S1073" s="11">
        <v>0</v>
      </c>
      <c r="T1073" s="11">
        <v>0</v>
      </c>
      <c r="U1073" s="11"/>
      <c r="V1073" s="11"/>
      <c r="W1073" s="47" t="s">
        <v>47</v>
      </c>
      <c r="X1073" s="47"/>
      <c r="Y1073" s="47"/>
      <c r="Z1073" s="12" t="s">
        <v>722</v>
      </c>
      <c r="AA1073" s="11"/>
      <c r="AB1073" s="11" t="s">
        <v>725</v>
      </c>
      <c r="AC1073" s="11">
        <v>2192</v>
      </c>
      <c r="AD1073" s="11" t="s">
        <v>51</v>
      </c>
      <c r="AE1073" s="11" t="s">
        <v>51</v>
      </c>
      <c r="AF1073" s="11" t="s">
        <v>51</v>
      </c>
      <c r="AG1073" s="11"/>
      <c r="AH1073" s="47" t="s">
        <v>52</v>
      </c>
      <c r="AI1073" s="11">
        <v>0</v>
      </c>
      <c r="AJ1073" s="11"/>
      <c r="AK1073" s="11"/>
      <c r="AL1073" s="11"/>
      <c r="AM1073" s="11"/>
      <c r="AN1073" s="47" t="s">
        <v>47</v>
      </c>
      <c r="AO1073" s="12">
        <v>3115</v>
      </c>
      <c r="AP1073" s="11" t="s">
        <v>53</v>
      </c>
      <c r="AQ1073" s="2">
        <v>0</v>
      </c>
    </row>
    <row r="1074" s="19" customFormat="1" ht="12.75" spans="1:43">
      <c r="A1074" s="169">
        <v>211109</v>
      </c>
      <c r="B1074" s="61" t="s">
        <v>1301</v>
      </c>
      <c r="C1074" s="89"/>
      <c r="D1074" s="89"/>
      <c r="E1074" s="89"/>
      <c r="F1074" s="89">
        <v>0</v>
      </c>
      <c r="G1074" s="89">
        <v>0</v>
      </c>
      <c r="H1074" s="89" t="s">
        <v>45</v>
      </c>
      <c r="I1074" s="89">
        <v>7</v>
      </c>
      <c r="J1074" s="89">
        <v>0</v>
      </c>
      <c r="K1074" s="89" t="s">
        <v>46</v>
      </c>
      <c r="L1074" s="89" t="s">
        <v>47</v>
      </c>
      <c r="M1074" s="54">
        <v>530129</v>
      </c>
      <c r="N1074" s="89">
        <v>0</v>
      </c>
      <c r="O1074" s="89" t="s">
        <v>48</v>
      </c>
      <c r="P1074" s="89">
        <v>0</v>
      </c>
      <c r="Q1074" s="89"/>
      <c r="R1074" s="89"/>
      <c r="S1074" s="89">
        <v>0</v>
      </c>
      <c r="T1074" s="89">
        <v>0</v>
      </c>
      <c r="U1074" s="89"/>
      <c r="V1074" s="89"/>
      <c r="W1074" s="89" t="s">
        <v>47</v>
      </c>
      <c r="X1074" s="89"/>
      <c r="Y1074" s="89"/>
      <c r="Z1074" s="89" t="s">
        <v>722</v>
      </c>
      <c r="AA1074" s="89"/>
      <c r="AB1074" s="89" t="s">
        <v>727</v>
      </c>
      <c r="AC1074" s="89">
        <v>2192</v>
      </c>
      <c r="AD1074" s="89" t="s">
        <v>51</v>
      </c>
      <c r="AE1074" s="89" t="s">
        <v>51</v>
      </c>
      <c r="AF1074" s="89" t="s">
        <v>51</v>
      </c>
      <c r="AG1074" s="89"/>
      <c r="AH1074" s="89" t="s">
        <v>52</v>
      </c>
      <c r="AI1074" s="89">
        <v>0</v>
      </c>
      <c r="AJ1074" s="89"/>
      <c r="AK1074" s="89"/>
      <c r="AL1074" s="89"/>
      <c r="AM1074" s="89"/>
      <c r="AN1074" s="89" t="s">
        <v>47</v>
      </c>
      <c r="AO1074" s="89">
        <v>3116</v>
      </c>
      <c r="AP1074" s="89" t="s">
        <v>53</v>
      </c>
      <c r="AQ1074" s="19">
        <v>0</v>
      </c>
    </row>
    <row r="1075" s="3" customFormat="1" ht="12.75" spans="1:43">
      <c r="A1075" s="61">
        <v>211110</v>
      </c>
      <c r="B1075" s="61" t="s">
        <v>1302</v>
      </c>
      <c r="C1075" s="12"/>
      <c r="D1075" s="12"/>
      <c r="E1075" s="12"/>
      <c r="F1075" s="12">
        <v>0</v>
      </c>
      <c r="G1075" s="12">
        <v>0</v>
      </c>
      <c r="H1075" s="12" t="s">
        <v>45</v>
      </c>
      <c r="I1075" s="12">
        <v>7</v>
      </c>
      <c r="J1075" s="12">
        <v>0</v>
      </c>
      <c r="K1075" s="12" t="s">
        <v>46</v>
      </c>
      <c r="L1075" s="47" t="s">
        <v>47</v>
      </c>
      <c r="M1075" s="54">
        <v>530085</v>
      </c>
      <c r="N1075" s="12">
        <v>0</v>
      </c>
      <c r="O1075" s="47" t="s">
        <v>48</v>
      </c>
      <c r="P1075" s="12">
        <v>0</v>
      </c>
      <c r="Q1075" s="12"/>
      <c r="R1075" s="12"/>
      <c r="S1075" s="12">
        <v>0</v>
      </c>
      <c r="T1075" s="12">
        <v>0</v>
      </c>
      <c r="U1075" s="12"/>
      <c r="V1075" s="12"/>
      <c r="W1075" s="47" t="s">
        <v>47</v>
      </c>
      <c r="X1075" s="47"/>
      <c r="Y1075" s="47"/>
      <c r="Z1075" s="12" t="s">
        <v>722</v>
      </c>
      <c r="AA1075" s="12"/>
      <c r="AB1075" s="12" t="s">
        <v>723</v>
      </c>
      <c r="AC1075" s="12">
        <v>2192</v>
      </c>
      <c r="AD1075" s="12" t="s">
        <v>51</v>
      </c>
      <c r="AE1075" s="12" t="s">
        <v>51</v>
      </c>
      <c r="AF1075" s="12" t="s">
        <v>51</v>
      </c>
      <c r="AG1075" s="12"/>
      <c r="AH1075" s="47" t="s">
        <v>52</v>
      </c>
      <c r="AI1075" s="12">
        <v>0</v>
      </c>
      <c r="AJ1075" s="12"/>
      <c r="AK1075" s="12"/>
      <c r="AL1075" s="12"/>
      <c r="AM1075" s="12"/>
      <c r="AN1075" s="47" t="s">
        <v>47</v>
      </c>
      <c r="AO1075" s="12">
        <v>3117</v>
      </c>
      <c r="AP1075" s="12" t="s">
        <v>53</v>
      </c>
      <c r="AQ1075" s="2">
        <v>0</v>
      </c>
    </row>
    <row r="1076" s="2" customFormat="1" ht="12.75" spans="1:43">
      <c r="A1076" s="53">
        <v>211111</v>
      </c>
      <c r="B1076" s="61" t="s">
        <v>730</v>
      </c>
      <c r="C1076" s="11"/>
      <c r="D1076" s="11"/>
      <c r="E1076" s="11"/>
      <c r="F1076" s="11">
        <v>0</v>
      </c>
      <c r="G1076" s="11">
        <v>0</v>
      </c>
      <c r="H1076" s="11" t="s">
        <v>45</v>
      </c>
      <c r="I1076" s="11">
        <v>7</v>
      </c>
      <c r="J1076" s="11">
        <v>0</v>
      </c>
      <c r="K1076" s="11" t="s">
        <v>46</v>
      </c>
      <c r="L1076" s="47" t="s">
        <v>47</v>
      </c>
      <c r="M1076" s="54">
        <v>2010138</v>
      </c>
      <c r="N1076" s="11">
        <v>0</v>
      </c>
      <c r="O1076" s="47" t="s">
        <v>48</v>
      </c>
      <c r="P1076" s="11">
        <v>0</v>
      </c>
      <c r="Q1076" s="11"/>
      <c r="R1076" s="11"/>
      <c r="S1076" s="11">
        <v>0</v>
      </c>
      <c r="T1076" s="11">
        <v>0</v>
      </c>
      <c r="U1076" s="11"/>
      <c r="V1076" s="11"/>
      <c r="W1076" s="47" t="s">
        <v>47</v>
      </c>
      <c r="X1076" s="47"/>
      <c r="Y1076" s="47"/>
      <c r="Z1076" s="12" t="s">
        <v>722</v>
      </c>
      <c r="AA1076" s="11"/>
      <c r="AB1076" s="11" t="s">
        <v>725</v>
      </c>
      <c r="AC1076" s="11">
        <v>2192</v>
      </c>
      <c r="AD1076" s="11" t="s">
        <v>51</v>
      </c>
      <c r="AE1076" s="11" t="s">
        <v>51</v>
      </c>
      <c r="AF1076" s="11" t="s">
        <v>51</v>
      </c>
      <c r="AG1076" s="11"/>
      <c r="AH1076" s="47" t="s">
        <v>52</v>
      </c>
      <c r="AI1076" s="11">
        <v>0</v>
      </c>
      <c r="AJ1076" s="11"/>
      <c r="AK1076" s="11"/>
      <c r="AL1076" s="11"/>
      <c r="AM1076" s="11"/>
      <c r="AN1076" s="47" t="s">
        <v>47</v>
      </c>
      <c r="AO1076" s="12">
        <v>3118</v>
      </c>
      <c r="AP1076" s="11" t="s">
        <v>53</v>
      </c>
      <c r="AQ1076" s="2">
        <v>0</v>
      </c>
    </row>
    <row r="1077" s="3" customFormat="1" ht="12.75" spans="1:43">
      <c r="A1077" s="53">
        <v>211112</v>
      </c>
      <c r="B1077" s="61" t="s">
        <v>732</v>
      </c>
      <c r="C1077" s="12"/>
      <c r="D1077" s="12"/>
      <c r="E1077" s="12"/>
      <c r="F1077" s="12">
        <v>0</v>
      </c>
      <c r="G1077" s="12">
        <v>0</v>
      </c>
      <c r="H1077" s="12" t="s">
        <v>45</v>
      </c>
      <c r="I1077" s="12">
        <v>7</v>
      </c>
      <c r="J1077" s="12">
        <v>0</v>
      </c>
      <c r="K1077" s="12" t="s">
        <v>46</v>
      </c>
      <c r="L1077" s="47" t="s">
        <v>47</v>
      </c>
      <c r="M1077" s="54">
        <v>1010121</v>
      </c>
      <c r="N1077" s="12">
        <v>0</v>
      </c>
      <c r="O1077" s="47" t="s">
        <v>48</v>
      </c>
      <c r="P1077" s="12">
        <v>0</v>
      </c>
      <c r="Q1077" s="12"/>
      <c r="R1077" s="12"/>
      <c r="S1077" s="12">
        <v>0</v>
      </c>
      <c r="T1077" s="12">
        <v>0</v>
      </c>
      <c r="U1077" s="12"/>
      <c r="V1077" s="12"/>
      <c r="W1077" s="47" t="s">
        <v>47</v>
      </c>
      <c r="X1077" s="47"/>
      <c r="Y1077" s="47"/>
      <c r="Z1077" s="12" t="s">
        <v>722</v>
      </c>
      <c r="AA1077" s="12"/>
      <c r="AB1077" s="12" t="s">
        <v>727</v>
      </c>
      <c r="AC1077" s="12">
        <v>2192</v>
      </c>
      <c r="AD1077" s="12" t="s">
        <v>51</v>
      </c>
      <c r="AE1077" s="12" t="s">
        <v>51</v>
      </c>
      <c r="AF1077" s="12" t="s">
        <v>51</v>
      </c>
      <c r="AG1077" s="12"/>
      <c r="AH1077" s="47" t="s">
        <v>52</v>
      </c>
      <c r="AI1077" s="12">
        <v>0</v>
      </c>
      <c r="AJ1077" s="12"/>
      <c r="AK1077" s="12"/>
      <c r="AL1077" s="12"/>
      <c r="AM1077" s="12"/>
      <c r="AN1077" s="47" t="s">
        <v>47</v>
      </c>
      <c r="AO1077" s="12">
        <v>3119</v>
      </c>
      <c r="AP1077" s="12" t="s">
        <v>53</v>
      </c>
      <c r="AQ1077" s="2">
        <v>0</v>
      </c>
    </row>
    <row r="1078" s="2" customFormat="1" ht="12.75" spans="1:43">
      <c r="A1078" s="62">
        <v>211113</v>
      </c>
      <c r="B1078" s="61" t="s">
        <v>1303</v>
      </c>
      <c r="C1078" s="11"/>
      <c r="D1078" s="11"/>
      <c r="E1078" s="11"/>
      <c r="F1078" s="11">
        <v>0</v>
      </c>
      <c r="G1078" s="11">
        <v>0</v>
      </c>
      <c r="H1078" s="11" t="s">
        <v>45</v>
      </c>
      <c r="I1078" s="11">
        <v>7</v>
      </c>
      <c r="J1078" s="11">
        <v>0</v>
      </c>
      <c r="K1078" s="11" t="s">
        <v>46</v>
      </c>
      <c r="L1078" s="47" t="s">
        <v>47</v>
      </c>
      <c r="M1078" s="54" t="s">
        <v>378</v>
      </c>
      <c r="N1078" s="11">
        <v>0</v>
      </c>
      <c r="O1078" s="47" t="s">
        <v>48</v>
      </c>
      <c r="P1078" s="11">
        <v>0</v>
      </c>
      <c r="Q1078" s="11"/>
      <c r="R1078" s="11"/>
      <c r="S1078" s="11">
        <v>0</v>
      </c>
      <c r="T1078" s="11">
        <v>0</v>
      </c>
      <c r="U1078" s="11"/>
      <c r="V1078" s="11"/>
      <c r="W1078" s="47" t="s">
        <v>47</v>
      </c>
      <c r="X1078" s="47"/>
      <c r="Y1078" s="47"/>
      <c r="Z1078" s="12" t="s">
        <v>722</v>
      </c>
      <c r="AA1078" s="11"/>
      <c r="AB1078" s="11" t="s">
        <v>729</v>
      </c>
      <c r="AC1078" s="11">
        <v>2192</v>
      </c>
      <c r="AD1078" s="11" t="s">
        <v>51</v>
      </c>
      <c r="AE1078" s="11" t="s">
        <v>51</v>
      </c>
      <c r="AF1078" s="11" t="s">
        <v>51</v>
      </c>
      <c r="AG1078" s="11"/>
      <c r="AH1078" s="47" t="s">
        <v>52</v>
      </c>
      <c r="AI1078" s="11">
        <v>0</v>
      </c>
      <c r="AJ1078" s="11"/>
      <c r="AK1078" s="11"/>
      <c r="AL1078" s="11"/>
      <c r="AM1078" s="11"/>
      <c r="AN1078" s="47" t="s">
        <v>47</v>
      </c>
      <c r="AO1078" s="12">
        <v>3120</v>
      </c>
      <c r="AP1078" s="11" t="s">
        <v>53</v>
      </c>
      <c r="AQ1078" s="2">
        <v>0</v>
      </c>
    </row>
    <row r="1079" s="3" customFormat="1" ht="12.75" spans="1:43">
      <c r="A1079" s="169">
        <v>211114</v>
      </c>
      <c r="B1079" s="61" t="s">
        <v>740</v>
      </c>
      <c r="C1079" s="12"/>
      <c r="D1079" s="12"/>
      <c r="E1079" s="12"/>
      <c r="F1079" s="12">
        <v>0</v>
      </c>
      <c r="G1079" s="12">
        <v>0</v>
      </c>
      <c r="H1079" s="12" t="s">
        <v>45</v>
      </c>
      <c r="I1079" s="12">
        <v>7</v>
      </c>
      <c r="J1079" s="12">
        <v>0</v>
      </c>
      <c r="K1079" s="12" t="s">
        <v>46</v>
      </c>
      <c r="L1079" s="47" t="s">
        <v>47</v>
      </c>
      <c r="M1079" s="54">
        <v>1010128</v>
      </c>
      <c r="N1079" s="12">
        <v>0</v>
      </c>
      <c r="O1079" s="47" t="s">
        <v>48</v>
      </c>
      <c r="P1079" s="12">
        <v>0</v>
      </c>
      <c r="Q1079" s="12"/>
      <c r="R1079" s="12"/>
      <c r="S1079" s="12">
        <v>0</v>
      </c>
      <c r="T1079" s="12">
        <v>0</v>
      </c>
      <c r="U1079" s="12"/>
      <c r="V1079" s="12"/>
      <c r="W1079" s="47" t="s">
        <v>47</v>
      </c>
      <c r="X1079" s="47"/>
      <c r="Y1079" s="47"/>
      <c r="Z1079" s="12" t="s">
        <v>722</v>
      </c>
      <c r="AA1079" s="12"/>
      <c r="AB1079" s="12" t="s">
        <v>731</v>
      </c>
      <c r="AC1079" s="12">
        <v>2192</v>
      </c>
      <c r="AD1079" s="12" t="s">
        <v>51</v>
      </c>
      <c r="AE1079" s="12" t="s">
        <v>51</v>
      </c>
      <c r="AF1079" s="12" t="s">
        <v>51</v>
      </c>
      <c r="AG1079" s="12"/>
      <c r="AH1079" s="47" t="s">
        <v>52</v>
      </c>
      <c r="AI1079" s="12">
        <v>0</v>
      </c>
      <c r="AJ1079" s="12"/>
      <c r="AK1079" s="12"/>
      <c r="AL1079" s="12"/>
      <c r="AM1079" s="12"/>
      <c r="AN1079" s="47" t="s">
        <v>47</v>
      </c>
      <c r="AO1079" s="12">
        <v>3121</v>
      </c>
      <c r="AP1079" s="12" t="s">
        <v>53</v>
      </c>
      <c r="AQ1079" s="2">
        <v>0</v>
      </c>
    </row>
    <row r="1080" s="2" customFormat="1" ht="12.75" spans="1:43">
      <c r="A1080" s="169">
        <v>211115</v>
      </c>
      <c r="B1080" s="61" t="s">
        <v>1304</v>
      </c>
      <c r="C1080" s="11"/>
      <c r="D1080" s="11"/>
      <c r="E1080" s="11"/>
      <c r="F1080" s="11">
        <v>0</v>
      </c>
      <c r="G1080" s="11">
        <v>0</v>
      </c>
      <c r="H1080" s="11" t="s">
        <v>45</v>
      </c>
      <c r="I1080" s="11">
        <v>7</v>
      </c>
      <c r="J1080" s="11">
        <v>0</v>
      </c>
      <c r="K1080" s="11" t="s">
        <v>46</v>
      </c>
      <c r="L1080" s="47" t="s">
        <v>47</v>
      </c>
      <c r="M1080" s="54">
        <v>1010129</v>
      </c>
      <c r="N1080" s="11">
        <v>0</v>
      </c>
      <c r="O1080" s="47" t="s">
        <v>48</v>
      </c>
      <c r="P1080" s="11">
        <v>0</v>
      </c>
      <c r="Q1080" s="11"/>
      <c r="R1080" s="11"/>
      <c r="S1080" s="11">
        <v>0</v>
      </c>
      <c r="T1080" s="11">
        <v>0</v>
      </c>
      <c r="U1080" s="11"/>
      <c r="V1080" s="11"/>
      <c r="W1080" s="47" t="s">
        <v>47</v>
      </c>
      <c r="X1080" s="47"/>
      <c r="Y1080" s="47"/>
      <c r="Z1080" s="12" t="s">
        <v>722</v>
      </c>
      <c r="AA1080" s="11"/>
      <c r="AB1080" s="11" t="s">
        <v>733</v>
      </c>
      <c r="AC1080" s="11">
        <v>2192</v>
      </c>
      <c r="AD1080" s="11" t="s">
        <v>51</v>
      </c>
      <c r="AE1080" s="11" t="s">
        <v>51</v>
      </c>
      <c r="AF1080" s="11" t="s">
        <v>51</v>
      </c>
      <c r="AG1080" s="11"/>
      <c r="AH1080" s="47" t="s">
        <v>52</v>
      </c>
      <c r="AI1080" s="11">
        <v>0</v>
      </c>
      <c r="AJ1080" s="11"/>
      <c r="AK1080" s="11"/>
      <c r="AL1080" s="11"/>
      <c r="AM1080" s="11"/>
      <c r="AN1080" s="47" t="s">
        <v>47</v>
      </c>
      <c r="AO1080" s="12">
        <v>3122</v>
      </c>
      <c r="AP1080" s="11" t="s">
        <v>53</v>
      </c>
      <c r="AQ1080" s="2">
        <v>0</v>
      </c>
    </row>
    <row r="1081" s="3" customFormat="1" ht="12.75" spans="1:43">
      <c r="A1081" s="62">
        <v>211116</v>
      </c>
      <c r="B1081" s="61" t="s">
        <v>1305</v>
      </c>
      <c r="C1081" s="12"/>
      <c r="D1081" s="12"/>
      <c r="E1081" s="12"/>
      <c r="F1081" s="12">
        <v>0</v>
      </c>
      <c r="G1081" s="12">
        <v>0</v>
      </c>
      <c r="H1081" s="12" t="s">
        <v>45</v>
      </c>
      <c r="I1081" s="12">
        <v>7</v>
      </c>
      <c r="J1081" s="12">
        <v>0</v>
      </c>
      <c r="K1081" s="12" t="s">
        <v>46</v>
      </c>
      <c r="L1081" s="47" t="s">
        <v>47</v>
      </c>
      <c r="M1081" s="54">
        <v>1010176</v>
      </c>
      <c r="N1081" s="12">
        <v>0</v>
      </c>
      <c r="O1081" s="47" t="s">
        <v>48</v>
      </c>
      <c r="P1081" s="12">
        <v>0</v>
      </c>
      <c r="Q1081" s="12"/>
      <c r="R1081" s="12"/>
      <c r="S1081" s="12">
        <v>0</v>
      </c>
      <c r="T1081" s="12">
        <v>0</v>
      </c>
      <c r="U1081" s="12"/>
      <c r="V1081" s="12"/>
      <c r="W1081" s="47" t="s">
        <v>47</v>
      </c>
      <c r="X1081" s="47"/>
      <c r="Y1081" s="47"/>
      <c r="Z1081" s="12" t="s">
        <v>722</v>
      </c>
      <c r="AA1081" s="12"/>
      <c r="AB1081" s="12" t="s">
        <v>735</v>
      </c>
      <c r="AC1081" s="12">
        <v>2192</v>
      </c>
      <c r="AD1081" s="12" t="s">
        <v>51</v>
      </c>
      <c r="AE1081" s="12" t="s">
        <v>51</v>
      </c>
      <c r="AF1081" s="12" t="s">
        <v>51</v>
      </c>
      <c r="AG1081" s="12"/>
      <c r="AH1081" s="47" t="s">
        <v>52</v>
      </c>
      <c r="AI1081" s="12">
        <v>0</v>
      </c>
      <c r="AJ1081" s="12"/>
      <c r="AK1081" s="12"/>
      <c r="AL1081" s="12"/>
      <c r="AM1081" s="12"/>
      <c r="AN1081" s="47" t="s">
        <v>47</v>
      </c>
      <c r="AO1081" s="12">
        <v>3123</v>
      </c>
      <c r="AP1081" s="12" t="s">
        <v>53</v>
      </c>
      <c r="AQ1081" s="2">
        <v>0</v>
      </c>
    </row>
    <row r="1082" s="2" customFormat="1" ht="12.75" spans="1:43">
      <c r="A1082" s="62">
        <v>211117</v>
      </c>
      <c r="B1082" s="61" t="s">
        <v>1306</v>
      </c>
      <c r="C1082" s="11"/>
      <c r="D1082" s="11"/>
      <c r="E1082" s="11"/>
      <c r="F1082" s="11">
        <v>0</v>
      </c>
      <c r="G1082" s="11">
        <v>0</v>
      </c>
      <c r="H1082" s="11" t="s">
        <v>45</v>
      </c>
      <c r="I1082" s="11">
        <v>7</v>
      </c>
      <c r="J1082" s="11">
        <v>0</v>
      </c>
      <c r="K1082" s="11" t="s">
        <v>46</v>
      </c>
      <c r="L1082" s="47" t="s">
        <v>47</v>
      </c>
      <c r="M1082" s="54">
        <v>1010167</v>
      </c>
      <c r="N1082" s="11">
        <v>0</v>
      </c>
      <c r="O1082" s="47" t="s">
        <v>48</v>
      </c>
      <c r="P1082" s="11">
        <v>0</v>
      </c>
      <c r="Q1082" s="11"/>
      <c r="R1082" s="11"/>
      <c r="S1082" s="11">
        <v>0</v>
      </c>
      <c r="T1082" s="11">
        <v>0</v>
      </c>
      <c r="U1082" s="11"/>
      <c r="V1082" s="11"/>
      <c r="W1082" s="47" t="s">
        <v>47</v>
      </c>
      <c r="X1082" s="47"/>
      <c r="Y1082" s="47"/>
      <c r="Z1082" s="12" t="s">
        <v>722</v>
      </c>
      <c r="AA1082" s="11"/>
      <c r="AB1082" s="11" t="s">
        <v>737</v>
      </c>
      <c r="AC1082" s="11">
        <v>2192</v>
      </c>
      <c r="AD1082" s="11" t="s">
        <v>51</v>
      </c>
      <c r="AE1082" s="11" t="s">
        <v>51</v>
      </c>
      <c r="AF1082" s="11" t="s">
        <v>51</v>
      </c>
      <c r="AG1082" s="11"/>
      <c r="AH1082" s="47" t="s">
        <v>52</v>
      </c>
      <c r="AI1082" s="11">
        <v>0</v>
      </c>
      <c r="AJ1082" s="11"/>
      <c r="AK1082" s="11"/>
      <c r="AL1082" s="11"/>
      <c r="AM1082" s="11"/>
      <c r="AN1082" s="47" t="s">
        <v>47</v>
      </c>
      <c r="AO1082" s="12">
        <v>3124</v>
      </c>
      <c r="AP1082" s="11" t="s">
        <v>53</v>
      </c>
      <c r="AQ1082" s="2">
        <v>0</v>
      </c>
    </row>
    <row r="1083" s="3" customFormat="1" ht="12.75" spans="1:43">
      <c r="A1083" s="170">
        <v>211118</v>
      </c>
      <c r="B1083" s="61" t="s">
        <v>1307</v>
      </c>
      <c r="C1083" s="12"/>
      <c r="D1083" s="12"/>
      <c r="E1083" s="12"/>
      <c r="F1083" s="12">
        <v>0</v>
      </c>
      <c r="G1083" s="12">
        <v>0</v>
      </c>
      <c r="H1083" s="12" t="s">
        <v>45</v>
      </c>
      <c r="I1083" s="12">
        <v>7</v>
      </c>
      <c r="J1083" s="12">
        <v>0</v>
      </c>
      <c r="K1083" s="12" t="s">
        <v>46</v>
      </c>
      <c r="L1083" s="47" t="s">
        <v>47</v>
      </c>
      <c r="M1083" s="54" t="s">
        <v>411</v>
      </c>
      <c r="N1083" s="12">
        <v>0</v>
      </c>
      <c r="O1083" s="47" t="s">
        <v>48</v>
      </c>
      <c r="P1083" s="12">
        <v>0</v>
      </c>
      <c r="Q1083" s="12"/>
      <c r="R1083" s="12"/>
      <c r="S1083" s="12">
        <v>0</v>
      </c>
      <c r="T1083" s="12">
        <v>0</v>
      </c>
      <c r="U1083" s="12"/>
      <c r="V1083" s="12"/>
      <c r="W1083" s="47" t="s">
        <v>47</v>
      </c>
      <c r="X1083" s="47"/>
      <c r="Y1083" s="47"/>
      <c r="Z1083" s="12" t="s">
        <v>722</v>
      </c>
      <c r="AA1083" s="12"/>
      <c r="AB1083" s="12" t="s">
        <v>739</v>
      </c>
      <c r="AC1083" s="12">
        <v>2192</v>
      </c>
      <c r="AD1083" s="12" t="s">
        <v>51</v>
      </c>
      <c r="AE1083" s="12" t="s">
        <v>51</v>
      </c>
      <c r="AF1083" s="12" t="s">
        <v>51</v>
      </c>
      <c r="AG1083" s="12"/>
      <c r="AH1083" s="47" t="s">
        <v>52</v>
      </c>
      <c r="AI1083" s="12">
        <v>0</v>
      </c>
      <c r="AJ1083" s="12"/>
      <c r="AK1083" s="12"/>
      <c r="AL1083" s="12"/>
      <c r="AM1083" s="12"/>
      <c r="AN1083" s="47" t="s">
        <v>47</v>
      </c>
      <c r="AO1083" s="12">
        <v>3125</v>
      </c>
      <c r="AP1083" s="12" t="s">
        <v>53</v>
      </c>
      <c r="AQ1083" s="2">
        <v>0</v>
      </c>
    </row>
    <row r="1084" s="2" customFormat="1" ht="12.75" spans="1:43">
      <c r="A1084" s="170">
        <v>211119</v>
      </c>
      <c r="B1084" s="61" t="s">
        <v>1308</v>
      </c>
      <c r="C1084" s="11"/>
      <c r="D1084" s="11"/>
      <c r="E1084" s="11"/>
      <c r="F1084" s="11">
        <v>0</v>
      </c>
      <c r="G1084" s="11">
        <v>0</v>
      </c>
      <c r="H1084" s="11" t="s">
        <v>45</v>
      </c>
      <c r="I1084" s="11">
        <v>7</v>
      </c>
      <c r="J1084" s="11">
        <v>0</v>
      </c>
      <c r="K1084" s="11" t="s">
        <v>46</v>
      </c>
      <c r="L1084" s="47" t="s">
        <v>47</v>
      </c>
      <c r="M1084" s="54" t="s">
        <v>815</v>
      </c>
      <c r="N1084" s="11">
        <v>0</v>
      </c>
      <c r="O1084" s="47" t="s">
        <v>48</v>
      </c>
      <c r="P1084" s="11">
        <v>0</v>
      </c>
      <c r="Q1084" s="11"/>
      <c r="R1084" s="11"/>
      <c r="S1084" s="11">
        <v>0</v>
      </c>
      <c r="T1084" s="11">
        <v>0</v>
      </c>
      <c r="U1084" s="11"/>
      <c r="V1084" s="11"/>
      <c r="W1084" s="47" t="s">
        <v>47</v>
      </c>
      <c r="X1084" s="47"/>
      <c r="Y1084" s="47"/>
      <c r="Z1084" s="12" t="s">
        <v>722</v>
      </c>
      <c r="AA1084" s="11"/>
      <c r="AB1084" s="11" t="s">
        <v>741</v>
      </c>
      <c r="AC1084" s="11">
        <v>2192</v>
      </c>
      <c r="AD1084" s="11" t="s">
        <v>51</v>
      </c>
      <c r="AE1084" s="11" t="s">
        <v>51</v>
      </c>
      <c r="AF1084" s="11" t="s">
        <v>51</v>
      </c>
      <c r="AG1084" s="11"/>
      <c r="AH1084" s="47" t="s">
        <v>52</v>
      </c>
      <c r="AI1084" s="11">
        <v>0</v>
      </c>
      <c r="AJ1084" s="11"/>
      <c r="AK1084" s="11"/>
      <c r="AL1084" s="11"/>
      <c r="AM1084" s="11"/>
      <c r="AN1084" s="47" t="s">
        <v>47</v>
      </c>
      <c r="AO1084" s="12">
        <v>3126</v>
      </c>
      <c r="AP1084" s="11" t="s">
        <v>53</v>
      </c>
      <c r="AQ1084" s="2">
        <v>0</v>
      </c>
    </row>
    <row r="1085" s="3" customFormat="1" ht="12.75" spans="1:43">
      <c r="A1085" s="171">
        <v>211120</v>
      </c>
      <c r="B1085" s="61" t="s">
        <v>1309</v>
      </c>
      <c r="C1085" s="12"/>
      <c r="D1085" s="12"/>
      <c r="E1085" s="12"/>
      <c r="F1085" s="12">
        <v>0</v>
      </c>
      <c r="G1085" s="12">
        <v>0</v>
      </c>
      <c r="H1085" s="12" t="s">
        <v>45</v>
      </c>
      <c r="I1085" s="12">
        <v>7</v>
      </c>
      <c r="J1085" s="12">
        <v>0</v>
      </c>
      <c r="K1085" s="12" t="s">
        <v>46</v>
      </c>
      <c r="L1085" s="47" t="s">
        <v>47</v>
      </c>
      <c r="M1085" s="54" t="s">
        <v>594</v>
      </c>
      <c r="N1085" s="12">
        <v>0</v>
      </c>
      <c r="O1085" s="47" t="s">
        <v>48</v>
      </c>
      <c r="P1085" s="12">
        <v>0</v>
      </c>
      <c r="Q1085" s="12"/>
      <c r="R1085" s="12"/>
      <c r="S1085" s="12">
        <v>0</v>
      </c>
      <c r="T1085" s="12">
        <v>0</v>
      </c>
      <c r="U1085" s="12"/>
      <c r="V1085" s="12"/>
      <c r="W1085" s="47" t="s">
        <v>47</v>
      </c>
      <c r="X1085" s="47"/>
      <c r="Y1085" s="47"/>
      <c r="Z1085" s="12" t="s">
        <v>722</v>
      </c>
      <c r="AA1085" s="12"/>
      <c r="AB1085" s="12" t="s">
        <v>743</v>
      </c>
      <c r="AC1085" s="12">
        <v>2192</v>
      </c>
      <c r="AD1085" s="12" t="s">
        <v>51</v>
      </c>
      <c r="AE1085" s="12" t="s">
        <v>51</v>
      </c>
      <c r="AF1085" s="12" t="s">
        <v>51</v>
      </c>
      <c r="AG1085" s="12"/>
      <c r="AH1085" s="47" t="s">
        <v>52</v>
      </c>
      <c r="AI1085" s="12">
        <v>0</v>
      </c>
      <c r="AJ1085" s="12"/>
      <c r="AK1085" s="12"/>
      <c r="AL1085" s="12"/>
      <c r="AM1085" s="12"/>
      <c r="AN1085" s="47" t="s">
        <v>47</v>
      </c>
      <c r="AO1085" s="12">
        <v>3127</v>
      </c>
      <c r="AP1085" s="12" t="s">
        <v>53</v>
      </c>
      <c r="AQ1085" s="2">
        <v>0</v>
      </c>
    </row>
    <row r="1086" s="2" customFormat="1" ht="12.75" spans="1:43">
      <c r="A1086" s="171">
        <v>211121</v>
      </c>
      <c r="B1086" s="61" t="s">
        <v>1310</v>
      </c>
      <c r="C1086" s="11"/>
      <c r="D1086" s="11"/>
      <c r="E1086" s="11"/>
      <c r="F1086" s="11">
        <v>0</v>
      </c>
      <c r="G1086" s="11">
        <v>0</v>
      </c>
      <c r="H1086" s="11" t="s">
        <v>45</v>
      </c>
      <c r="I1086" s="11">
        <v>7</v>
      </c>
      <c r="J1086" s="11">
        <v>0</v>
      </c>
      <c r="K1086" s="11" t="s">
        <v>46</v>
      </c>
      <c r="L1086" s="47" t="s">
        <v>47</v>
      </c>
      <c r="M1086" s="54">
        <v>1010166</v>
      </c>
      <c r="N1086" s="11">
        <v>0</v>
      </c>
      <c r="O1086" s="47" t="s">
        <v>48</v>
      </c>
      <c r="P1086" s="11">
        <v>0</v>
      </c>
      <c r="Q1086" s="11"/>
      <c r="R1086" s="11"/>
      <c r="S1086" s="11">
        <v>0</v>
      </c>
      <c r="T1086" s="11">
        <v>0</v>
      </c>
      <c r="U1086" s="11"/>
      <c r="V1086" s="11"/>
      <c r="W1086" s="47" t="s">
        <v>47</v>
      </c>
      <c r="X1086" s="47"/>
      <c r="Y1086" s="47"/>
      <c r="Z1086" s="12" t="s">
        <v>722</v>
      </c>
      <c r="AA1086" s="11"/>
      <c r="AB1086" s="11" t="s">
        <v>745</v>
      </c>
      <c r="AC1086" s="11">
        <v>2192</v>
      </c>
      <c r="AD1086" s="11" t="s">
        <v>51</v>
      </c>
      <c r="AE1086" s="11" t="s">
        <v>51</v>
      </c>
      <c r="AF1086" s="11" t="s">
        <v>51</v>
      </c>
      <c r="AG1086" s="11"/>
      <c r="AH1086" s="47" t="s">
        <v>52</v>
      </c>
      <c r="AI1086" s="11">
        <v>0</v>
      </c>
      <c r="AJ1086" s="11"/>
      <c r="AK1086" s="11"/>
      <c r="AL1086" s="11"/>
      <c r="AM1086" s="11"/>
      <c r="AN1086" s="47" t="s">
        <v>47</v>
      </c>
      <c r="AO1086" s="12">
        <v>3128</v>
      </c>
      <c r="AP1086" s="11" t="s">
        <v>53</v>
      </c>
      <c r="AQ1086" s="2">
        <v>0</v>
      </c>
    </row>
    <row r="1087" s="3" customFormat="1" ht="12.75" spans="1:43">
      <c r="A1087" s="170">
        <v>211122</v>
      </c>
      <c r="B1087" s="61" t="s">
        <v>1311</v>
      </c>
      <c r="C1087" s="12"/>
      <c r="D1087" s="12"/>
      <c r="E1087" s="12"/>
      <c r="F1087" s="12">
        <v>0</v>
      </c>
      <c r="G1087" s="12">
        <v>0</v>
      </c>
      <c r="H1087" s="12" t="s">
        <v>45</v>
      </c>
      <c r="I1087" s="12">
        <v>7</v>
      </c>
      <c r="J1087" s="12">
        <v>0</v>
      </c>
      <c r="K1087" s="12" t="s">
        <v>46</v>
      </c>
      <c r="L1087" s="47" t="s">
        <v>47</v>
      </c>
      <c r="M1087" s="54">
        <v>1010172</v>
      </c>
      <c r="N1087" s="12">
        <v>0</v>
      </c>
      <c r="O1087" s="47" t="s">
        <v>48</v>
      </c>
      <c r="P1087" s="12">
        <v>0</v>
      </c>
      <c r="Q1087" s="12"/>
      <c r="R1087" s="12"/>
      <c r="S1087" s="12">
        <v>0</v>
      </c>
      <c r="T1087" s="12">
        <v>0</v>
      </c>
      <c r="U1087" s="12"/>
      <c r="V1087" s="12"/>
      <c r="W1087" s="47" t="s">
        <v>47</v>
      </c>
      <c r="X1087" s="47"/>
      <c r="Y1087" s="47"/>
      <c r="Z1087" s="12" t="s">
        <v>722</v>
      </c>
      <c r="AA1087" s="12"/>
      <c r="AB1087" s="12" t="s">
        <v>747</v>
      </c>
      <c r="AC1087" s="12">
        <v>2192</v>
      </c>
      <c r="AD1087" s="12" t="s">
        <v>51</v>
      </c>
      <c r="AE1087" s="12" t="s">
        <v>51</v>
      </c>
      <c r="AF1087" s="12" t="s">
        <v>51</v>
      </c>
      <c r="AG1087" s="12"/>
      <c r="AH1087" s="47" t="s">
        <v>52</v>
      </c>
      <c r="AI1087" s="12">
        <v>0</v>
      </c>
      <c r="AJ1087" s="12"/>
      <c r="AK1087" s="12"/>
      <c r="AL1087" s="12"/>
      <c r="AM1087" s="12"/>
      <c r="AN1087" s="47" t="s">
        <v>47</v>
      </c>
      <c r="AO1087" s="12">
        <v>3129</v>
      </c>
      <c r="AP1087" s="12" t="s">
        <v>53</v>
      </c>
      <c r="AQ1087" s="2">
        <v>0</v>
      </c>
    </row>
    <row r="1088" s="2" customFormat="1" ht="12.75" spans="1:43">
      <c r="A1088" s="61">
        <v>211123</v>
      </c>
      <c r="B1088" s="61" t="s">
        <v>1312</v>
      </c>
      <c r="C1088" s="11"/>
      <c r="D1088" s="11"/>
      <c r="E1088" s="11"/>
      <c r="F1088" s="11">
        <v>0</v>
      </c>
      <c r="G1088" s="11">
        <v>0</v>
      </c>
      <c r="H1088" s="11" t="s">
        <v>45</v>
      </c>
      <c r="I1088" s="11">
        <v>7</v>
      </c>
      <c r="J1088" s="11">
        <v>0</v>
      </c>
      <c r="K1088" s="11" t="s">
        <v>46</v>
      </c>
      <c r="L1088" s="47" t="s">
        <v>47</v>
      </c>
      <c r="M1088" s="54">
        <v>2010115</v>
      </c>
      <c r="N1088" s="11">
        <v>0</v>
      </c>
      <c r="O1088" s="47" t="s">
        <v>48</v>
      </c>
      <c r="P1088" s="11">
        <v>0</v>
      </c>
      <c r="Q1088" s="11"/>
      <c r="R1088" s="11"/>
      <c r="S1088" s="11">
        <v>0</v>
      </c>
      <c r="T1088" s="11">
        <v>0</v>
      </c>
      <c r="U1088" s="11"/>
      <c r="V1088" s="11"/>
      <c r="W1088" s="47" t="s">
        <v>47</v>
      </c>
      <c r="X1088" s="47"/>
      <c r="Y1088" s="47"/>
      <c r="Z1088" s="12" t="s">
        <v>722</v>
      </c>
      <c r="AA1088" s="11"/>
      <c r="AB1088" s="11" t="s">
        <v>748</v>
      </c>
      <c r="AC1088" s="11">
        <v>2192</v>
      </c>
      <c r="AD1088" s="11" t="s">
        <v>51</v>
      </c>
      <c r="AE1088" s="11" t="s">
        <v>51</v>
      </c>
      <c r="AF1088" s="11" t="s">
        <v>51</v>
      </c>
      <c r="AG1088" s="11"/>
      <c r="AH1088" s="47" t="s">
        <v>52</v>
      </c>
      <c r="AI1088" s="11">
        <v>0</v>
      </c>
      <c r="AJ1088" s="11"/>
      <c r="AK1088" s="11"/>
      <c r="AL1088" s="11"/>
      <c r="AM1088" s="11"/>
      <c r="AN1088" s="47" t="s">
        <v>47</v>
      </c>
      <c r="AO1088" s="12">
        <v>3130</v>
      </c>
      <c r="AP1088" s="11" t="s">
        <v>53</v>
      </c>
      <c r="AQ1088" s="2">
        <v>0</v>
      </c>
    </row>
    <row r="1089" s="3" customFormat="1" ht="12.75" spans="1:43">
      <c r="A1089" s="171">
        <v>211124</v>
      </c>
      <c r="B1089" s="61" t="s">
        <v>1313</v>
      </c>
      <c r="C1089" s="12"/>
      <c r="D1089" s="12"/>
      <c r="E1089" s="12"/>
      <c r="F1089" s="12">
        <v>0</v>
      </c>
      <c r="G1089" s="12">
        <v>0</v>
      </c>
      <c r="H1089" s="12" t="s">
        <v>45</v>
      </c>
      <c r="I1089" s="12">
        <v>7</v>
      </c>
      <c r="J1089" s="12">
        <v>0</v>
      </c>
      <c r="K1089" s="12" t="s">
        <v>46</v>
      </c>
      <c r="L1089" s="47" t="s">
        <v>47</v>
      </c>
      <c r="M1089" s="54">
        <v>1010149</v>
      </c>
      <c r="N1089" s="12">
        <v>0</v>
      </c>
      <c r="O1089" s="47" t="s">
        <v>48</v>
      </c>
      <c r="P1089" s="12">
        <v>0</v>
      </c>
      <c r="Q1089" s="12"/>
      <c r="R1089" s="12"/>
      <c r="S1089" s="12">
        <v>0</v>
      </c>
      <c r="T1089" s="12">
        <v>0</v>
      </c>
      <c r="U1089" s="12"/>
      <c r="V1089" s="12"/>
      <c r="W1089" s="47" t="s">
        <v>47</v>
      </c>
      <c r="X1089" s="47"/>
      <c r="Y1089" s="47"/>
      <c r="Z1089" s="12" t="s">
        <v>722</v>
      </c>
      <c r="AA1089" s="12"/>
      <c r="AB1089" s="12" t="s">
        <v>749</v>
      </c>
      <c r="AC1089" s="12">
        <v>2192</v>
      </c>
      <c r="AD1089" s="12" t="s">
        <v>51</v>
      </c>
      <c r="AE1089" s="12" t="s">
        <v>51</v>
      </c>
      <c r="AF1089" s="12" t="s">
        <v>51</v>
      </c>
      <c r="AG1089" s="12"/>
      <c r="AH1089" s="47" t="s">
        <v>52</v>
      </c>
      <c r="AI1089" s="12">
        <v>0</v>
      </c>
      <c r="AJ1089" s="12"/>
      <c r="AK1089" s="12"/>
      <c r="AL1089" s="12"/>
      <c r="AM1089" s="12"/>
      <c r="AN1089" s="47" t="s">
        <v>47</v>
      </c>
      <c r="AO1089" s="12">
        <v>3131</v>
      </c>
      <c r="AP1089" s="12" t="s">
        <v>53</v>
      </c>
      <c r="AQ1089" s="2">
        <v>0</v>
      </c>
    </row>
    <row r="1090" s="2" customFormat="1" ht="12.75" spans="1:43">
      <c r="A1090" s="171">
        <v>211125</v>
      </c>
      <c r="B1090" s="61" t="s">
        <v>1314</v>
      </c>
      <c r="C1090" s="11"/>
      <c r="D1090" s="11"/>
      <c r="E1090" s="11"/>
      <c r="F1090" s="11">
        <v>0</v>
      </c>
      <c r="G1090" s="11">
        <v>0</v>
      </c>
      <c r="H1090" s="11" t="s">
        <v>45</v>
      </c>
      <c r="I1090" s="11">
        <v>7</v>
      </c>
      <c r="J1090" s="11">
        <v>0</v>
      </c>
      <c r="K1090" s="11" t="s">
        <v>46</v>
      </c>
      <c r="L1090" s="47" t="s">
        <v>47</v>
      </c>
      <c r="M1090" s="54">
        <v>1010151</v>
      </c>
      <c r="N1090" s="11">
        <v>0</v>
      </c>
      <c r="O1090" s="47" t="s">
        <v>48</v>
      </c>
      <c r="P1090" s="11">
        <v>0</v>
      </c>
      <c r="Q1090" s="11"/>
      <c r="R1090" s="11"/>
      <c r="S1090" s="11">
        <v>0</v>
      </c>
      <c r="T1090" s="11">
        <v>0</v>
      </c>
      <c r="U1090" s="11"/>
      <c r="V1090" s="11"/>
      <c r="W1090" s="47" t="s">
        <v>47</v>
      </c>
      <c r="X1090" s="47"/>
      <c r="Y1090" s="47"/>
      <c r="Z1090" s="12" t="s">
        <v>722</v>
      </c>
      <c r="AA1090" s="11"/>
      <c r="AB1090" s="11" t="s">
        <v>750</v>
      </c>
      <c r="AC1090" s="11">
        <v>2192</v>
      </c>
      <c r="AD1090" s="11" t="s">
        <v>51</v>
      </c>
      <c r="AE1090" s="11" t="s">
        <v>51</v>
      </c>
      <c r="AF1090" s="11" t="s">
        <v>51</v>
      </c>
      <c r="AG1090" s="11"/>
      <c r="AH1090" s="47" t="s">
        <v>52</v>
      </c>
      <c r="AI1090" s="11">
        <v>0</v>
      </c>
      <c r="AJ1090" s="11"/>
      <c r="AK1090" s="11"/>
      <c r="AL1090" s="11"/>
      <c r="AM1090" s="11"/>
      <c r="AN1090" s="47" t="s">
        <v>47</v>
      </c>
      <c r="AO1090" s="12">
        <v>3132</v>
      </c>
      <c r="AP1090" s="11" t="s">
        <v>53</v>
      </c>
      <c r="AQ1090" s="2">
        <v>0</v>
      </c>
    </row>
    <row r="1091" s="3" customFormat="1" ht="12.75" spans="1:43">
      <c r="A1091" s="170">
        <v>211126</v>
      </c>
      <c r="B1091" s="61" t="s">
        <v>744</v>
      </c>
      <c r="C1091" s="12"/>
      <c r="D1091" s="12"/>
      <c r="E1091" s="12"/>
      <c r="F1091" s="12">
        <v>0</v>
      </c>
      <c r="G1091" s="12">
        <v>0</v>
      </c>
      <c r="H1091" s="12" t="s">
        <v>45</v>
      </c>
      <c r="I1091" s="12">
        <v>7</v>
      </c>
      <c r="J1091" s="12">
        <v>0</v>
      </c>
      <c r="K1091" s="12" t="s">
        <v>46</v>
      </c>
      <c r="L1091" s="47" t="s">
        <v>47</v>
      </c>
      <c r="M1091" s="54">
        <v>1010133</v>
      </c>
      <c r="N1091" s="12">
        <v>0</v>
      </c>
      <c r="O1091" s="47" t="s">
        <v>48</v>
      </c>
      <c r="P1091" s="12">
        <v>0</v>
      </c>
      <c r="Q1091" s="12"/>
      <c r="R1091" s="12"/>
      <c r="S1091" s="12">
        <v>0</v>
      </c>
      <c r="T1091" s="12">
        <v>0</v>
      </c>
      <c r="U1091" s="12"/>
      <c r="V1091" s="12"/>
      <c r="W1091" s="47" t="s">
        <v>47</v>
      </c>
      <c r="X1091" s="47"/>
      <c r="Y1091" s="47"/>
      <c r="Z1091" s="12" t="s">
        <v>722</v>
      </c>
      <c r="AA1091" s="12"/>
      <c r="AB1091" s="12" t="s">
        <v>751</v>
      </c>
      <c r="AC1091" s="12">
        <v>2192</v>
      </c>
      <c r="AD1091" s="12" t="s">
        <v>51</v>
      </c>
      <c r="AE1091" s="12" t="s">
        <v>51</v>
      </c>
      <c r="AF1091" s="12" t="s">
        <v>51</v>
      </c>
      <c r="AG1091" s="12"/>
      <c r="AH1091" s="47" t="s">
        <v>52</v>
      </c>
      <c r="AI1091" s="12">
        <v>0</v>
      </c>
      <c r="AJ1091" s="12"/>
      <c r="AK1091" s="12"/>
      <c r="AL1091" s="12"/>
      <c r="AM1091" s="12"/>
      <c r="AN1091" s="47" t="s">
        <v>47</v>
      </c>
      <c r="AO1091" s="12">
        <v>3133</v>
      </c>
      <c r="AP1091" s="12" t="s">
        <v>53</v>
      </c>
      <c r="AQ1091" s="2">
        <v>0</v>
      </c>
    </row>
    <row r="1092" s="2" customFormat="1" ht="12" spans="1:43">
      <c r="A1092" s="37">
        <v>211127</v>
      </c>
      <c r="B1092" s="61" t="s">
        <v>1315</v>
      </c>
      <c r="C1092" s="11"/>
      <c r="D1092" s="11"/>
      <c r="E1092" s="11"/>
      <c r="F1092" s="11">
        <v>0</v>
      </c>
      <c r="G1092" s="11">
        <v>0</v>
      </c>
      <c r="H1092" s="11" t="s">
        <v>45</v>
      </c>
      <c r="I1092" s="11">
        <v>7</v>
      </c>
      <c r="J1092" s="11">
        <v>0</v>
      </c>
      <c r="K1092" s="11" t="s">
        <v>46</v>
      </c>
      <c r="L1092" s="47" t="s">
        <v>47</v>
      </c>
      <c r="M1092" s="94">
        <v>1010153</v>
      </c>
      <c r="N1092" s="11">
        <v>0</v>
      </c>
      <c r="O1092" s="47" t="s">
        <v>48</v>
      </c>
      <c r="P1092" s="11">
        <v>0</v>
      </c>
      <c r="Q1092" s="11"/>
      <c r="R1092" s="11"/>
      <c r="S1092" s="11">
        <v>0</v>
      </c>
      <c r="T1092" s="11">
        <v>0</v>
      </c>
      <c r="U1092" s="11"/>
      <c r="V1092" s="11"/>
      <c r="W1092" s="47" t="s">
        <v>47</v>
      </c>
      <c r="X1092" s="47"/>
      <c r="Y1092" s="47"/>
      <c r="Z1092" s="12" t="s">
        <v>722</v>
      </c>
      <c r="AA1092" s="11"/>
      <c r="AB1092" s="11" t="s">
        <v>752</v>
      </c>
      <c r="AC1092" s="11">
        <v>2192</v>
      </c>
      <c r="AD1092" s="11" t="s">
        <v>51</v>
      </c>
      <c r="AE1092" s="11" t="s">
        <v>51</v>
      </c>
      <c r="AF1092" s="11" t="s">
        <v>51</v>
      </c>
      <c r="AG1092" s="11"/>
      <c r="AH1092" s="47" t="s">
        <v>52</v>
      </c>
      <c r="AI1092" s="11">
        <v>0</v>
      </c>
      <c r="AJ1092" s="11"/>
      <c r="AK1092" s="11"/>
      <c r="AL1092" s="11"/>
      <c r="AM1092" s="11"/>
      <c r="AN1092" s="47" t="s">
        <v>47</v>
      </c>
      <c r="AO1092" s="12">
        <v>3134</v>
      </c>
      <c r="AP1092" s="11" t="s">
        <v>53</v>
      </c>
      <c r="AQ1092" s="2">
        <v>0</v>
      </c>
    </row>
    <row r="1093" s="3" customFormat="1" spans="1:43">
      <c r="A1093" s="37">
        <v>211128</v>
      </c>
      <c r="B1093" s="61" t="s">
        <v>1316</v>
      </c>
      <c r="C1093" s="11"/>
      <c r="D1093" s="11"/>
      <c r="E1093" s="11"/>
      <c r="F1093" s="11">
        <v>0</v>
      </c>
      <c r="G1093" s="11">
        <v>0</v>
      </c>
      <c r="H1093" s="11" t="s">
        <v>45</v>
      </c>
      <c r="I1093" s="11">
        <v>7</v>
      </c>
      <c r="J1093" s="11">
        <v>0</v>
      </c>
      <c r="K1093" s="11" t="s">
        <v>46</v>
      </c>
      <c r="L1093" s="47" t="s">
        <v>47</v>
      </c>
      <c r="M1093" s="179">
        <v>1010124</v>
      </c>
      <c r="N1093" s="11">
        <v>0</v>
      </c>
      <c r="O1093" s="47" t="s">
        <v>48</v>
      </c>
      <c r="P1093" s="11">
        <v>0</v>
      </c>
      <c r="Q1093" s="11"/>
      <c r="R1093" s="11"/>
      <c r="S1093" s="11">
        <v>0</v>
      </c>
      <c r="T1093" s="11">
        <v>0</v>
      </c>
      <c r="U1093" s="11"/>
      <c r="V1093" s="11"/>
      <c r="W1093" s="47" t="s">
        <v>47</v>
      </c>
      <c r="X1093" s="47"/>
      <c r="Y1093" s="47"/>
      <c r="Z1093" s="11"/>
      <c r="AA1093" s="11"/>
      <c r="AB1093" s="11"/>
      <c r="AC1093" s="11">
        <v>2695</v>
      </c>
      <c r="AD1093" s="11" t="s">
        <v>51</v>
      </c>
      <c r="AE1093" s="11" t="s">
        <v>51</v>
      </c>
      <c r="AF1093" s="11" t="s">
        <v>51</v>
      </c>
      <c r="AG1093" s="11"/>
      <c r="AH1093" s="47" t="s">
        <v>52</v>
      </c>
      <c r="AI1093" s="11">
        <v>1</v>
      </c>
      <c r="AJ1093" s="11"/>
      <c r="AK1093" s="11"/>
      <c r="AL1093" s="11"/>
      <c r="AM1093" s="11"/>
      <c r="AN1093" s="47" t="s">
        <v>47</v>
      </c>
      <c r="AO1093" s="12">
        <v>3102</v>
      </c>
      <c r="AP1093" s="11" t="s">
        <v>53</v>
      </c>
      <c r="AQ1093" s="2">
        <v>0</v>
      </c>
    </row>
    <row r="1094" s="2" customFormat="1" spans="1:43">
      <c r="A1094" s="37">
        <v>211129</v>
      </c>
      <c r="B1094" s="61" t="s">
        <v>1317</v>
      </c>
      <c r="C1094" s="12"/>
      <c r="D1094" s="12"/>
      <c r="E1094" s="12"/>
      <c r="F1094" s="12">
        <v>0</v>
      </c>
      <c r="G1094" s="12">
        <v>0</v>
      </c>
      <c r="H1094" s="12" t="s">
        <v>45</v>
      </c>
      <c r="I1094" s="12">
        <v>7</v>
      </c>
      <c r="J1094" s="12">
        <v>0</v>
      </c>
      <c r="K1094" s="12" t="s">
        <v>46</v>
      </c>
      <c r="L1094" s="47" t="s">
        <v>47</v>
      </c>
      <c r="M1094" s="179">
        <v>1010121</v>
      </c>
      <c r="N1094" s="12">
        <v>0</v>
      </c>
      <c r="O1094" s="47" t="s">
        <v>48</v>
      </c>
      <c r="P1094" s="12">
        <v>0</v>
      </c>
      <c r="Q1094" s="12"/>
      <c r="R1094" s="12"/>
      <c r="S1094" s="12">
        <v>0</v>
      </c>
      <c r="T1094" s="12">
        <v>0</v>
      </c>
      <c r="U1094" s="12"/>
      <c r="V1094" s="12"/>
      <c r="W1094" s="47" t="s">
        <v>47</v>
      </c>
      <c r="X1094" s="47"/>
      <c r="Y1094" s="47"/>
      <c r="Z1094" s="12"/>
      <c r="AA1094" s="12"/>
      <c r="AB1094" s="12"/>
      <c r="AC1094" s="12">
        <v>2695</v>
      </c>
      <c r="AD1094" s="12" t="s">
        <v>51</v>
      </c>
      <c r="AE1094" s="12" t="s">
        <v>51</v>
      </c>
      <c r="AF1094" s="12" t="s">
        <v>51</v>
      </c>
      <c r="AG1094" s="12"/>
      <c r="AH1094" s="47" t="s">
        <v>52</v>
      </c>
      <c r="AI1094" s="12">
        <v>1</v>
      </c>
      <c r="AJ1094" s="12"/>
      <c r="AK1094" s="12"/>
      <c r="AL1094" s="12"/>
      <c r="AM1094" s="12"/>
      <c r="AN1094" s="47" t="s">
        <v>47</v>
      </c>
      <c r="AO1094" s="12">
        <v>3103</v>
      </c>
      <c r="AP1094" s="12" t="s">
        <v>53</v>
      </c>
      <c r="AQ1094" s="2">
        <v>0</v>
      </c>
    </row>
    <row r="1095" s="3" customFormat="1" spans="1:43">
      <c r="A1095" s="37">
        <v>211130</v>
      </c>
      <c r="B1095" s="61" t="s">
        <v>1318</v>
      </c>
      <c r="C1095" s="11"/>
      <c r="D1095" s="11"/>
      <c r="E1095" s="11"/>
      <c r="F1095" s="11">
        <v>0</v>
      </c>
      <c r="G1095" s="11">
        <v>0</v>
      </c>
      <c r="H1095" s="11" t="s">
        <v>45</v>
      </c>
      <c r="I1095" s="11">
        <v>7</v>
      </c>
      <c r="J1095" s="11">
        <v>0</v>
      </c>
      <c r="K1095" s="11" t="s">
        <v>46</v>
      </c>
      <c r="L1095" s="47" t="s">
        <v>47</v>
      </c>
      <c r="M1095" s="179">
        <v>1010125</v>
      </c>
      <c r="N1095" s="11">
        <v>0</v>
      </c>
      <c r="O1095" s="47" t="s">
        <v>48</v>
      </c>
      <c r="P1095" s="11">
        <v>0</v>
      </c>
      <c r="Q1095" s="11"/>
      <c r="R1095" s="11"/>
      <c r="S1095" s="11">
        <v>0</v>
      </c>
      <c r="T1095" s="11">
        <v>0</v>
      </c>
      <c r="U1095" s="11"/>
      <c r="V1095" s="11"/>
      <c r="W1095" s="47" t="s">
        <v>47</v>
      </c>
      <c r="X1095" s="47"/>
      <c r="Y1095" s="47"/>
      <c r="Z1095" s="11"/>
      <c r="AA1095" s="11"/>
      <c r="AB1095" s="11"/>
      <c r="AC1095" s="11">
        <v>2695</v>
      </c>
      <c r="AD1095" s="11" t="s">
        <v>51</v>
      </c>
      <c r="AE1095" s="11" t="s">
        <v>51</v>
      </c>
      <c r="AF1095" s="11" t="s">
        <v>51</v>
      </c>
      <c r="AG1095" s="11"/>
      <c r="AH1095" s="47" t="s">
        <v>52</v>
      </c>
      <c r="AI1095" s="11">
        <v>1</v>
      </c>
      <c r="AJ1095" s="11"/>
      <c r="AK1095" s="11"/>
      <c r="AL1095" s="11"/>
      <c r="AM1095" s="11"/>
      <c r="AN1095" s="47" t="s">
        <v>47</v>
      </c>
      <c r="AO1095" s="12">
        <v>3104</v>
      </c>
      <c r="AP1095" s="11" t="s">
        <v>53</v>
      </c>
      <c r="AQ1095" s="2">
        <v>0</v>
      </c>
    </row>
    <row r="1096" s="3" customFormat="1" spans="1:43">
      <c r="A1096" s="37">
        <v>211131</v>
      </c>
      <c r="B1096" s="172" t="s">
        <v>721</v>
      </c>
      <c r="C1096" s="12"/>
      <c r="D1096" s="12"/>
      <c r="E1096" s="12"/>
      <c r="F1096" s="12">
        <v>0</v>
      </c>
      <c r="G1096" s="12">
        <v>0</v>
      </c>
      <c r="H1096" s="12" t="s">
        <v>45</v>
      </c>
      <c r="I1096" s="12">
        <v>7</v>
      </c>
      <c r="J1096" s="12">
        <v>0</v>
      </c>
      <c r="K1096" s="12" t="s">
        <v>46</v>
      </c>
      <c r="L1096" s="47" t="s">
        <v>47</v>
      </c>
      <c r="M1096" s="94">
        <v>1010154</v>
      </c>
      <c r="N1096" s="12">
        <v>0</v>
      </c>
      <c r="O1096" s="47" t="s">
        <v>48</v>
      </c>
      <c r="P1096" s="12">
        <v>0</v>
      </c>
      <c r="Q1096" s="12"/>
      <c r="R1096" s="12"/>
      <c r="S1096" s="12">
        <v>0</v>
      </c>
      <c r="T1096" s="12">
        <v>0</v>
      </c>
      <c r="U1096" s="12"/>
      <c r="V1096" s="12"/>
      <c r="W1096" s="47" t="s">
        <v>47</v>
      </c>
      <c r="X1096" s="47"/>
      <c r="Y1096" s="47"/>
      <c r="Z1096" s="12" t="s">
        <v>722</v>
      </c>
      <c r="AA1096" s="12"/>
      <c r="AB1096" s="12" t="s">
        <v>723</v>
      </c>
      <c r="AC1096" s="12">
        <v>2192</v>
      </c>
      <c r="AD1096" s="12" t="s">
        <v>51</v>
      </c>
      <c r="AE1096" s="12" t="s">
        <v>51</v>
      </c>
      <c r="AF1096" s="12" t="s">
        <v>51</v>
      </c>
      <c r="AG1096" s="12"/>
      <c r="AH1096" s="47" t="s">
        <v>52</v>
      </c>
      <c r="AI1096" s="12">
        <v>0</v>
      </c>
      <c r="AJ1096" s="12"/>
      <c r="AK1096" s="12"/>
      <c r="AL1096" s="12"/>
      <c r="AM1096" s="12"/>
      <c r="AN1096" s="47" t="s">
        <v>47</v>
      </c>
      <c r="AO1096" s="12">
        <v>3135</v>
      </c>
      <c r="AP1096" s="12" t="s">
        <v>53</v>
      </c>
      <c r="AQ1096" s="2">
        <v>0</v>
      </c>
    </row>
    <row r="1097" s="2" customFormat="1" spans="1:43">
      <c r="A1097" s="37">
        <v>211132</v>
      </c>
      <c r="B1097" s="172" t="s">
        <v>724</v>
      </c>
      <c r="C1097" s="11"/>
      <c r="D1097" s="11"/>
      <c r="E1097" s="11"/>
      <c r="F1097" s="11">
        <v>0</v>
      </c>
      <c r="G1097" s="11">
        <v>0</v>
      </c>
      <c r="H1097" s="11" t="s">
        <v>45</v>
      </c>
      <c r="I1097" s="11">
        <v>7</v>
      </c>
      <c r="J1097" s="11">
        <v>0</v>
      </c>
      <c r="K1097" s="11" t="s">
        <v>46</v>
      </c>
      <c r="L1097" s="47" t="s">
        <v>47</v>
      </c>
      <c r="M1097" s="94">
        <v>1010113</v>
      </c>
      <c r="N1097" s="11">
        <v>0</v>
      </c>
      <c r="O1097" s="47" t="s">
        <v>48</v>
      </c>
      <c r="P1097" s="11">
        <v>0</v>
      </c>
      <c r="Q1097" s="11"/>
      <c r="R1097" s="11"/>
      <c r="S1097" s="11">
        <v>0</v>
      </c>
      <c r="T1097" s="11">
        <v>0</v>
      </c>
      <c r="U1097" s="11"/>
      <c r="V1097" s="11"/>
      <c r="W1097" s="47" t="s">
        <v>47</v>
      </c>
      <c r="X1097" s="47"/>
      <c r="Y1097" s="47"/>
      <c r="Z1097" s="12" t="s">
        <v>722</v>
      </c>
      <c r="AA1097" s="11"/>
      <c r="AB1097" s="11" t="s">
        <v>725</v>
      </c>
      <c r="AC1097" s="11">
        <v>2192</v>
      </c>
      <c r="AD1097" s="11" t="s">
        <v>51</v>
      </c>
      <c r="AE1097" s="11" t="s">
        <v>51</v>
      </c>
      <c r="AF1097" s="11" t="s">
        <v>51</v>
      </c>
      <c r="AG1097" s="11"/>
      <c r="AH1097" s="47" t="s">
        <v>52</v>
      </c>
      <c r="AI1097" s="11">
        <v>0</v>
      </c>
      <c r="AJ1097" s="11"/>
      <c r="AK1097" s="11"/>
      <c r="AL1097" s="11"/>
      <c r="AM1097" s="11"/>
      <c r="AN1097" s="47" t="s">
        <v>47</v>
      </c>
      <c r="AO1097" s="12">
        <v>3136</v>
      </c>
      <c r="AP1097" s="11" t="s">
        <v>53</v>
      </c>
      <c r="AQ1097" s="2">
        <v>0</v>
      </c>
    </row>
    <row r="1098" s="19" customFormat="1" spans="1:43">
      <c r="A1098" s="89">
        <v>211133</v>
      </c>
      <c r="B1098" s="173" t="s">
        <v>726</v>
      </c>
      <c r="C1098" s="89"/>
      <c r="D1098" s="89"/>
      <c r="E1098" s="89"/>
      <c r="F1098" s="89">
        <v>0</v>
      </c>
      <c r="G1098" s="89">
        <v>0</v>
      </c>
      <c r="H1098" s="89" t="s">
        <v>45</v>
      </c>
      <c r="I1098" s="89">
        <v>7</v>
      </c>
      <c r="J1098" s="89">
        <v>0</v>
      </c>
      <c r="K1098" s="89" t="s">
        <v>46</v>
      </c>
      <c r="L1098" s="89" t="s">
        <v>47</v>
      </c>
      <c r="M1098" s="95">
        <v>1010114</v>
      </c>
      <c r="N1098" s="89">
        <v>0</v>
      </c>
      <c r="O1098" s="89" t="s">
        <v>48</v>
      </c>
      <c r="P1098" s="89">
        <v>0</v>
      </c>
      <c r="Q1098" s="89"/>
      <c r="R1098" s="89"/>
      <c r="S1098" s="89">
        <v>0</v>
      </c>
      <c r="T1098" s="89">
        <v>0</v>
      </c>
      <c r="U1098" s="89"/>
      <c r="V1098" s="89"/>
      <c r="W1098" s="89" t="s">
        <v>47</v>
      </c>
      <c r="X1098" s="89"/>
      <c r="Y1098" s="89"/>
      <c r="Z1098" s="89" t="s">
        <v>722</v>
      </c>
      <c r="AA1098" s="89"/>
      <c r="AB1098" s="89" t="s">
        <v>727</v>
      </c>
      <c r="AC1098" s="89">
        <v>2192</v>
      </c>
      <c r="AD1098" s="89" t="s">
        <v>51</v>
      </c>
      <c r="AE1098" s="89" t="s">
        <v>51</v>
      </c>
      <c r="AF1098" s="89" t="s">
        <v>51</v>
      </c>
      <c r="AG1098" s="89"/>
      <c r="AH1098" s="89" t="s">
        <v>52</v>
      </c>
      <c r="AI1098" s="89">
        <v>0</v>
      </c>
      <c r="AJ1098" s="89"/>
      <c r="AK1098" s="89"/>
      <c r="AL1098" s="89"/>
      <c r="AM1098" s="89"/>
      <c r="AN1098" s="89" t="s">
        <v>47</v>
      </c>
      <c r="AO1098" s="89">
        <v>3137</v>
      </c>
      <c r="AP1098" s="89" t="s">
        <v>53</v>
      </c>
      <c r="AQ1098" s="19">
        <v>0</v>
      </c>
    </row>
    <row r="1099" s="8" customFormat="1" spans="1:43">
      <c r="A1099" s="89">
        <v>211134</v>
      </c>
      <c r="B1099" s="84" t="s">
        <v>717</v>
      </c>
      <c r="C1099" s="60"/>
      <c r="D1099" s="60"/>
      <c r="E1099" s="60"/>
      <c r="F1099" s="60">
        <v>3</v>
      </c>
      <c r="G1099" s="60">
        <v>0</v>
      </c>
      <c r="H1099" s="60">
        <v>1.1</v>
      </c>
      <c r="I1099" s="60">
        <v>7</v>
      </c>
      <c r="J1099" s="60">
        <v>0</v>
      </c>
      <c r="K1099" s="60" t="s">
        <v>46</v>
      </c>
      <c r="L1099" s="47" t="s">
        <v>47</v>
      </c>
      <c r="M1099" s="180">
        <v>530021</v>
      </c>
      <c r="N1099" s="60">
        <v>0</v>
      </c>
      <c r="O1099" s="47" t="s">
        <v>48</v>
      </c>
      <c r="P1099" s="60">
        <v>0</v>
      </c>
      <c r="Q1099" s="60"/>
      <c r="R1099" s="60"/>
      <c r="S1099" s="60">
        <v>0</v>
      </c>
      <c r="T1099" s="60">
        <v>0</v>
      </c>
      <c r="U1099" s="60"/>
      <c r="V1099" s="60"/>
      <c r="W1099" s="47" t="s">
        <v>47</v>
      </c>
      <c r="X1099" s="47"/>
      <c r="Y1099" s="47"/>
      <c r="Z1099" s="12" t="s">
        <v>695</v>
      </c>
      <c r="AA1099" s="60" t="s">
        <v>1319</v>
      </c>
      <c r="AB1099" s="60"/>
      <c r="AC1099" s="12">
        <v>2141</v>
      </c>
      <c r="AD1099" s="60" t="s">
        <v>51</v>
      </c>
      <c r="AE1099" s="60" t="s">
        <v>51</v>
      </c>
      <c r="AF1099" s="60" t="s">
        <v>51</v>
      </c>
      <c r="AG1099" s="60"/>
      <c r="AH1099" s="47" t="s">
        <v>52</v>
      </c>
      <c r="AI1099" s="60">
        <v>0</v>
      </c>
      <c r="AJ1099" s="60"/>
      <c r="AK1099" s="60"/>
      <c r="AL1099" s="60"/>
      <c r="AM1099" s="60"/>
      <c r="AN1099" s="47" t="s">
        <v>47</v>
      </c>
      <c r="AO1099" s="60">
        <v>3138</v>
      </c>
      <c r="AP1099" s="60" t="s">
        <v>53</v>
      </c>
      <c r="AQ1099" s="2">
        <v>0</v>
      </c>
    </row>
    <row r="1100" s="8" customFormat="1" spans="1:43">
      <c r="A1100" s="89">
        <v>211135</v>
      </c>
      <c r="B1100" s="84" t="s">
        <v>707</v>
      </c>
      <c r="C1100" s="60"/>
      <c r="D1100" s="60"/>
      <c r="E1100" s="60"/>
      <c r="F1100" s="60">
        <v>2</v>
      </c>
      <c r="G1100" s="60">
        <v>0</v>
      </c>
      <c r="H1100" s="60">
        <v>1.1</v>
      </c>
      <c r="I1100" s="60">
        <v>7</v>
      </c>
      <c r="J1100" s="60">
        <v>0</v>
      </c>
      <c r="K1100" s="60" t="s">
        <v>46</v>
      </c>
      <c r="L1100" s="47" t="s">
        <v>47</v>
      </c>
      <c r="M1100" s="180">
        <v>530021</v>
      </c>
      <c r="N1100" s="60">
        <v>0</v>
      </c>
      <c r="O1100" s="47" t="s">
        <v>48</v>
      </c>
      <c r="P1100" s="60">
        <v>0</v>
      </c>
      <c r="Q1100" s="60"/>
      <c r="R1100" s="60"/>
      <c r="S1100" s="60">
        <v>0</v>
      </c>
      <c r="T1100" s="60">
        <v>0</v>
      </c>
      <c r="U1100" s="60"/>
      <c r="V1100" s="60"/>
      <c r="W1100" s="47" t="s">
        <v>47</v>
      </c>
      <c r="X1100" s="47"/>
      <c r="Y1100" s="47"/>
      <c r="Z1100" s="12" t="s">
        <v>695</v>
      </c>
      <c r="AA1100" s="60" t="s">
        <v>1319</v>
      </c>
      <c r="AB1100" s="60"/>
      <c r="AC1100" s="12">
        <v>2141</v>
      </c>
      <c r="AD1100" s="60" t="s">
        <v>51</v>
      </c>
      <c r="AE1100" s="60" t="s">
        <v>51</v>
      </c>
      <c r="AF1100" s="60" t="s">
        <v>51</v>
      </c>
      <c r="AG1100" s="60"/>
      <c r="AH1100" s="47" t="s">
        <v>52</v>
      </c>
      <c r="AI1100" s="60">
        <v>0</v>
      </c>
      <c r="AJ1100" s="60"/>
      <c r="AK1100" s="60"/>
      <c r="AL1100" s="60"/>
      <c r="AM1100" s="60"/>
      <c r="AN1100" s="47" t="s">
        <v>47</v>
      </c>
      <c r="AO1100" s="60">
        <v>3139</v>
      </c>
      <c r="AP1100" s="60" t="s">
        <v>53</v>
      </c>
      <c r="AQ1100" s="2">
        <v>0</v>
      </c>
    </row>
    <row r="1101" s="8" customFormat="1" spans="1:43">
      <c r="A1101" s="89">
        <v>211136</v>
      </c>
      <c r="B1101" s="84" t="s">
        <v>712</v>
      </c>
      <c r="C1101" s="60"/>
      <c r="D1101" s="60"/>
      <c r="E1101" s="60"/>
      <c r="F1101" s="60">
        <v>1</v>
      </c>
      <c r="G1101" s="60">
        <v>0</v>
      </c>
      <c r="H1101" s="60">
        <v>1.1</v>
      </c>
      <c r="I1101" s="60">
        <v>7</v>
      </c>
      <c r="J1101" s="60">
        <v>0</v>
      </c>
      <c r="K1101" s="60" t="s">
        <v>46</v>
      </c>
      <c r="L1101" s="47" t="s">
        <v>47</v>
      </c>
      <c r="M1101" s="180">
        <v>530021</v>
      </c>
      <c r="N1101" s="60">
        <v>0</v>
      </c>
      <c r="O1101" s="47" t="s">
        <v>48</v>
      </c>
      <c r="P1101" s="60">
        <v>0</v>
      </c>
      <c r="Q1101" s="60"/>
      <c r="R1101" s="60"/>
      <c r="S1101" s="60">
        <v>0</v>
      </c>
      <c r="T1101" s="60">
        <v>0</v>
      </c>
      <c r="U1101" s="60"/>
      <c r="V1101" s="60"/>
      <c r="W1101" s="47" t="s">
        <v>47</v>
      </c>
      <c r="X1101" s="47"/>
      <c r="Y1101" s="47"/>
      <c r="Z1101" s="12" t="s">
        <v>695</v>
      </c>
      <c r="AA1101" s="60" t="s">
        <v>1319</v>
      </c>
      <c r="AB1101" s="60"/>
      <c r="AC1101" s="12">
        <v>2141</v>
      </c>
      <c r="AD1101" s="60" t="s">
        <v>51</v>
      </c>
      <c r="AE1101" s="60" t="s">
        <v>51</v>
      </c>
      <c r="AF1101" s="60" t="s">
        <v>51</v>
      </c>
      <c r="AG1101" s="60"/>
      <c r="AH1101" s="47" t="s">
        <v>52</v>
      </c>
      <c r="AI1101" s="60">
        <v>0</v>
      </c>
      <c r="AJ1101" s="60"/>
      <c r="AK1101" s="60"/>
      <c r="AL1101" s="60"/>
      <c r="AM1101" s="60"/>
      <c r="AN1101" s="47" t="s">
        <v>47</v>
      </c>
      <c r="AO1101" s="60">
        <v>3140</v>
      </c>
      <c r="AP1101" s="60" t="s">
        <v>53</v>
      </c>
      <c r="AQ1101" s="2">
        <v>0</v>
      </c>
    </row>
    <row r="1102" s="8" customFormat="1" spans="1:43">
      <c r="A1102" s="89">
        <v>211137</v>
      </c>
      <c r="B1102" s="174" t="s">
        <v>1320</v>
      </c>
      <c r="C1102" s="60"/>
      <c r="D1102" s="60"/>
      <c r="E1102" s="60"/>
      <c r="F1102" s="60">
        <v>0</v>
      </c>
      <c r="G1102" s="60">
        <v>0</v>
      </c>
      <c r="H1102" s="11" t="s">
        <v>45</v>
      </c>
      <c r="I1102" s="60">
        <v>7</v>
      </c>
      <c r="J1102" s="60">
        <v>0</v>
      </c>
      <c r="K1102" s="60" t="s">
        <v>46</v>
      </c>
      <c r="L1102" s="47" t="s">
        <v>47</v>
      </c>
      <c r="M1102" s="181">
        <v>1010129</v>
      </c>
      <c r="N1102" s="60">
        <v>0</v>
      </c>
      <c r="O1102" s="47" t="s">
        <v>48</v>
      </c>
      <c r="P1102" s="60">
        <v>0</v>
      </c>
      <c r="Q1102" s="60"/>
      <c r="R1102" s="60"/>
      <c r="S1102" s="60">
        <v>0</v>
      </c>
      <c r="T1102" s="60">
        <v>0</v>
      </c>
      <c r="U1102" s="60"/>
      <c r="V1102" s="60"/>
      <c r="W1102" s="47" t="s">
        <v>47</v>
      </c>
      <c r="X1102" s="47"/>
      <c r="Y1102" s="47"/>
      <c r="Z1102" s="12" t="s">
        <v>768</v>
      </c>
      <c r="AA1102" s="60"/>
      <c r="AB1102" s="60"/>
      <c r="AC1102" s="60"/>
      <c r="AD1102" s="60"/>
      <c r="AE1102" s="60"/>
      <c r="AF1102" s="183"/>
      <c r="AG1102" s="60"/>
      <c r="AH1102" s="47" t="s">
        <v>52</v>
      </c>
      <c r="AI1102" s="60">
        <v>0</v>
      </c>
      <c r="AJ1102" s="60"/>
      <c r="AK1102" s="60"/>
      <c r="AL1102" s="60"/>
      <c r="AM1102" s="60"/>
      <c r="AN1102" s="47" t="s">
        <v>47</v>
      </c>
      <c r="AO1102" s="60">
        <v>3141</v>
      </c>
      <c r="AP1102" s="60" t="s">
        <v>53</v>
      </c>
      <c r="AQ1102" s="2">
        <v>0</v>
      </c>
    </row>
    <row r="1103" s="8" customFormat="1" spans="1:43">
      <c r="A1103" s="89">
        <v>211138</v>
      </c>
      <c r="B1103" s="174" t="s">
        <v>1321</v>
      </c>
      <c r="C1103" s="60"/>
      <c r="D1103" s="60"/>
      <c r="E1103" s="60"/>
      <c r="F1103" s="60">
        <v>0</v>
      </c>
      <c r="G1103" s="60">
        <v>0</v>
      </c>
      <c r="H1103" s="11" t="s">
        <v>45</v>
      </c>
      <c r="I1103" s="60">
        <v>7</v>
      </c>
      <c r="J1103" s="60">
        <v>0</v>
      </c>
      <c r="K1103" s="60" t="s">
        <v>46</v>
      </c>
      <c r="L1103" s="47" t="s">
        <v>47</v>
      </c>
      <c r="M1103" s="181" t="s">
        <v>412</v>
      </c>
      <c r="N1103" s="60">
        <v>0</v>
      </c>
      <c r="O1103" s="47" t="s">
        <v>48</v>
      </c>
      <c r="P1103" s="60">
        <v>0</v>
      </c>
      <c r="Q1103" s="60"/>
      <c r="R1103" s="60"/>
      <c r="S1103" s="60">
        <v>0</v>
      </c>
      <c r="T1103" s="60">
        <v>0</v>
      </c>
      <c r="U1103" s="60"/>
      <c r="V1103" s="60"/>
      <c r="W1103" s="47" t="s">
        <v>47</v>
      </c>
      <c r="X1103" s="47"/>
      <c r="Y1103" s="47"/>
      <c r="Z1103" s="12" t="s">
        <v>768</v>
      </c>
      <c r="AA1103" s="60"/>
      <c r="AB1103" s="60"/>
      <c r="AC1103" s="60"/>
      <c r="AD1103" s="60"/>
      <c r="AE1103" s="60"/>
      <c r="AF1103" s="183"/>
      <c r="AG1103" s="60"/>
      <c r="AH1103" s="47" t="s">
        <v>52</v>
      </c>
      <c r="AI1103" s="60">
        <v>0</v>
      </c>
      <c r="AJ1103" s="60"/>
      <c r="AK1103" s="60"/>
      <c r="AL1103" s="60"/>
      <c r="AM1103" s="60"/>
      <c r="AN1103" s="47" t="s">
        <v>47</v>
      </c>
      <c r="AO1103" s="60">
        <v>3142</v>
      </c>
      <c r="AP1103" s="60" t="s">
        <v>53</v>
      </c>
      <c r="AQ1103" s="2">
        <v>0</v>
      </c>
    </row>
    <row r="1104" s="8" customFormat="1" ht="12.75" spans="1:43">
      <c r="A1104" s="89">
        <v>211139</v>
      </c>
      <c r="B1104" s="175" t="s">
        <v>1322</v>
      </c>
      <c r="C1104" s="60"/>
      <c r="D1104" s="60"/>
      <c r="E1104" s="60"/>
      <c r="F1104" s="60">
        <v>0</v>
      </c>
      <c r="G1104" s="60">
        <v>0</v>
      </c>
      <c r="H1104" s="11" t="s">
        <v>45</v>
      </c>
      <c r="I1104" s="60">
        <v>7</v>
      </c>
      <c r="J1104" s="60">
        <v>0</v>
      </c>
      <c r="K1104" s="60" t="s">
        <v>46</v>
      </c>
      <c r="L1104" s="47" t="s">
        <v>47</v>
      </c>
      <c r="M1104" s="181">
        <v>1010133</v>
      </c>
      <c r="N1104" s="60">
        <v>0</v>
      </c>
      <c r="O1104" s="47" t="s">
        <v>48</v>
      </c>
      <c r="P1104" s="60">
        <v>0</v>
      </c>
      <c r="Q1104" s="60"/>
      <c r="R1104" s="60"/>
      <c r="S1104" s="60">
        <v>0</v>
      </c>
      <c r="T1104" s="60">
        <v>0</v>
      </c>
      <c r="U1104" s="60"/>
      <c r="V1104" s="60"/>
      <c r="W1104" s="47" t="s">
        <v>47</v>
      </c>
      <c r="X1104" s="47"/>
      <c r="Y1104" s="47"/>
      <c r="Z1104" s="12" t="s">
        <v>768</v>
      </c>
      <c r="AA1104" s="60"/>
      <c r="AB1104" s="60"/>
      <c r="AC1104" s="60"/>
      <c r="AD1104" s="60"/>
      <c r="AE1104" s="60"/>
      <c r="AF1104" s="183"/>
      <c r="AG1104" s="60"/>
      <c r="AH1104" s="47" t="s">
        <v>52</v>
      </c>
      <c r="AI1104" s="60">
        <v>0</v>
      </c>
      <c r="AJ1104" s="60"/>
      <c r="AK1104" s="60"/>
      <c r="AL1104" s="60"/>
      <c r="AM1104" s="60"/>
      <c r="AN1104" s="47" t="s">
        <v>47</v>
      </c>
      <c r="AO1104" s="60">
        <v>3143</v>
      </c>
      <c r="AP1104" s="60" t="s">
        <v>53</v>
      </c>
      <c r="AQ1104" s="2">
        <v>0</v>
      </c>
    </row>
    <row r="1105" s="8" customFormat="1" spans="1:43">
      <c r="A1105" s="89">
        <v>211140</v>
      </c>
      <c r="B1105" s="174" t="s">
        <v>1323</v>
      </c>
      <c r="C1105" s="60"/>
      <c r="D1105" s="60"/>
      <c r="E1105" s="60"/>
      <c r="F1105" s="60">
        <v>0</v>
      </c>
      <c r="G1105" s="60">
        <v>0</v>
      </c>
      <c r="H1105" s="11" t="s">
        <v>45</v>
      </c>
      <c r="I1105" s="60">
        <v>7</v>
      </c>
      <c r="J1105" s="60">
        <v>0</v>
      </c>
      <c r="K1105" s="60" t="s">
        <v>46</v>
      </c>
      <c r="L1105" s="47" t="s">
        <v>47</v>
      </c>
      <c r="M1105" s="181" t="s">
        <v>959</v>
      </c>
      <c r="N1105" s="60">
        <v>0</v>
      </c>
      <c r="O1105" s="47" t="s">
        <v>48</v>
      </c>
      <c r="P1105" s="60">
        <v>0</v>
      </c>
      <c r="Q1105" s="60"/>
      <c r="R1105" s="60"/>
      <c r="S1105" s="60">
        <v>0</v>
      </c>
      <c r="T1105" s="60">
        <v>0</v>
      </c>
      <c r="U1105" s="60"/>
      <c r="V1105" s="60"/>
      <c r="W1105" s="47" t="s">
        <v>47</v>
      </c>
      <c r="X1105" s="47"/>
      <c r="Y1105" s="47"/>
      <c r="Z1105" s="12" t="s">
        <v>768</v>
      </c>
      <c r="AA1105" s="60"/>
      <c r="AB1105" s="60"/>
      <c r="AC1105" s="60"/>
      <c r="AD1105" s="60"/>
      <c r="AE1105" s="60"/>
      <c r="AF1105" s="183"/>
      <c r="AG1105" s="60"/>
      <c r="AH1105" s="47" t="s">
        <v>52</v>
      </c>
      <c r="AI1105" s="60">
        <v>0</v>
      </c>
      <c r="AJ1105" s="60"/>
      <c r="AK1105" s="60"/>
      <c r="AL1105" s="60"/>
      <c r="AM1105" s="60"/>
      <c r="AN1105" s="47" t="s">
        <v>47</v>
      </c>
      <c r="AO1105" s="60">
        <v>3144</v>
      </c>
      <c r="AP1105" s="60" t="s">
        <v>53</v>
      </c>
      <c r="AQ1105" s="2">
        <v>0</v>
      </c>
    </row>
    <row r="1106" s="8" customFormat="1" spans="1:43">
      <c r="A1106" s="89">
        <v>211141</v>
      </c>
      <c r="B1106" s="174" t="s">
        <v>1324</v>
      </c>
      <c r="C1106" s="60"/>
      <c r="D1106" s="60"/>
      <c r="E1106" s="60"/>
      <c r="F1106" s="60">
        <v>0</v>
      </c>
      <c r="G1106" s="60">
        <v>0</v>
      </c>
      <c r="H1106" s="11" t="s">
        <v>45</v>
      </c>
      <c r="I1106" s="60">
        <v>7</v>
      </c>
      <c r="J1106" s="60">
        <v>0</v>
      </c>
      <c r="K1106" s="60" t="s">
        <v>46</v>
      </c>
      <c r="L1106" s="47" t="s">
        <v>47</v>
      </c>
      <c r="M1106" s="181" t="s">
        <v>316</v>
      </c>
      <c r="N1106" s="60">
        <v>0</v>
      </c>
      <c r="O1106" s="47" t="s">
        <v>48</v>
      </c>
      <c r="P1106" s="60">
        <v>0</v>
      </c>
      <c r="Q1106" s="60"/>
      <c r="R1106" s="60"/>
      <c r="S1106" s="60">
        <v>0</v>
      </c>
      <c r="T1106" s="60">
        <v>0</v>
      </c>
      <c r="U1106" s="60"/>
      <c r="V1106" s="60"/>
      <c r="W1106" s="47" t="s">
        <v>47</v>
      </c>
      <c r="X1106" s="47"/>
      <c r="Y1106" s="47"/>
      <c r="Z1106" s="12" t="s">
        <v>768</v>
      </c>
      <c r="AA1106" s="60"/>
      <c r="AB1106" s="60"/>
      <c r="AC1106" s="60"/>
      <c r="AD1106" s="60"/>
      <c r="AE1106" s="60"/>
      <c r="AF1106" s="183"/>
      <c r="AG1106" s="60"/>
      <c r="AH1106" s="47" t="s">
        <v>52</v>
      </c>
      <c r="AI1106" s="60">
        <v>0</v>
      </c>
      <c r="AJ1106" s="60"/>
      <c r="AK1106" s="60"/>
      <c r="AL1106" s="60"/>
      <c r="AM1106" s="60"/>
      <c r="AN1106" s="47" t="s">
        <v>47</v>
      </c>
      <c r="AO1106" s="60">
        <v>3145</v>
      </c>
      <c r="AP1106" s="60" t="s">
        <v>53</v>
      </c>
      <c r="AQ1106" s="2">
        <v>0</v>
      </c>
    </row>
    <row r="1107" s="8" customFormat="1" spans="1:43">
      <c r="A1107" s="89">
        <v>211142</v>
      </c>
      <c r="B1107" s="176" t="s">
        <v>1325</v>
      </c>
      <c r="C1107" s="60"/>
      <c r="D1107" s="60"/>
      <c r="E1107" s="60"/>
      <c r="F1107" s="60">
        <v>4</v>
      </c>
      <c r="G1107" s="60">
        <v>0</v>
      </c>
      <c r="H1107" s="11">
        <v>0.7</v>
      </c>
      <c r="I1107" s="60">
        <v>7</v>
      </c>
      <c r="J1107" s="60">
        <v>0</v>
      </c>
      <c r="K1107" s="60" t="s">
        <v>46</v>
      </c>
      <c r="L1107" s="47" t="s">
        <v>47</v>
      </c>
      <c r="M1107" s="181">
        <v>1010170</v>
      </c>
      <c r="N1107" s="60">
        <v>0</v>
      </c>
      <c r="O1107" s="47" t="s">
        <v>48</v>
      </c>
      <c r="P1107" s="60">
        <v>0</v>
      </c>
      <c r="Q1107" s="60"/>
      <c r="R1107" s="60"/>
      <c r="S1107" s="60">
        <v>0</v>
      </c>
      <c r="T1107" s="60">
        <v>0</v>
      </c>
      <c r="U1107" s="60"/>
      <c r="V1107" s="60"/>
      <c r="W1107" s="47" t="s">
        <v>47</v>
      </c>
      <c r="X1107" s="47"/>
      <c r="Y1107" s="47"/>
      <c r="Z1107" s="12" t="s">
        <v>1326</v>
      </c>
      <c r="AA1107" s="60" t="s">
        <v>1327</v>
      </c>
      <c r="AB1107" s="60"/>
      <c r="AC1107" s="60">
        <v>2777</v>
      </c>
      <c r="AD1107" s="60">
        <v>2778</v>
      </c>
      <c r="AE1107" s="60"/>
      <c r="AF1107" s="183"/>
      <c r="AG1107" s="60"/>
      <c r="AH1107" s="47" t="s">
        <v>52</v>
      </c>
      <c r="AI1107" s="60">
        <v>0</v>
      </c>
      <c r="AJ1107" s="60"/>
      <c r="AK1107" s="60"/>
      <c r="AL1107" s="60"/>
      <c r="AM1107" s="60"/>
      <c r="AN1107" s="47" t="s">
        <v>47</v>
      </c>
      <c r="AO1107" s="60">
        <v>3146</v>
      </c>
      <c r="AP1107" s="60" t="s">
        <v>53</v>
      </c>
      <c r="AQ1107" s="2">
        <v>0</v>
      </c>
    </row>
    <row r="1108" s="8" customFormat="1" spans="1:43">
      <c r="A1108" s="89">
        <v>211147</v>
      </c>
      <c r="B1108" s="176" t="s">
        <v>1062</v>
      </c>
      <c r="C1108" s="60"/>
      <c r="D1108" s="60"/>
      <c r="E1108" s="60"/>
      <c r="F1108" s="60">
        <v>3</v>
      </c>
      <c r="G1108" s="60">
        <v>3</v>
      </c>
      <c r="H1108" s="11">
        <v>1.3</v>
      </c>
      <c r="I1108" s="60">
        <v>7</v>
      </c>
      <c r="J1108" s="60">
        <v>0</v>
      </c>
      <c r="K1108" s="60" t="s">
        <v>46</v>
      </c>
      <c r="L1108" s="47" t="s">
        <v>47</v>
      </c>
      <c r="M1108" s="181">
        <v>1010118</v>
      </c>
      <c r="N1108" s="60">
        <v>0</v>
      </c>
      <c r="O1108" s="47" t="s">
        <v>48</v>
      </c>
      <c r="P1108" s="60">
        <v>0</v>
      </c>
      <c r="Q1108" s="60"/>
      <c r="R1108" s="60"/>
      <c r="S1108" s="60">
        <v>0</v>
      </c>
      <c r="T1108" s="60">
        <v>0</v>
      </c>
      <c r="U1108" s="60"/>
      <c r="V1108" s="60"/>
      <c r="W1108" s="47" t="s">
        <v>47</v>
      </c>
      <c r="X1108" s="47"/>
      <c r="Y1108" s="47"/>
      <c r="Z1108" s="176" t="s">
        <v>1328</v>
      </c>
      <c r="AA1108" s="60" t="s">
        <v>1327</v>
      </c>
      <c r="AB1108" s="60"/>
      <c r="AC1108" s="60">
        <v>2776</v>
      </c>
      <c r="AD1108" s="60"/>
      <c r="AE1108" s="60"/>
      <c r="AF1108" s="183"/>
      <c r="AG1108" s="60"/>
      <c r="AH1108" s="47" t="s">
        <v>52</v>
      </c>
      <c r="AI1108" s="60">
        <v>0</v>
      </c>
      <c r="AJ1108" s="60"/>
      <c r="AK1108" s="60"/>
      <c r="AL1108" s="60"/>
      <c r="AM1108" s="60"/>
      <c r="AN1108" s="47" t="s">
        <v>47</v>
      </c>
      <c r="AO1108" s="60">
        <v>3151</v>
      </c>
      <c r="AP1108" s="60" t="s">
        <v>53</v>
      </c>
      <c r="AQ1108" s="2">
        <v>0</v>
      </c>
    </row>
    <row r="1109" s="2" customFormat="1" spans="1:43">
      <c r="A1109" s="89">
        <v>211148</v>
      </c>
      <c r="B1109" s="11" t="s">
        <v>1329</v>
      </c>
      <c r="C1109" s="11">
        <v>2</v>
      </c>
      <c r="D1109" s="11">
        <v>3</v>
      </c>
      <c r="E1109" s="11"/>
      <c r="F1109" s="11">
        <v>0</v>
      </c>
      <c r="G1109" s="11">
        <v>0</v>
      </c>
      <c r="H1109" s="11" t="s">
        <v>45</v>
      </c>
      <c r="I1109" s="11">
        <v>7</v>
      </c>
      <c r="J1109" s="11">
        <v>0</v>
      </c>
      <c r="K1109" s="11" t="s">
        <v>46</v>
      </c>
      <c r="L1109" s="47" t="s">
        <v>47</v>
      </c>
      <c r="M1109" s="11">
        <v>1010118</v>
      </c>
      <c r="N1109" s="11">
        <v>0</v>
      </c>
      <c r="O1109" s="47" t="s">
        <v>48</v>
      </c>
      <c r="P1109" s="11">
        <v>0</v>
      </c>
      <c r="Q1109" s="11"/>
      <c r="R1109" s="11"/>
      <c r="S1109" s="11">
        <v>0</v>
      </c>
      <c r="T1109" s="11">
        <v>0</v>
      </c>
      <c r="U1109" s="11"/>
      <c r="V1109" s="11"/>
      <c r="W1109" s="47" t="s">
        <v>47</v>
      </c>
      <c r="X1109" s="47"/>
      <c r="Y1109" s="47"/>
      <c r="Z1109" s="11" t="s">
        <v>768</v>
      </c>
      <c r="AA1109" s="11" t="s">
        <v>1327</v>
      </c>
      <c r="AB1109" s="11" t="s">
        <v>769</v>
      </c>
      <c r="AC1109" s="98">
        <v>2775</v>
      </c>
      <c r="AD1109" s="11" t="s">
        <v>51</v>
      </c>
      <c r="AE1109" s="11" t="s">
        <v>51</v>
      </c>
      <c r="AF1109" s="11" t="s">
        <v>51</v>
      </c>
      <c r="AG1109" s="11"/>
      <c r="AH1109" s="47" t="s">
        <v>52</v>
      </c>
      <c r="AI1109" s="11">
        <v>0</v>
      </c>
      <c r="AJ1109" s="11"/>
      <c r="AK1109" s="11"/>
      <c r="AL1109" s="11"/>
      <c r="AM1109" s="11"/>
      <c r="AN1109" s="47" t="s">
        <v>47</v>
      </c>
      <c r="AO1109" s="11">
        <v>3152</v>
      </c>
      <c r="AP1109" s="11" t="s">
        <v>53</v>
      </c>
      <c r="AQ1109" s="2">
        <v>0</v>
      </c>
    </row>
    <row r="1110" s="3" customFormat="1" ht="12" spans="1:43">
      <c r="A1110" s="89">
        <v>211149</v>
      </c>
      <c r="B1110" s="177" t="s">
        <v>1330</v>
      </c>
      <c r="C1110" s="12"/>
      <c r="D1110" s="12"/>
      <c r="E1110" s="12"/>
      <c r="F1110" s="11">
        <v>0</v>
      </c>
      <c r="G1110" s="12">
        <v>0</v>
      </c>
      <c r="H1110" s="12">
        <v>1</v>
      </c>
      <c r="I1110" s="12">
        <v>7</v>
      </c>
      <c r="J1110" s="12">
        <v>0</v>
      </c>
      <c r="K1110" s="12" t="s">
        <v>46</v>
      </c>
      <c r="L1110" s="47" t="s">
        <v>47</v>
      </c>
      <c r="M1110" s="182">
        <v>530025</v>
      </c>
      <c r="N1110" s="12">
        <v>0</v>
      </c>
      <c r="O1110" s="47" t="s">
        <v>48</v>
      </c>
      <c r="P1110" s="12">
        <v>0</v>
      </c>
      <c r="Q1110" s="12"/>
      <c r="R1110" s="12"/>
      <c r="S1110" s="12">
        <v>0</v>
      </c>
      <c r="T1110" s="12">
        <v>0</v>
      </c>
      <c r="U1110" s="12"/>
      <c r="V1110" s="12"/>
      <c r="W1110" s="47" t="s">
        <v>47</v>
      </c>
      <c r="X1110" s="47"/>
      <c r="Y1110" s="47"/>
      <c r="Z1110" s="12" t="s">
        <v>695</v>
      </c>
      <c r="AA1110" s="12"/>
      <c r="AB1110" s="12"/>
      <c r="AC1110" s="12">
        <v>2141</v>
      </c>
      <c r="AD1110" s="12" t="s">
        <v>51</v>
      </c>
      <c r="AE1110" s="12" t="s">
        <v>51</v>
      </c>
      <c r="AF1110" s="12" t="s">
        <v>51</v>
      </c>
      <c r="AG1110" s="12"/>
      <c r="AH1110" s="47" t="s">
        <v>52</v>
      </c>
      <c r="AI1110" s="12">
        <v>0</v>
      </c>
      <c r="AJ1110" s="12"/>
      <c r="AK1110" s="12"/>
      <c r="AL1110" s="12"/>
      <c r="AM1110" s="12"/>
      <c r="AN1110" s="47" t="s">
        <v>47</v>
      </c>
      <c r="AO1110" s="11">
        <v>3153</v>
      </c>
      <c r="AP1110" s="12" t="s">
        <v>53</v>
      </c>
      <c r="AQ1110" s="2">
        <v>0</v>
      </c>
    </row>
    <row r="1111" s="2" customFormat="1" ht="12" spans="1:43">
      <c r="A1111" s="89">
        <v>211150</v>
      </c>
      <c r="B1111" s="177" t="s">
        <v>1330</v>
      </c>
      <c r="C1111" s="11"/>
      <c r="D1111" s="11"/>
      <c r="E1111" s="11"/>
      <c r="F1111" s="11">
        <v>0</v>
      </c>
      <c r="G1111" s="11">
        <v>0</v>
      </c>
      <c r="H1111" s="12">
        <v>1</v>
      </c>
      <c r="I1111" s="11">
        <v>7</v>
      </c>
      <c r="J1111" s="11">
        <v>0</v>
      </c>
      <c r="K1111" s="11" t="s">
        <v>46</v>
      </c>
      <c r="L1111" s="47" t="s">
        <v>47</v>
      </c>
      <c r="M1111" s="182">
        <v>530025</v>
      </c>
      <c r="N1111" s="11">
        <v>0</v>
      </c>
      <c r="O1111" s="47" t="s">
        <v>48</v>
      </c>
      <c r="P1111" s="11">
        <v>0</v>
      </c>
      <c r="Q1111" s="11"/>
      <c r="R1111" s="11"/>
      <c r="S1111" s="11">
        <v>0</v>
      </c>
      <c r="T1111" s="11">
        <v>0</v>
      </c>
      <c r="U1111" s="11"/>
      <c r="V1111" s="11"/>
      <c r="W1111" s="47" t="s">
        <v>47</v>
      </c>
      <c r="X1111" s="47"/>
      <c r="Y1111" s="47"/>
      <c r="Z1111" s="12" t="s">
        <v>695</v>
      </c>
      <c r="AA1111" s="12"/>
      <c r="AB1111" s="11"/>
      <c r="AC1111" s="11">
        <v>2141</v>
      </c>
      <c r="AD1111" s="11" t="s">
        <v>51</v>
      </c>
      <c r="AE1111" s="11" t="s">
        <v>51</v>
      </c>
      <c r="AF1111" s="11" t="s">
        <v>51</v>
      </c>
      <c r="AG1111" s="11"/>
      <c r="AH1111" s="47" t="s">
        <v>52</v>
      </c>
      <c r="AI1111" s="11">
        <v>0</v>
      </c>
      <c r="AJ1111" s="11"/>
      <c r="AK1111" s="11"/>
      <c r="AL1111" s="11"/>
      <c r="AM1111" s="11"/>
      <c r="AN1111" s="47" t="s">
        <v>47</v>
      </c>
      <c r="AO1111" s="11">
        <v>3154</v>
      </c>
      <c r="AP1111" s="11" t="s">
        <v>53</v>
      </c>
      <c r="AQ1111" s="2">
        <v>0</v>
      </c>
    </row>
    <row r="1112" s="3" customFormat="1" ht="12" spans="1:43">
      <c r="A1112" s="89">
        <v>211151</v>
      </c>
      <c r="B1112" s="177" t="s">
        <v>697</v>
      </c>
      <c r="C1112" s="12"/>
      <c r="D1112" s="12"/>
      <c r="E1112" s="12"/>
      <c r="F1112" s="11">
        <v>0</v>
      </c>
      <c r="G1112" s="12">
        <v>0</v>
      </c>
      <c r="H1112" s="12">
        <v>1</v>
      </c>
      <c r="I1112" s="12">
        <v>7</v>
      </c>
      <c r="J1112" s="12">
        <v>0</v>
      </c>
      <c r="K1112" s="12" t="s">
        <v>46</v>
      </c>
      <c r="L1112" s="47" t="s">
        <v>47</v>
      </c>
      <c r="M1112" s="182">
        <v>530025</v>
      </c>
      <c r="N1112" s="12">
        <v>0</v>
      </c>
      <c r="O1112" s="47" t="s">
        <v>48</v>
      </c>
      <c r="P1112" s="12">
        <v>0</v>
      </c>
      <c r="Q1112" s="12"/>
      <c r="R1112" s="12"/>
      <c r="S1112" s="12">
        <v>0</v>
      </c>
      <c r="T1112" s="12">
        <v>0</v>
      </c>
      <c r="U1112" s="12"/>
      <c r="V1112" s="12"/>
      <c r="W1112" s="47" t="s">
        <v>47</v>
      </c>
      <c r="X1112" s="47"/>
      <c r="Y1112" s="47"/>
      <c r="Z1112" s="12" t="s">
        <v>695</v>
      </c>
      <c r="AA1112" s="12"/>
      <c r="AB1112" s="12"/>
      <c r="AC1112" s="12">
        <v>2141</v>
      </c>
      <c r="AD1112" s="12" t="s">
        <v>51</v>
      </c>
      <c r="AE1112" s="12" t="s">
        <v>51</v>
      </c>
      <c r="AF1112" s="12" t="s">
        <v>51</v>
      </c>
      <c r="AG1112" s="12"/>
      <c r="AH1112" s="47" t="s">
        <v>52</v>
      </c>
      <c r="AI1112" s="12">
        <v>0</v>
      </c>
      <c r="AJ1112" s="12"/>
      <c r="AK1112" s="12"/>
      <c r="AL1112" s="12"/>
      <c r="AM1112" s="12"/>
      <c r="AN1112" s="47" t="s">
        <v>47</v>
      </c>
      <c r="AO1112" s="11">
        <v>3155</v>
      </c>
      <c r="AP1112" s="12" t="s">
        <v>53</v>
      </c>
      <c r="AQ1112" s="2">
        <v>0</v>
      </c>
    </row>
    <row r="1113" s="2" customFormat="1" ht="12" spans="1:43">
      <c r="A1113" s="89">
        <v>211152</v>
      </c>
      <c r="B1113" s="177" t="s">
        <v>714</v>
      </c>
      <c r="C1113" s="11"/>
      <c r="D1113" s="11"/>
      <c r="E1113" s="11"/>
      <c r="F1113" s="11">
        <v>0</v>
      </c>
      <c r="G1113" s="11">
        <v>0</v>
      </c>
      <c r="H1113" s="12">
        <v>1</v>
      </c>
      <c r="I1113" s="11">
        <v>7</v>
      </c>
      <c r="J1113" s="11">
        <v>0</v>
      </c>
      <c r="K1113" s="11" t="s">
        <v>46</v>
      </c>
      <c r="L1113" s="47" t="s">
        <v>47</v>
      </c>
      <c r="M1113" s="182">
        <v>530025</v>
      </c>
      <c r="N1113" s="11">
        <v>0</v>
      </c>
      <c r="O1113" s="47" t="s">
        <v>48</v>
      </c>
      <c r="P1113" s="11">
        <v>0</v>
      </c>
      <c r="Q1113" s="11"/>
      <c r="R1113" s="11"/>
      <c r="S1113" s="11">
        <v>0</v>
      </c>
      <c r="T1113" s="11">
        <v>0</v>
      </c>
      <c r="U1113" s="11"/>
      <c r="V1113" s="11"/>
      <c r="W1113" s="47" t="s">
        <v>47</v>
      </c>
      <c r="X1113" s="47"/>
      <c r="Y1113" s="47"/>
      <c r="Z1113" s="12" t="s">
        <v>695</v>
      </c>
      <c r="AA1113" s="12"/>
      <c r="AB1113" s="11"/>
      <c r="AC1113" s="11">
        <v>2141</v>
      </c>
      <c r="AD1113" s="11" t="s">
        <v>51</v>
      </c>
      <c r="AE1113" s="11" t="s">
        <v>51</v>
      </c>
      <c r="AF1113" s="11" t="s">
        <v>51</v>
      </c>
      <c r="AG1113" s="11"/>
      <c r="AH1113" s="47" t="s">
        <v>52</v>
      </c>
      <c r="AI1113" s="11">
        <v>0</v>
      </c>
      <c r="AJ1113" s="11"/>
      <c r="AK1113" s="11"/>
      <c r="AL1113" s="11"/>
      <c r="AM1113" s="11"/>
      <c r="AN1113" s="47" t="s">
        <v>47</v>
      </c>
      <c r="AO1113" s="11">
        <v>3156</v>
      </c>
      <c r="AP1113" s="11" t="s">
        <v>53</v>
      </c>
      <c r="AQ1113" s="2">
        <v>0</v>
      </c>
    </row>
    <row r="1114" s="3" customFormat="1" ht="12" spans="1:43">
      <c r="A1114" s="89">
        <v>211153</v>
      </c>
      <c r="B1114" s="177" t="s">
        <v>701</v>
      </c>
      <c r="C1114" s="12"/>
      <c r="D1114" s="12"/>
      <c r="E1114" s="12"/>
      <c r="F1114" s="11">
        <v>0</v>
      </c>
      <c r="G1114" s="12">
        <v>0</v>
      </c>
      <c r="H1114" s="12">
        <v>1</v>
      </c>
      <c r="I1114" s="12">
        <v>7</v>
      </c>
      <c r="J1114" s="12">
        <v>0</v>
      </c>
      <c r="K1114" s="12" t="s">
        <v>46</v>
      </c>
      <c r="L1114" s="47" t="s">
        <v>47</v>
      </c>
      <c r="M1114" s="182">
        <v>530025</v>
      </c>
      <c r="N1114" s="12">
        <v>0</v>
      </c>
      <c r="O1114" s="47" t="s">
        <v>48</v>
      </c>
      <c r="P1114" s="12">
        <v>0</v>
      </c>
      <c r="Q1114" s="12"/>
      <c r="R1114" s="12"/>
      <c r="S1114" s="12">
        <v>0</v>
      </c>
      <c r="T1114" s="12">
        <v>0</v>
      </c>
      <c r="U1114" s="12"/>
      <c r="V1114" s="12"/>
      <c r="W1114" s="47" t="s">
        <v>47</v>
      </c>
      <c r="X1114" s="47"/>
      <c r="Y1114" s="47"/>
      <c r="Z1114" s="12" t="s">
        <v>695</v>
      </c>
      <c r="AA1114" s="12"/>
      <c r="AB1114" s="12"/>
      <c r="AC1114" s="12">
        <v>2141</v>
      </c>
      <c r="AD1114" s="12" t="s">
        <v>51</v>
      </c>
      <c r="AE1114" s="12" t="s">
        <v>51</v>
      </c>
      <c r="AF1114" s="12" t="s">
        <v>51</v>
      </c>
      <c r="AG1114" s="12"/>
      <c r="AH1114" s="47" t="s">
        <v>52</v>
      </c>
      <c r="AI1114" s="12">
        <v>0</v>
      </c>
      <c r="AJ1114" s="12"/>
      <c r="AK1114" s="12"/>
      <c r="AL1114" s="12"/>
      <c r="AM1114" s="12"/>
      <c r="AN1114" s="47" t="s">
        <v>47</v>
      </c>
      <c r="AO1114" s="11">
        <v>3157</v>
      </c>
      <c r="AP1114" s="12" t="s">
        <v>53</v>
      </c>
      <c r="AQ1114" s="2">
        <v>0</v>
      </c>
    </row>
    <row r="1115" s="8" customFormat="1" ht="12.75" customHeight="1" spans="1:43">
      <c r="A1115" s="89">
        <v>211154</v>
      </c>
      <c r="B1115" s="60" t="s">
        <v>746</v>
      </c>
      <c r="C1115" s="60"/>
      <c r="D1115" s="60"/>
      <c r="E1115" s="60"/>
      <c r="F1115" s="60">
        <v>0</v>
      </c>
      <c r="G1115" s="60">
        <v>0</v>
      </c>
      <c r="H1115" s="60" t="s">
        <v>45</v>
      </c>
      <c r="I1115" s="60">
        <v>7</v>
      </c>
      <c r="J1115" s="60">
        <v>0</v>
      </c>
      <c r="K1115" s="60" t="s">
        <v>46</v>
      </c>
      <c r="L1115" s="60" t="s">
        <v>47</v>
      </c>
      <c r="M1115" s="94">
        <v>1010153</v>
      </c>
      <c r="N1115" s="60">
        <v>0</v>
      </c>
      <c r="O1115" s="60" t="s">
        <v>48</v>
      </c>
      <c r="P1115" s="60">
        <v>0</v>
      </c>
      <c r="Q1115" s="60"/>
      <c r="R1115" s="60"/>
      <c r="S1115" s="60">
        <v>0</v>
      </c>
      <c r="T1115" s="60">
        <v>0</v>
      </c>
      <c r="U1115" s="60"/>
      <c r="V1115" s="60"/>
      <c r="W1115" s="60" t="s">
        <v>47</v>
      </c>
      <c r="X1115" s="60"/>
      <c r="Y1115" s="60"/>
      <c r="Z1115" s="60" t="s">
        <v>722</v>
      </c>
      <c r="AA1115" s="60" t="s">
        <v>1319</v>
      </c>
      <c r="AB1115" s="60"/>
      <c r="AC1115" s="60">
        <v>2192</v>
      </c>
      <c r="AD1115" s="60" t="s">
        <v>51</v>
      </c>
      <c r="AE1115" s="60" t="s">
        <v>51</v>
      </c>
      <c r="AF1115" s="60" t="s">
        <v>51</v>
      </c>
      <c r="AG1115" s="60"/>
      <c r="AH1115" s="60" t="s">
        <v>52</v>
      </c>
      <c r="AI1115" s="60">
        <v>0</v>
      </c>
      <c r="AJ1115" s="60"/>
      <c r="AK1115" s="60"/>
      <c r="AL1115" s="60"/>
      <c r="AM1115" s="60"/>
      <c r="AN1115" s="60" t="s">
        <v>47</v>
      </c>
      <c r="AO1115" s="11">
        <v>3158</v>
      </c>
      <c r="AP1115" s="60" t="s">
        <v>53</v>
      </c>
      <c r="AQ1115" s="2">
        <v>0</v>
      </c>
    </row>
    <row r="1116" s="2" customFormat="1" ht="12" spans="1:43">
      <c r="A1116" s="89">
        <v>211155</v>
      </c>
      <c r="B1116" s="11" t="s">
        <v>1331</v>
      </c>
      <c r="C1116" s="11"/>
      <c r="D1116" s="11"/>
      <c r="E1116" s="11"/>
      <c r="F1116" s="11">
        <v>0</v>
      </c>
      <c r="G1116" s="11">
        <v>0</v>
      </c>
      <c r="H1116" s="11" t="s">
        <v>45</v>
      </c>
      <c r="I1116" s="11">
        <v>7</v>
      </c>
      <c r="J1116" s="11">
        <v>0</v>
      </c>
      <c r="K1116" s="11" t="s">
        <v>46</v>
      </c>
      <c r="L1116" s="47" t="s">
        <v>47</v>
      </c>
      <c r="M1116" s="11">
        <v>1010130</v>
      </c>
      <c r="N1116" s="11">
        <v>0</v>
      </c>
      <c r="O1116" s="47" t="s">
        <v>48</v>
      </c>
      <c r="P1116" s="11">
        <v>0</v>
      </c>
      <c r="Q1116" s="11"/>
      <c r="R1116" s="11"/>
      <c r="S1116" s="11">
        <v>0</v>
      </c>
      <c r="T1116" s="11">
        <v>0</v>
      </c>
      <c r="U1116" s="11"/>
      <c r="V1116" s="11"/>
      <c r="W1116" s="47" t="s">
        <v>47</v>
      </c>
      <c r="X1116" s="47"/>
      <c r="Y1116" s="47"/>
      <c r="Z1116" s="11" t="s">
        <v>1332</v>
      </c>
      <c r="AA1116" s="12"/>
      <c r="AB1116" s="11"/>
      <c r="AC1116" s="11">
        <v>2193</v>
      </c>
      <c r="AD1116" s="11" t="s">
        <v>51</v>
      </c>
      <c r="AE1116" s="11" t="s">
        <v>51</v>
      </c>
      <c r="AF1116" s="11" t="s">
        <v>51</v>
      </c>
      <c r="AG1116" s="11"/>
      <c r="AH1116" s="47" t="s">
        <v>52</v>
      </c>
      <c r="AI1116" s="11">
        <v>0</v>
      </c>
      <c r="AJ1116" s="11"/>
      <c r="AK1116" s="11"/>
      <c r="AL1116" s="11"/>
      <c r="AM1116" s="11"/>
      <c r="AN1116" s="47" t="s">
        <v>47</v>
      </c>
      <c r="AO1116" s="11">
        <v>3159</v>
      </c>
      <c r="AP1116" s="11" t="s">
        <v>53</v>
      </c>
      <c r="AQ1116" s="2">
        <v>0</v>
      </c>
    </row>
    <row r="1117" s="3" customFormat="1" ht="12" spans="1:43">
      <c r="A1117" s="89">
        <v>211156</v>
      </c>
      <c r="B1117" s="12" t="s">
        <v>1331</v>
      </c>
      <c r="C1117" s="12"/>
      <c r="D1117" s="12"/>
      <c r="E1117" s="12"/>
      <c r="F1117" s="12">
        <v>1</v>
      </c>
      <c r="G1117" s="12">
        <v>0</v>
      </c>
      <c r="H1117" s="12" t="s">
        <v>45</v>
      </c>
      <c r="I1117" s="12">
        <v>7</v>
      </c>
      <c r="J1117" s="12">
        <v>0</v>
      </c>
      <c r="K1117" s="12" t="s">
        <v>46</v>
      </c>
      <c r="L1117" s="47" t="s">
        <v>47</v>
      </c>
      <c r="M1117" s="11">
        <v>1010130</v>
      </c>
      <c r="N1117" s="12">
        <v>0</v>
      </c>
      <c r="O1117" s="47" t="s">
        <v>48</v>
      </c>
      <c r="P1117" s="12">
        <v>0</v>
      </c>
      <c r="Q1117" s="12"/>
      <c r="R1117" s="12"/>
      <c r="S1117" s="12">
        <v>0</v>
      </c>
      <c r="T1117" s="12">
        <v>0</v>
      </c>
      <c r="U1117" s="12"/>
      <c r="V1117" s="12"/>
      <c r="W1117" s="47" t="s">
        <v>47</v>
      </c>
      <c r="X1117" s="47"/>
      <c r="Y1117" s="47"/>
      <c r="Z1117" s="11" t="s">
        <v>1332</v>
      </c>
      <c r="AA1117" s="12"/>
      <c r="AB1117" s="12"/>
      <c r="AC1117" s="12">
        <v>2193</v>
      </c>
      <c r="AD1117" s="12" t="s">
        <v>51</v>
      </c>
      <c r="AE1117" s="12" t="s">
        <v>51</v>
      </c>
      <c r="AF1117" s="12" t="s">
        <v>51</v>
      </c>
      <c r="AG1117" s="12"/>
      <c r="AH1117" s="47" t="s">
        <v>52</v>
      </c>
      <c r="AI1117" s="12">
        <v>0</v>
      </c>
      <c r="AJ1117" s="12"/>
      <c r="AK1117" s="12"/>
      <c r="AL1117" s="12"/>
      <c r="AM1117" s="12"/>
      <c r="AN1117" s="47" t="s">
        <v>47</v>
      </c>
      <c r="AO1117" s="11">
        <v>3160</v>
      </c>
      <c r="AP1117" s="12" t="s">
        <v>53</v>
      </c>
      <c r="AQ1117" s="2">
        <v>0</v>
      </c>
    </row>
    <row r="1118" s="2" customFormat="1" ht="12" spans="1:43">
      <c r="A1118" s="89">
        <v>211157</v>
      </c>
      <c r="B1118" s="11" t="s">
        <v>1331</v>
      </c>
      <c r="C1118" s="11"/>
      <c r="D1118" s="11"/>
      <c r="E1118" s="11"/>
      <c r="F1118" s="11">
        <v>2</v>
      </c>
      <c r="G1118" s="11">
        <v>0</v>
      </c>
      <c r="H1118" s="11" t="s">
        <v>45</v>
      </c>
      <c r="I1118" s="11">
        <v>7</v>
      </c>
      <c r="J1118" s="11">
        <v>0</v>
      </c>
      <c r="K1118" s="11" t="s">
        <v>46</v>
      </c>
      <c r="L1118" s="47" t="s">
        <v>47</v>
      </c>
      <c r="M1118" s="11">
        <v>1010130</v>
      </c>
      <c r="N1118" s="11">
        <v>0</v>
      </c>
      <c r="O1118" s="47" t="s">
        <v>48</v>
      </c>
      <c r="P1118" s="11">
        <v>0</v>
      </c>
      <c r="Q1118" s="11"/>
      <c r="R1118" s="11"/>
      <c r="S1118" s="11">
        <v>0</v>
      </c>
      <c r="T1118" s="11">
        <v>0</v>
      </c>
      <c r="U1118" s="11"/>
      <c r="V1118" s="11"/>
      <c r="W1118" s="47" t="s">
        <v>47</v>
      </c>
      <c r="X1118" s="47"/>
      <c r="Y1118" s="47"/>
      <c r="Z1118" s="11" t="s">
        <v>1332</v>
      </c>
      <c r="AA1118" s="12"/>
      <c r="AB1118" s="11"/>
      <c r="AC1118" s="11">
        <v>2193</v>
      </c>
      <c r="AD1118" s="11" t="s">
        <v>51</v>
      </c>
      <c r="AE1118" s="11" t="s">
        <v>51</v>
      </c>
      <c r="AF1118" s="11" t="s">
        <v>51</v>
      </c>
      <c r="AG1118" s="11"/>
      <c r="AH1118" s="47" t="s">
        <v>52</v>
      </c>
      <c r="AI1118" s="11">
        <v>0</v>
      </c>
      <c r="AJ1118" s="11"/>
      <c r="AK1118" s="11"/>
      <c r="AL1118" s="11"/>
      <c r="AM1118" s="11"/>
      <c r="AN1118" s="47" t="s">
        <v>47</v>
      </c>
      <c r="AO1118" s="11">
        <v>3161</v>
      </c>
      <c r="AP1118" s="11" t="s">
        <v>53</v>
      </c>
      <c r="AQ1118" s="2">
        <v>0</v>
      </c>
    </row>
    <row r="1119" s="3" customFormat="1" ht="12" spans="1:43">
      <c r="A1119" s="89">
        <v>211158</v>
      </c>
      <c r="B1119" s="12" t="s">
        <v>1331</v>
      </c>
      <c r="C1119" s="12"/>
      <c r="D1119" s="12"/>
      <c r="E1119" s="12"/>
      <c r="F1119" s="12">
        <v>3</v>
      </c>
      <c r="G1119" s="12">
        <v>0</v>
      </c>
      <c r="H1119" s="12" t="s">
        <v>45</v>
      </c>
      <c r="I1119" s="12">
        <v>7</v>
      </c>
      <c r="J1119" s="12">
        <v>0</v>
      </c>
      <c r="K1119" s="12" t="s">
        <v>46</v>
      </c>
      <c r="L1119" s="47" t="s">
        <v>47</v>
      </c>
      <c r="M1119" s="11">
        <v>1010130</v>
      </c>
      <c r="N1119" s="12">
        <v>0</v>
      </c>
      <c r="O1119" s="47" t="s">
        <v>48</v>
      </c>
      <c r="P1119" s="12">
        <v>0</v>
      </c>
      <c r="Q1119" s="12"/>
      <c r="R1119" s="12"/>
      <c r="S1119" s="12">
        <v>0</v>
      </c>
      <c r="T1119" s="12">
        <v>0</v>
      </c>
      <c r="U1119" s="12"/>
      <c r="V1119" s="12"/>
      <c r="W1119" s="47" t="s">
        <v>47</v>
      </c>
      <c r="X1119" s="47"/>
      <c r="Y1119" s="47"/>
      <c r="Z1119" s="11" t="s">
        <v>1332</v>
      </c>
      <c r="AA1119" s="12"/>
      <c r="AB1119" s="12"/>
      <c r="AC1119" s="12">
        <v>2193</v>
      </c>
      <c r="AD1119" s="12" t="s">
        <v>51</v>
      </c>
      <c r="AE1119" s="12" t="s">
        <v>51</v>
      </c>
      <c r="AF1119" s="12" t="s">
        <v>51</v>
      </c>
      <c r="AG1119" s="12"/>
      <c r="AH1119" s="47" t="s">
        <v>52</v>
      </c>
      <c r="AI1119" s="12">
        <v>0</v>
      </c>
      <c r="AJ1119" s="12"/>
      <c r="AK1119" s="12"/>
      <c r="AL1119" s="12"/>
      <c r="AM1119" s="12"/>
      <c r="AN1119" s="47" t="s">
        <v>47</v>
      </c>
      <c r="AO1119" s="11">
        <v>3162</v>
      </c>
      <c r="AP1119" s="12" t="s">
        <v>53</v>
      </c>
      <c r="AQ1119" s="2">
        <v>0</v>
      </c>
    </row>
    <row r="1120" s="2" customFormat="1" ht="12" spans="1:43">
      <c r="A1120" s="89">
        <v>211159</v>
      </c>
      <c r="B1120" s="11" t="s">
        <v>1331</v>
      </c>
      <c r="C1120" s="11"/>
      <c r="D1120" s="11"/>
      <c r="E1120" s="11"/>
      <c r="F1120" s="11">
        <v>2</v>
      </c>
      <c r="G1120" s="11">
        <v>0</v>
      </c>
      <c r="H1120" s="11" t="s">
        <v>45</v>
      </c>
      <c r="I1120" s="11">
        <v>7</v>
      </c>
      <c r="J1120" s="11">
        <v>0</v>
      </c>
      <c r="K1120" s="11" t="s">
        <v>46</v>
      </c>
      <c r="L1120" s="47" t="s">
        <v>47</v>
      </c>
      <c r="M1120" s="11">
        <v>1010130</v>
      </c>
      <c r="N1120" s="11">
        <v>0</v>
      </c>
      <c r="O1120" s="47" t="s">
        <v>48</v>
      </c>
      <c r="P1120" s="11">
        <v>0</v>
      </c>
      <c r="Q1120" s="11"/>
      <c r="R1120" s="11"/>
      <c r="S1120" s="11">
        <v>0</v>
      </c>
      <c r="T1120" s="11">
        <v>0</v>
      </c>
      <c r="U1120" s="11"/>
      <c r="V1120" s="11"/>
      <c r="W1120" s="47" t="s">
        <v>47</v>
      </c>
      <c r="X1120" s="47"/>
      <c r="Y1120" s="47"/>
      <c r="Z1120" s="11" t="s">
        <v>1332</v>
      </c>
      <c r="AA1120" s="12"/>
      <c r="AB1120" s="11"/>
      <c r="AC1120" s="11">
        <v>2193</v>
      </c>
      <c r="AD1120" s="11" t="s">
        <v>51</v>
      </c>
      <c r="AE1120" s="11" t="s">
        <v>51</v>
      </c>
      <c r="AF1120" s="11" t="s">
        <v>51</v>
      </c>
      <c r="AG1120" s="11"/>
      <c r="AH1120" s="47" t="s">
        <v>52</v>
      </c>
      <c r="AI1120" s="11">
        <v>0</v>
      </c>
      <c r="AJ1120" s="11"/>
      <c r="AK1120" s="11"/>
      <c r="AL1120" s="11"/>
      <c r="AM1120" s="11"/>
      <c r="AN1120" s="47" t="s">
        <v>47</v>
      </c>
      <c r="AO1120" s="11">
        <v>3163</v>
      </c>
      <c r="AP1120" s="11" t="s">
        <v>53</v>
      </c>
      <c r="AQ1120" s="2">
        <v>0</v>
      </c>
    </row>
    <row r="1121" s="3" customFormat="1" ht="15.75" customHeight="1" spans="1:43">
      <c r="A1121" s="89">
        <v>211160</v>
      </c>
      <c r="B1121" s="12" t="s">
        <v>1331</v>
      </c>
      <c r="C1121" s="12"/>
      <c r="D1121" s="12"/>
      <c r="E1121" s="12"/>
      <c r="F1121" s="12">
        <v>0</v>
      </c>
      <c r="G1121" s="12">
        <v>0</v>
      </c>
      <c r="H1121" s="12" t="s">
        <v>45</v>
      </c>
      <c r="I1121" s="12">
        <v>7</v>
      </c>
      <c r="J1121" s="12">
        <v>0</v>
      </c>
      <c r="K1121" s="12" t="s">
        <v>46</v>
      </c>
      <c r="L1121" s="47" t="s">
        <v>47</v>
      </c>
      <c r="M1121" s="11">
        <v>1010130</v>
      </c>
      <c r="N1121" s="12">
        <v>0</v>
      </c>
      <c r="O1121" s="47" t="s">
        <v>48</v>
      </c>
      <c r="P1121" s="12">
        <v>0</v>
      </c>
      <c r="Q1121" s="12"/>
      <c r="R1121" s="12"/>
      <c r="S1121" s="12">
        <v>0</v>
      </c>
      <c r="T1121" s="12">
        <v>0</v>
      </c>
      <c r="U1121" s="12"/>
      <c r="V1121" s="12"/>
      <c r="W1121" s="47" t="s">
        <v>47</v>
      </c>
      <c r="X1121" s="47"/>
      <c r="Y1121" s="47"/>
      <c r="Z1121" s="11" t="s">
        <v>1332</v>
      </c>
      <c r="AA1121" s="12"/>
      <c r="AB1121" s="12"/>
      <c r="AC1121" s="12">
        <v>2193</v>
      </c>
      <c r="AD1121" s="12" t="s">
        <v>51</v>
      </c>
      <c r="AE1121" s="12" t="s">
        <v>51</v>
      </c>
      <c r="AF1121" s="12" t="s">
        <v>51</v>
      </c>
      <c r="AG1121" s="12"/>
      <c r="AH1121" s="47" t="s">
        <v>52</v>
      </c>
      <c r="AI1121" s="12">
        <v>0</v>
      </c>
      <c r="AJ1121" s="12"/>
      <c r="AK1121" s="12"/>
      <c r="AL1121" s="12"/>
      <c r="AM1121" s="12"/>
      <c r="AN1121" s="47" t="s">
        <v>47</v>
      </c>
      <c r="AO1121" s="11">
        <v>3164</v>
      </c>
      <c r="AP1121" s="12" t="s">
        <v>53</v>
      </c>
      <c r="AQ1121" s="2">
        <v>0</v>
      </c>
    </row>
    <row r="1122" s="3" customFormat="1" ht="14" customHeight="1" spans="1:43">
      <c r="A1122" s="89">
        <v>211161</v>
      </c>
      <c r="B1122" s="178" t="s">
        <v>1333</v>
      </c>
      <c r="C1122" s="12"/>
      <c r="D1122" s="12"/>
      <c r="E1122" s="12"/>
      <c r="F1122" s="12">
        <v>0</v>
      </c>
      <c r="G1122" s="12">
        <v>0</v>
      </c>
      <c r="H1122" s="11" t="s">
        <v>45</v>
      </c>
      <c r="I1122" s="12">
        <v>7</v>
      </c>
      <c r="J1122" s="12">
        <v>0</v>
      </c>
      <c r="K1122" s="12" t="s">
        <v>46</v>
      </c>
      <c r="L1122" s="47" t="s">
        <v>47</v>
      </c>
      <c r="M1122" s="71">
        <v>540017</v>
      </c>
      <c r="N1122" s="12">
        <v>0</v>
      </c>
      <c r="O1122" s="47" t="s">
        <v>48</v>
      </c>
      <c r="P1122" s="12">
        <v>0</v>
      </c>
      <c r="Q1122" s="12"/>
      <c r="R1122" s="12"/>
      <c r="S1122" s="12">
        <v>0</v>
      </c>
      <c r="T1122" s="12">
        <v>0</v>
      </c>
      <c r="U1122" s="12"/>
      <c r="V1122" s="12"/>
      <c r="W1122" s="47" t="s">
        <v>47</v>
      </c>
      <c r="X1122" s="47"/>
      <c r="Y1122" s="47"/>
      <c r="Z1122" s="184" t="s">
        <v>1334</v>
      </c>
      <c r="AA1122" s="12"/>
      <c r="AB1122" s="12"/>
      <c r="AC1122" s="12"/>
      <c r="AD1122" s="12" t="s">
        <v>51</v>
      </c>
      <c r="AE1122" s="12" t="s">
        <v>51</v>
      </c>
      <c r="AF1122" s="12" t="s">
        <v>51</v>
      </c>
      <c r="AG1122" s="12"/>
      <c r="AH1122" s="47" t="s">
        <v>52</v>
      </c>
      <c r="AI1122" s="12">
        <v>0</v>
      </c>
      <c r="AJ1122" s="12"/>
      <c r="AK1122" s="12"/>
      <c r="AL1122" s="12"/>
      <c r="AM1122" s="12"/>
      <c r="AN1122" s="47" t="s">
        <v>47</v>
      </c>
      <c r="AO1122" s="11">
        <v>3165</v>
      </c>
      <c r="AP1122" s="12" t="s">
        <v>53</v>
      </c>
      <c r="AQ1122" s="2">
        <v>0</v>
      </c>
    </row>
    <row r="1123" s="3" customFormat="1" ht="15.75" customHeight="1" spans="1:43">
      <c r="A1123" s="89">
        <v>211162</v>
      </c>
      <c r="B1123" s="178" t="s">
        <v>1335</v>
      </c>
      <c r="C1123" s="12"/>
      <c r="D1123" s="12"/>
      <c r="E1123" s="12"/>
      <c r="F1123" s="12">
        <v>0</v>
      </c>
      <c r="G1123" s="12">
        <v>0</v>
      </c>
      <c r="H1123" s="12" t="s">
        <v>45</v>
      </c>
      <c r="I1123" s="12">
        <v>7</v>
      </c>
      <c r="J1123" s="12">
        <v>0</v>
      </c>
      <c r="K1123" s="12" t="s">
        <v>46</v>
      </c>
      <c r="L1123" s="47" t="s">
        <v>47</v>
      </c>
      <c r="M1123" s="71">
        <v>540018</v>
      </c>
      <c r="N1123" s="12">
        <v>0</v>
      </c>
      <c r="O1123" s="47" t="s">
        <v>48</v>
      </c>
      <c r="P1123" s="12">
        <v>0</v>
      </c>
      <c r="Q1123" s="12"/>
      <c r="R1123" s="12"/>
      <c r="S1123" s="12">
        <v>0</v>
      </c>
      <c r="T1123" s="12">
        <v>0</v>
      </c>
      <c r="U1123" s="12"/>
      <c r="V1123" s="12"/>
      <c r="W1123" s="47" t="s">
        <v>47</v>
      </c>
      <c r="X1123" s="47"/>
      <c r="Y1123" s="47"/>
      <c r="Z1123" s="184" t="s">
        <v>1334</v>
      </c>
      <c r="AA1123" s="12"/>
      <c r="AB1123" s="12"/>
      <c r="AC1123" s="12"/>
      <c r="AD1123" s="12" t="s">
        <v>51</v>
      </c>
      <c r="AE1123" s="12" t="s">
        <v>51</v>
      </c>
      <c r="AF1123" s="12" t="s">
        <v>51</v>
      </c>
      <c r="AG1123" s="12"/>
      <c r="AH1123" s="47" t="s">
        <v>52</v>
      </c>
      <c r="AI1123" s="12">
        <v>0</v>
      </c>
      <c r="AJ1123" s="12"/>
      <c r="AK1123" s="12"/>
      <c r="AL1123" s="12"/>
      <c r="AM1123" s="12"/>
      <c r="AN1123" s="47" t="s">
        <v>47</v>
      </c>
      <c r="AO1123" s="11">
        <v>3166</v>
      </c>
      <c r="AP1123" s="12" t="s">
        <v>53</v>
      </c>
      <c r="AQ1123" s="2">
        <v>0</v>
      </c>
    </row>
    <row r="1124" s="3" customFormat="1" ht="15.75" customHeight="1" spans="1:43">
      <c r="A1124" s="89">
        <v>211163</v>
      </c>
      <c r="B1124" s="178" t="s">
        <v>1336</v>
      </c>
      <c r="C1124" s="12"/>
      <c r="D1124" s="12"/>
      <c r="E1124" s="12"/>
      <c r="F1124" s="12">
        <v>0</v>
      </c>
      <c r="G1124" s="12">
        <v>0</v>
      </c>
      <c r="H1124" s="11" t="s">
        <v>45</v>
      </c>
      <c r="I1124" s="12">
        <v>7</v>
      </c>
      <c r="J1124" s="12">
        <v>0</v>
      </c>
      <c r="K1124" s="12" t="s">
        <v>46</v>
      </c>
      <c r="L1124" s="47" t="s">
        <v>47</v>
      </c>
      <c r="M1124" s="71">
        <v>540019</v>
      </c>
      <c r="N1124" s="12">
        <v>0</v>
      </c>
      <c r="O1124" s="47" t="s">
        <v>48</v>
      </c>
      <c r="P1124" s="12">
        <v>0</v>
      </c>
      <c r="Q1124" s="12"/>
      <c r="R1124" s="12"/>
      <c r="S1124" s="12">
        <v>0</v>
      </c>
      <c r="T1124" s="12">
        <v>0</v>
      </c>
      <c r="U1124" s="12"/>
      <c r="V1124" s="12"/>
      <c r="W1124" s="47" t="s">
        <v>47</v>
      </c>
      <c r="X1124" s="47"/>
      <c r="Y1124" s="47"/>
      <c r="Z1124" s="184" t="s">
        <v>1334</v>
      </c>
      <c r="AA1124" s="12"/>
      <c r="AB1124" s="12"/>
      <c r="AC1124" s="12"/>
      <c r="AD1124" s="12" t="s">
        <v>51</v>
      </c>
      <c r="AE1124" s="12" t="s">
        <v>51</v>
      </c>
      <c r="AF1124" s="12" t="s">
        <v>51</v>
      </c>
      <c r="AG1124" s="12"/>
      <c r="AH1124" s="47" t="s">
        <v>52</v>
      </c>
      <c r="AI1124" s="12">
        <v>0</v>
      </c>
      <c r="AJ1124" s="12"/>
      <c r="AK1124" s="12"/>
      <c r="AL1124" s="12"/>
      <c r="AM1124" s="12"/>
      <c r="AN1124" s="47" t="s">
        <v>47</v>
      </c>
      <c r="AO1124" s="11">
        <v>3167</v>
      </c>
      <c r="AP1124" s="12" t="s">
        <v>53</v>
      </c>
      <c r="AQ1124" s="2">
        <v>0</v>
      </c>
    </row>
    <row r="1125" s="3" customFormat="1" ht="15.75" customHeight="1" spans="1:43">
      <c r="A1125" s="89">
        <v>211164</v>
      </c>
      <c r="B1125" s="178" t="s">
        <v>1337</v>
      </c>
      <c r="C1125" s="12"/>
      <c r="D1125" s="12"/>
      <c r="E1125" s="12"/>
      <c r="F1125" s="12">
        <v>0</v>
      </c>
      <c r="G1125" s="12">
        <v>0</v>
      </c>
      <c r="H1125" s="12" t="s">
        <v>45</v>
      </c>
      <c r="I1125" s="12">
        <v>7</v>
      </c>
      <c r="J1125" s="12">
        <v>0</v>
      </c>
      <c r="K1125" s="12" t="s">
        <v>46</v>
      </c>
      <c r="L1125" s="47" t="s">
        <v>47</v>
      </c>
      <c r="M1125" s="71">
        <v>540020</v>
      </c>
      <c r="N1125" s="12">
        <v>0</v>
      </c>
      <c r="O1125" s="47" t="s">
        <v>48</v>
      </c>
      <c r="P1125" s="12">
        <v>0</v>
      </c>
      <c r="Q1125" s="12"/>
      <c r="R1125" s="12"/>
      <c r="S1125" s="12">
        <v>0</v>
      </c>
      <c r="T1125" s="12">
        <v>0</v>
      </c>
      <c r="U1125" s="12"/>
      <c r="V1125" s="12"/>
      <c r="W1125" s="47" t="s">
        <v>47</v>
      </c>
      <c r="X1125" s="47"/>
      <c r="Y1125" s="47"/>
      <c r="Z1125" s="184" t="s">
        <v>1334</v>
      </c>
      <c r="AA1125" s="12"/>
      <c r="AB1125" s="12"/>
      <c r="AC1125" s="12"/>
      <c r="AD1125" s="12" t="s">
        <v>51</v>
      </c>
      <c r="AE1125" s="12" t="s">
        <v>51</v>
      </c>
      <c r="AF1125" s="12" t="s">
        <v>51</v>
      </c>
      <c r="AG1125" s="12"/>
      <c r="AH1125" s="47" t="s">
        <v>52</v>
      </c>
      <c r="AI1125" s="12">
        <v>0</v>
      </c>
      <c r="AJ1125" s="12"/>
      <c r="AK1125" s="12"/>
      <c r="AL1125" s="12"/>
      <c r="AM1125" s="12"/>
      <c r="AN1125" s="47" t="s">
        <v>47</v>
      </c>
      <c r="AO1125" s="11">
        <v>3168</v>
      </c>
      <c r="AP1125" s="12" t="s">
        <v>53</v>
      </c>
      <c r="AQ1125" s="2">
        <v>0</v>
      </c>
    </row>
    <row r="1126" s="3" customFormat="1" ht="15" customHeight="1" spans="1:43">
      <c r="A1126" s="89">
        <v>211165</v>
      </c>
      <c r="B1126" s="178" t="s">
        <v>1338</v>
      </c>
      <c r="C1126" s="12"/>
      <c r="D1126" s="12"/>
      <c r="E1126" s="12"/>
      <c r="F1126" s="12">
        <v>0</v>
      </c>
      <c r="G1126" s="12">
        <v>0</v>
      </c>
      <c r="H1126" s="11" t="s">
        <v>45</v>
      </c>
      <c r="I1126" s="12">
        <v>7</v>
      </c>
      <c r="J1126" s="12">
        <v>0</v>
      </c>
      <c r="K1126" s="12" t="s">
        <v>46</v>
      </c>
      <c r="L1126" s="47" t="s">
        <v>47</v>
      </c>
      <c r="M1126" s="71">
        <v>540021</v>
      </c>
      <c r="N1126" s="12">
        <v>0</v>
      </c>
      <c r="O1126" s="47" t="s">
        <v>48</v>
      </c>
      <c r="P1126" s="12">
        <v>0</v>
      </c>
      <c r="Q1126" s="12"/>
      <c r="R1126" s="12"/>
      <c r="S1126" s="12">
        <v>0</v>
      </c>
      <c r="T1126" s="12">
        <v>0</v>
      </c>
      <c r="U1126" s="12"/>
      <c r="V1126" s="12"/>
      <c r="W1126" s="47" t="s">
        <v>47</v>
      </c>
      <c r="X1126" s="47"/>
      <c r="Y1126" s="47"/>
      <c r="Z1126" s="12" t="s">
        <v>1339</v>
      </c>
      <c r="AA1126" s="12"/>
      <c r="AB1126" s="12"/>
      <c r="AC1126" s="12"/>
      <c r="AD1126" s="12" t="s">
        <v>51</v>
      </c>
      <c r="AE1126" s="12" t="s">
        <v>51</v>
      </c>
      <c r="AF1126" s="12" t="s">
        <v>51</v>
      </c>
      <c r="AG1126" s="12"/>
      <c r="AH1126" s="47" t="s">
        <v>52</v>
      </c>
      <c r="AI1126" s="12">
        <v>0</v>
      </c>
      <c r="AJ1126" s="12"/>
      <c r="AK1126" s="12"/>
      <c r="AL1126" s="12"/>
      <c r="AM1126" s="12"/>
      <c r="AN1126" s="47" t="s">
        <v>47</v>
      </c>
      <c r="AO1126" s="11">
        <v>3172</v>
      </c>
      <c r="AP1126" s="12" t="s">
        <v>53</v>
      </c>
      <c r="AQ1126" s="2">
        <v>0</v>
      </c>
    </row>
    <row r="1127" s="3" customFormat="1" ht="15.75" customHeight="1" spans="1:43">
      <c r="A1127" s="89">
        <v>211166</v>
      </c>
      <c r="B1127" s="178" t="s">
        <v>1338</v>
      </c>
      <c r="C1127" s="12"/>
      <c r="D1127" s="12"/>
      <c r="E1127" s="12"/>
      <c r="F1127" s="12">
        <v>0</v>
      </c>
      <c r="G1127" s="12">
        <v>0</v>
      </c>
      <c r="H1127" s="12" t="s">
        <v>45</v>
      </c>
      <c r="I1127" s="12">
        <v>7</v>
      </c>
      <c r="J1127" s="12">
        <v>0</v>
      </c>
      <c r="K1127" s="12" t="s">
        <v>46</v>
      </c>
      <c r="L1127" s="47" t="s">
        <v>47</v>
      </c>
      <c r="M1127" s="71">
        <v>540022</v>
      </c>
      <c r="N1127" s="12">
        <v>0</v>
      </c>
      <c r="O1127" s="47" t="s">
        <v>48</v>
      </c>
      <c r="P1127" s="12">
        <v>0</v>
      </c>
      <c r="Q1127" s="12"/>
      <c r="R1127" s="12"/>
      <c r="S1127" s="12">
        <v>0</v>
      </c>
      <c r="T1127" s="12">
        <v>0</v>
      </c>
      <c r="U1127" s="12"/>
      <c r="V1127" s="12"/>
      <c r="W1127" s="47" t="s">
        <v>47</v>
      </c>
      <c r="X1127" s="47"/>
      <c r="Y1127" s="47"/>
      <c r="Z1127" s="12" t="s">
        <v>1339</v>
      </c>
      <c r="AA1127" s="12"/>
      <c r="AB1127" s="12"/>
      <c r="AC1127" s="12"/>
      <c r="AD1127" s="12" t="s">
        <v>51</v>
      </c>
      <c r="AE1127" s="12" t="s">
        <v>51</v>
      </c>
      <c r="AF1127" s="12" t="s">
        <v>51</v>
      </c>
      <c r="AG1127" s="12"/>
      <c r="AH1127" s="47" t="s">
        <v>52</v>
      </c>
      <c r="AI1127" s="12">
        <v>0</v>
      </c>
      <c r="AJ1127" s="12"/>
      <c r="AK1127" s="12"/>
      <c r="AL1127" s="12"/>
      <c r="AM1127" s="12"/>
      <c r="AN1127" s="47" t="s">
        <v>47</v>
      </c>
      <c r="AO1127" s="11">
        <v>3173</v>
      </c>
      <c r="AP1127" s="12" t="s">
        <v>53</v>
      </c>
      <c r="AQ1127" s="2">
        <v>0</v>
      </c>
    </row>
    <row r="1128" s="3" customFormat="1" ht="15.75" customHeight="1" spans="1:43">
      <c r="A1128" s="89">
        <v>211167</v>
      </c>
      <c r="B1128" s="178" t="s">
        <v>1338</v>
      </c>
      <c r="C1128" s="12"/>
      <c r="D1128" s="12"/>
      <c r="E1128" s="12"/>
      <c r="F1128" s="12">
        <v>0</v>
      </c>
      <c r="G1128" s="12">
        <v>0</v>
      </c>
      <c r="H1128" s="11" t="s">
        <v>45</v>
      </c>
      <c r="I1128" s="12">
        <v>7</v>
      </c>
      <c r="J1128" s="12">
        <v>0</v>
      </c>
      <c r="K1128" s="12" t="s">
        <v>46</v>
      </c>
      <c r="L1128" s="47" t="s">
        <v>47</v>
      </c>
      <c r="M1128" s="71">
        <v>540023</v>
      </c>
      <c r="N1128" s="12">
        <v>0</v>
      </c>
      <c r="O1128" s="47" t="s">
        <v>48</v>
      </c>
      <c r="P1128" s="12">
        <v>0</v>
      </c>
      <c r="Q1128" s="12"/>
      <c r="R1128" s="12"/>
      <c r="S1128" s="12">
        <v>0</v>
      </c>
      <c r="T1128" s="12">
        <v>0</v>
      </c>
      <c r="U1128" s="12"/>
      <c r="V1128" s="12"/>
      <c r="W1128" s="47" t="s">
        <v>47</v>
      </c>
      <c r="X1128" s="47"/>
      <c r="Y1128" s="47"/>
      <c r="Z1128" s="12" t="s">
        <v>1339</v>
      </c>
      <c r="AA1128" s="12"/>
      <c r="AB1128" s="12"/>
      <c r="AC1128" s="12"/>
      <c r="AD1128" s="12" t="s">
        <v>51</v>
      </c>
      <c r="AE1128" s="12" t="s">
        <v>51</v>
      </c>
      <c r="AF1128" s="12" t="s">
        <v>51</v>
      </c>
      <c r="AG1128" s="12"/>
      <c r="AH1128" s="47" t="s">
        <v>52</v>
      </c>
      <c r="AI1128" s="12">
        <v>0</v>
      </c>
      <c r="AJ1128" s="12"/>
      <c r="AK1128" s="12"/>
      <c r="AL1128" s="12"/>
      <c r="AM1128" s="12"/>
      <c r="AN1128" s="47" t="s">
        <v>47</v>
      </c>
      <c r="AO1128" s="11">
        <v>3174</v>
      </c>
      <c r="AP1128" s="12" t="s">
        <v>53</v>
      </c>
      <c r="AQ1128" s="2">
        <v>0</v>
      </c>
    </row>
    <row r="1129" s="3" customFormat="1" ht="15.75" customHeight="1" spans="1:43">
      <c r="A1129" s="89">
        <v>211168</v>
      </c>
      <c r="B1129" s="178" t="s">
        <v>1338</v>
      </c>
      <c r="C1129" s="12"/>
      <c r="D1129" s="12"/>
      <c r="E1129" s="12"/>
      <c r="F1129" s="12">
        <v>0</v>
      </c>
      <c r="G1129" s="12">
        <v>0</v>
      </c>
      <c r="H1129" s="12" t="s">
        <v>45</v>
      </c>
      <c r="I1129" s="12">
        <v>7</v>
      </c>
      <c r="J1129" s="12">
        <v>0</v>
      </c>
      <c r="K1129" s="12" t="s">
        <v>46</v>
      </c>
      <c r="L1129" s="47" t="s">
        <v>47</v>
      </c>
      <c r="M1129" s="71">
        <v>540024</v>
      </c>
      <c r="N1129" s="12">
        <v>0</v>
      </c>
      <c r="O1129" s="47" t="s">
        <v>48</v>
      </c>
      <c r="P1129" s="12">
        <v>0</v>
      </c>
      <c r="Q1129" s="12"/>
      <c r="R1129" s="12"/>
      <c r="S1129" s="12">
        <v>0</v>
      </c>
      <c r="T1129" s="12">
        <v>0</v>
      </c>
      <c r="U1129" s="12"/>
      <c r="V1129" s="12"/>
      <c r="W1129" s="47" t="s">
        <v>47</v>
      </c>
      <c r="X1129" s="47"/>
      <c r="Y1129" s="47"/>
      <c r="Z1129" s="12" t="s">
        <v>1339</v>
      </c>
      <c r="AA1129" s="12"/>
      <c r="AB1129" s="12"/>
      <c r="AC1129" s="12"/>
      <c r="AD1129" s="12" t="s">
        <v>51</v>
      </c>
      <c r="AE1129" s="12" t="s">
        <v>51</v>
      </c>
      <c r="AF1129" s="12" t="s">
        <v>51</v>
      </c>
      <c r="AG1129" s="12"/>
      <c r="AH1129" s="47" t="s">
        <v>52</v>
      </c>
      <c r="AI1129" s="12">
        <v>0</v>
      </c>
      <c r="AJ1129" s="12"/>
      <c r="AK1129" s="12"/>
      <c r="AL1129" s="12"/>
      <c r="AM1129" s="12"/>
      <c r="AN1129" s="47" t="s">
        <v>47</v>
      </c>
      <c r="AO1129" s="11">
        <v>3175</v>
      </c>
      <c r="AP1129" s="12" t="s">
        <v>53</v>
      </c>
      <c r="AQ1129" s="2">
        <v>0</v>
      </c>
    </row>
    <row r="1130" s="3" customFormat="1" ht="15.75" customHeight="1" spans="1:43">
      <c r="A1130" s="89">
        <v>211169</v>
      </c>
      <c r="B1130" s="178" t="s">
        <v>1340</v>
      </c>
      <c r="C1130" s="12"/>
      <c r="D1130" s="12"/>
      <c r="E1130" s="12"/>
      <c r="F1130" s="12">
        <v>0</v>
      </c>
      <c r="G1130" s="12">
        <v>0</v>
      </c>
      <c r="H1130" s="11" t="s">
        <v>45</v>
      </c>
      <c r="I1130" s="12">
        <v>7</v>
      </c>
      <c r="J1130" s="12">
        <v>0</v>
      </c>
      <c r="K1130" s="12" t="s">
        <v>46</v>
      </c>
      <c r="L1130" s="47" t="s">
        <v>47</v>
      </c>
      <c r="M1130" s="71">
        <v>540025</v>
      </c>
      <c r="N1130" s="12">
        <v>0</v>
      </c>
      <c r="O1130" s="47" t="s">
        <v>48</v>
      </c>
      <c r="P1130" s="12">
        <v>0</v>
      </c>
      <c r="Q1130" s="12"/>
      <c r="R1130" s="12"/>
      <c r="S1130" s="12">
        <v>0</v>
      </c>
      <c r="T1130" s="12">
        <v>0</v>
      </c>
      <c r="U1130" s="12"/>
      <c r="V1130" s="12"/>
      <c r="W1130" s="47" t="s">
        <v>47</v>
      </c>
      <c r="X1130" s="47"/>
      <c r="Y1130" s="47"/>
      <c r="Z1130" s="12" t="s">
        <v>1341</v>
      </c>
      <c r="AA1130" s="12"/>
      <c r="AB1130" s="12"/>
      <c r="AC1130" s="12"/>
      <c r="AD1130" s="12" t="s">
        <v>51</v>
      </c>
      <c r="AE1130" s="12" t="s">
        <v>51</v>
      </c>
      <c r="AF1130" s="12" t="s">
        <v>51</v>
      </c>
      <c r="AG1130" s="12"/>
      <c r="AH1130" s="47" t="s">
        <v>52</v>
      </c>
      <c r="AI1130" s="12">
        <v>0</v>
      </c>
      <c r="AJ1130" s="12"/>
      <c r="AK1130" s="12"/>
      <c r="AL1130" s="12"/>
      <c r="AM1130" s="12"/>
      <c r="AN1130" s="47" t="s">
        <v>47</v>
      </c>
      <c r="AO1130" s="11">
        <v>2808</v>
      </c>
      <c r="AP1130" s="12" t="s">
        <v>53</v>
      </c>
      <c r="AQ1130" s="2">
        <v>0</v>
      </c>
    </row>
    <row r="1131" s="3" customFormat="1" ht="15.75" customHeight="1" spans="1:43">
      <c r="A1131" s="89">
        <v>211170</v>
      </c>
      <c r="B1131" s="178" t="s">
        <v>1342</v>
      </c>
      <c r="C1131" s="12"/>
      <c r="D1131" s="12"/>
      <c r="E1131" s="12"/>
      <c r="F1131" s="12">
        <v>0</v>
      </c>
      <c r="G1131" s="12">
        <v>0</v>
      </c>
      <c r="H1131" s="12" t="s">
        <v>45</v>
      </c>
      <c r="I1131" s="12">
        <v>7</v>
      </c>
      <c r="J1131" s="12">
        <v>0</v>
      </c>
      <c r="K1131" s="12" t="s">
        <v>46</v>
      </c>
      <c r="L1131" s="47" t="s">
        <v>47</v>
      </c>
      <c r="M1131" s="71">
        <v>540026</v>
      </c>
      <c r="N1131" s="12">
        <v>0</v>
      </c>
      <c r="O1131" s="47" t="s">
        <v>48</v>
      </c>
      <c r="P1131" s="12">
        <v>0</v>
      </c>
      <c r="Q1131" s="12"/>
      <c r="R1131" s="12"/>
      <c r="S1131" s="12">
        <v>0</v>
      </c>
      <c r="T1131" s="12">
        <v>0</v>
      </c>
      <c r="U1131" s="12"/>
      <c r="V1131" s="12"/>
      <c r="W1131" s="47" t="s">
        <v>47</v>
      </c>
      <c r="X1131" s="47"/>
      <c r="Y1131" s="47"/>
      <c r="Z1131" s="12" t="s">
        <v>1343</v>
      </c>
      <c r="AA1131" s="12"/>
      <c r="AB1131" s="12"/>
      <c r="AC1131" s="12"/>
      <c r="AD1131" s="12" t="s">
        <v>51</v>
      </c>
      <c r="AE1131" s="12" t="s">
        <v>51</v>
      </c>
      <c r="AF1131" s="12" t="s">
        <v>51</v>
      </c>
      <c r="AG1131" s="12"/>
      <c r="AH1131" s="47" t="s">
        <v>52</v>
      </c>
      <c r="AI1131" s="12">
        <v>0</v>
      </c>
      <c r="AJ1131" s="12"/>
      <c r="AK1131" s="12"/>
      <c r="AL1131" s="12"/>
      <c r="AM1131" s="12"/>
      <c r="AN1131" s="47" t="s">
        <v>47</v>
      </c>
      <c r="AO1131" s="11">
        <v>2809</v>
      </c>
      <c r="AP1131" s="12" t="s">
        <v>53</v>
      </c>
      <c r="AQ1131" s="2">
        <v>0</v>
      </c>
    </row>
    <row r="1132" s="3" customFormat="1" ht="15.75" customHeight="1" spans="1:43">
      <c r="A1132" s="89">
        <v>211171</v>
      </c>
      <c r="B1132" s="178" t="s">
        <v>1344</v>
      </c>
      <c r="C1132" s="12"/>
      <c r="D1132" s="12"/>
      <c r="E1132" s="12"/>
      <c r="F1132" s="12">
        <v>0</v>
      </c>
      <c r="G1132" s="12">
        <v>0</v>
      </c>
      <c r="H1132" s="11" t="s">
        <v>45</v>
      </c>
      <c r="I1132" s="12">
        <v>7</v>
      </c>
      <c r="J1132" s="12">
        <v>0</v>
      </c>
      <c r="K1132" s="12" t="s">
        <v>46</v>
      </c>
      <c r="L1132" s="47" t="s">
        <v>47</v>
      </c>
      <c r="M1132" s="71">
        <v>540027</v>
      </c>
      <c r="N1132" s="12">
        <v>0</v>
      </c>
      <c r="O1132" s="47" t="s">
        <v>48</v>
      </c>
      <c r="P1132" s="12">
        <v>0</v>
      </c>
      <c r="Q1132" s="12"/>
      <c r="R1132" s="12"/>
      <c r="S1132" s="12">
        <v>0</v>
      </c>
      <c r="T1132" s="12">
        <v>0</v>
      </c>
      <c r="U1132" s="12"/>
      <c r="V1132" s="12"/>
      <c r="W1132" s="47" t="s">
        <v>47</v>
      </c>
      <c r="X1132" s="47"/>
      <c r="Y1132" s="47"/>
      <c r="Z1132" s="12" t="s">
        <v>1343</v>
      </c>
      <c r="AA1132" s="12"/>
      <c r="AB1132" s="12"/>
      <c r="AC1132" s="12"/>
      <c r="AD1132" s="12" t="s">
        <v>51</v>
      </c>
      <c r="AE1132" s="12" t="s">
        <v>51</v>
      </c>
      <c r="AF1132" s="12" t="s">
        <v>51</v>
      </c>
      <c r="AG1132" s="12"/>
      <c r="AH1132" s="47" t="s">
        <v>52</v>
      </c>
      <c r="AI1132" s="12">
        <v>0</v>
      </c>
      <c r="AJ1132" s="12"/>
      <c r="AK1132" s="12"/>
      <c r="AL1132" s="12"/>
      <c r="AM1132" s="12"/>
      <c r="AN1132" s="47" t="s">
        <v>47</v>
      </c>
      <c r="AO1132" s="11">
        <v>2810</v>
      </c>
      <c r="AP1132" s="12" t="s">
        <v>53</v>
      </c>
      <c r="AQ1132" s="2">
        <v>0</v>
      </c>
    </row>
    <row r="1133" s="3" customFormat="1" ht="15.75" customHeight="1" spans="1:43">
      <c r="A1133" s="89">
        <v>211172</v>
      </c>
      <c r="B1133" s="178" t="s">
        <v>1345</v>
      </c>
      <c r="C1133" s="12"/>
      <c r="D1133" s="12"/>
      <c r="E1133" s="12"/>
      <c r="F1133" s="12">
        <v>0</v>
      </c>
      <c r="G1133" s="12">
        <v>0</v>
      </c>
      <c r="H1133" s="12">
        <v>1</v>
      </c>
      <c r="I1133" s="12">
        <v>7</v>
      </c>
      <c r="J1133" s="12">
        <v>0</v>
      </c>
      <c r="K1133" s="12" t="s">
        <v>46</v>
      </c>
      <c r="L1133" s="47" t="s">
        <v>47</v>
      </c>
      <c r="M1133" s="71">
        <v>540006</v>
      </c>
      <c r="N1133" s="12">
        <v>0</v>
      </c>
      <c r="O1133" s="47" t="s">
        <v>48</v>
      </c>
      <c r="P1133" s="12">
        <v>0</v>
      </c>
      <c r="Q1133" s="12"/>
      <c r="R1133" s="12"/>
      <c r="S1133" s="12">
        <v>0</v>
      </c>
      <c r="T1133" s="12">
        <v>0</v>
      </c>
      <c r="U1133" s="12"/>
      <c r="V1133" s="12"/>
      <c r="W1133" s="47" t="s">
        <v>47</v>
      </c>
      <c r="X1133" s="47"/>
      <c r="Y1133" s="47"/>
      <c r="Z1133" s="12" t="s">
        <v>1346</v>
      </c>
      <c r="AA1133" s="12" t="s">
        <v>1347</v>
      </c>
      <c r="AB1133" s="12"/>
      <c r="AC1133" s="12"/>
      <c r="AD1133" s="12" t="s">
        <v>51</v>
      </c>
      <c r="AE1133" s="12" t="s">
        <v>51</v>
      </c>
      <c r="AF1133" s="12" t="s">
        <v>51</v>
      </c>
      <c r="AG1133" s="12"/>
      <c r="AH1133" s="47" t="s">
        <v>52</v>
      </c>
      <c r="AI1133" s="12">
        <v>0</v>
      </c>
      <c r="AJ1133" s="12"/>
      <c r="AK1133" s="12"/>
      <c r="AL1133" s="12"/>
      <c r="AM1133" s="12"/>
      <c r="AN1133" s="47" t="s">
        <v>47</v>
      </c>
      <c r="AO1133" s="11">
        <v>2931</v>
      </c>
      <c r="AP1133" s="12" t="s">
        <v>53</v>
      </c>
      <c r="AQ1133" s="2">
        <v>0</v>
      </c>
    </row>
    <row r="1134" s="3" customFormat="1" ht="15.75" customHeight="1" spans="1:43">
      <c r="A1134" s="89">
        <v>211173</v>
      </c>
      <c r="B1134" s="178" t="s">
        <v>1348</v>
      </c>
      <c r="C1134" s="12"/>
      <c r="D1134" s="12"/>
      <c r="E1134" s="12"/>
      <c r="F1134" s="12">
        <v>0</v>
      </c>
      <c r="G1134" s="12">
        <v>0</v>
      </c>
      <c r="H1134" s="12">
        <v>1</v>
      </c>
      <c r="I1134" s="12">
        <v>7</v>
      </c>
      <c r="J1134" s="12">
        <v>0</v>
      </c>
      <c r="K1134" s="12" t="s">
        <v>46</v>
      </c>
      <c r="L1134" s="47" t="s">
        <v>47</v>
      </c>
      <c r="M1134" s="71">
        <v>540007</v>
      </c>
      <c r="N1134" s="12">
        <v>0</v>
      </c>
      <c r="O1134" s="47" t="s">
        <v>48</v>
      </c>
      <c r="P1134" s="12">
        <v>0</v>
      </c>
      <c r="Q1134" s="12"/>
      <c r="R1134" s="12"/>
      <c r="S1134" s="12">
        <v>0</v>
      </c>
      <c r="T1134" s="12">
        <v>0</v>
      </c>
      <c r="U1134" s="12"/>
      <c r="V1134" s="12"/>
      <c r="W1134" s="47" t="s">
        <v>47</v>
      </c>
      <c r="X1134" s="47"/>
      <c r="Y1134" s="47"/>
      <c r="Z1134" s="12" t="s">
        <v>1346</v>
      </c>
      <c r="AA1134" s="12" t="s">
        <v>1347</v>
      </c>
      <c r="AB1134" s="12"/>
      <c r="AC1134" s="12"/>
      <c r="AD1134" s="12" t="s">
        <v>51</v>
      </c>
      <c r="AE1134" s="12" t="s">
        <v>51</v>
      </c>
      <c r="AF1134" s="12" t="s">
        <v>51</v>
      </c>
      <c r="AG1134" s="12"/>
      <c r="AH1134" s="47" t="s">
        <v>52</v>
      </c>
      <c r="AI1134" s="12">
        <v>0</v>
      </c>
      <c r="AJ1134" s="12"/>
      <c r="AK1134" s="12"/>
      <c r="AL1134" s="12"/>
      <c r="AM1134" s="12"/>
      <c r="AN1134" s="47" t="s">
        <v>47</v>
      </c>
      <c r="AO1134" s="11">
        <v>2932</v>
      </c>
      <c r="AP1134" s="12" t="s">
        <v>53</v>
      </c>
      <c r="AQ1134" s="2">
        <v>0</v>
      </c>
    </row>
    <row r="1135" s="3" customFormat="1" ht="15.75" customHeight="1" spans="1:43">
      <c r="A1135" s="89">
        <v>211174</v>
      </c>
      <c r="B1135" s="178" t="s">
        <v>1349</v>
      </c>
      <c r="C1135" s="12"/>
      <c r="D1135" s="12"/>
      <c r="E1135" s="12"/>
      <c r="F1135" s="12">
        <v>0</v>
      </c>
      <c r="G1135" s="12">
        <v>0</v>
      </c>
      <c r="H1135" s="12">
        <v>1</v>
      </c>
      <c r="I1135" s="12">
        <v>7</v>
      </c>
      <c r="J1135" s="12">
        <v>0</v>
      </c>
      <c r="K1135" s="12" t="s">
        <v>46</v>
      </c>
      <c r="L1135" s="47" t="s">
        <v>47</v>
      </c>
      <c r="M1135" s="71">
        <v>540008</v>
      </c>
      <c r="N1135" s="12">
        <v>0</v>
      </c>
      <c r="O1135" s="47" t="s">
        <v>48</v>
      </c>
      <c r="P1135" s="12">
        <v>0</v>
      </c>
      <c r="Q1135" s="12"/>
      <c r="R1135" s="12"/>
      <c r="S1135" s="12">
        <v>0</v>
      </c>
      <c r="T1135" s="12">
        <v>0</v>
      </c>
      <c r="U1135" s="12"/>
      <c r="V1135" s="12"/>
      <c r="W1135" s="47" t="s">
        <v>47</v>
      </c>
      <c r="X1135" s="47"/>
      <c r="Y1135" s="47"/>
      <c r="Z1135" s="12" t="s">
        <v>1346</v>
      </c>
      <c r="AA1135" s="12" t="s">
        <v>1347</v>
      </c>
      <c r="AB1135" s="12"/>
      <c r="AC1135" s="12"/>
      <c r="AD1135" s="12" t="s">
        <v>51</v>
      </c>
      <c r="AE1135" s="12" t="s">
        <v>51</v>
      </c>
      <c r="AF1135" s="12" t="s">
        <v>51</v>
      </c>
      <c r="AG1135" s="12"/>
      <c r="AH1135" s="47" t="s">
        <v>52</v>
      </c>
      <c r="AI1135" s="12">
        <v>0</v>
      </c>
      <c r="AJ1135" s="12"/>
      <c r="AK1135" s="12"/>
      <c r="AL1135" s="12"/>
      <c r="AM1135" s="12"/>
      <c r="AN1135" s="47" t="s">
        <v>47</v>
      </c>
      <c r="AO1135" s="11">
        <v>2933</v>
      </c>
      <c r="AP1135" s="12" t="s">
        <v>53</v>
      </c>
      <c r="AQ1135" s="2">
        <v>0</v>
      </c>
    </row>
    <row r="1136" s="3" customFormat="1" ht="15.75" customHeight="1" spans="1:43">
      <c r="A1136" s="89">
        <v>211175</v>
      </c>
      <c r="B1136" s="178" t="s">
        <v>1350</v>
      </c>
      <c r="C1136" s="12"/>
      <c r="D1136" s="12"/>
      <c r="E1136" s="12"/>
      <c r="F1136" s="12">
        <v>0</v>
      </c>
      <c r="G1136" s="12">
        <v>0</v>
      </c>
      <c r="H1136" s="12">
        <v>1</v>
      </c>
      <c r="I1136" s="12">
        <v>7</v>
      </c>
      <c r="J1136" s="12">
        <v>0</v>
      </c>
      <c r="K1136" s="12" t="s">
        <v>46</v>
      </c>
      <c r="L1136" s="47" t="s">
        <v>47</v>
      </c>
      <c r="M1136" s="71">
        <v>540009</v>
      </c>
      <c r="N1136" s="12">
        <v>0</v>
      </c>
      <c r="O1136" s="47" t="s">
        <v>48</v>
      </c>
      <c r="P1136" s="12">
        <v>0</v>
      </c>
      <c r="Q1136" s="12"/>
      <c r="R1136" s="12"/>
      <c r="S1136" s="12">
        <v>0</v>
      </c>
      <c r="T1136" s="12">
        <v>0</v>
      </c>
      <c r="U1136" s="12"/>
      <c r="V1136" s="12"/>
      <c r="W1136" s="47" t="s">
        <v>47</v>
      </c>
      <c r="X1136" s="47"/>
      <c r="Y1136" s="47"/>
      <c r="Z1136" s="12" t="s">
        <v>1346</v>
      </c>
      <c r="AA1136" s="12" t="s">
        <v>1347</v>
      </c>
      <c r="AB1136" s="12"/>
      <c r="AC1136" s="12"/>
      <c r="AD1136" s="12" t="s">
        <v>51</v>
      </c>
      <c r="AE1136" s="12" t="s">
        <v>51</v>
      </c>
      <c r="AF1136" s="12" t="s">
        <v>51</v>
      </c>
      <c r="AG1136" s="12"/>
      <c r="AH1136" s="47" t="s">
        <v>52</v>
      </c>
      <c r="AI1136" s="12">
        <v>0</v>
      </c>
      <c r="AJ1136" s="12"/>
      <c r="AK1136" s="12"/>
      <c r="AL1136" s="12"/>
      <c r="AM1136" s="12"/>
      <c r="AN1136" s="47" t="s">
        <v>47</v>
      </c>
      <c r="AO1136" s="11">
        <v>2934</v>
      </c>
      <c r="AP1136" s="12" t="s">
        <v>53</v>
      </c>
      <c r="AQ1136" s="2">
        <v>0</v>
      </c>
    </row>
    <row r="1137" s="3" customFormat="1" ht="15.75" customHeight="1" spans="1:43">
      <c r="A1137" s="89">
        <v>211176</v>
      </c>
      <c r="B1137" s="178" t="s">
        <v>1351</v>
      </c>
      <c r="C1137" s="12"/>
      <c r="D1137" s="12"/>
      <c r="E1137" s="12"/>
      <c r="F1137" s="12">
        <v>0</v>
      </c>
      <c r="G1137" s="12">
        <v>0</v>
      </c>
      <c r="H1137" s="12">
        <v>1</v>
      </c>
      <c r="I1137" s="12">
        <v>7</v>
      </c>
      <c r="J1137" s="12">
        <v>0</v>
      </c>
      <c r="K1137" s="12" t="s">
        <v>46</v>
      </c>
      <c r="L1137" s="47" t="s">
        <v>47</v>
      </c>
      <c r="M1137" s="71">
        <v>540010</v>
      </c>
      <c r="N1137" s="12">
        <v>0</v>
      </c>
      <c r="O1137" s="47" t="s">
        <v>48</v>
      </c>
      <c r="P1137" s="12">
        <v>0</v>
      </c>
      <c r="Q1137" s="12"/>
      <c r="R1137" s="12"/>
      <c r="S1137" s="12">
        <v>0</v>
      </c>
      <c r="T1137" s="12">
        <v>0</v>
      </c>
      <c r="U1137" s="12"/>
      <c r="V1137" s="12"/>
      <c r="W1137" s="47" t="s">
        <v>47</v>
      </c>
      <c r="X1137" s="47"/>
      <c r="Y1137" s="47"/>
      <c r="Z1137" s="12" t="s">
        <v>1346</v>
      </c>
      <c r="AA1137" s="12" t="s">
        <v>1347</v>
      </c>
      <c r="AB1137" s="12"/>
      <c r="AC1137" s="12"/>
      <c r="AD1137" s="12" t="s">
        <v>51</v>
      </c>
      <c r="AE1137" s="12" t="s">
        <v>51</v>
      </c>
      <c r="AF1137" s="12" t="s">
        <v>51</v>
      </c>
      <c r="AG1137" s="12"/>
      <c r="AH1137" s="47" t="s">
        <v>52</v>
      </c>
      <c r="AI1137" s="12">
        <v>0</v>
      </c>
      <c r="AJ1137" s="12"/>
      <c r="AK1137" s="12"/>
      <c r="AL1137" s="12"/>
      <c r="AM1137" s="12"/>
      <c r="AN1137" s="47" t="s">
        <v>47</v>
      </c>
      <c r="AO1137" s="11">
        <v>2935</v>
      </c>
      <c r="AP1137" s="12" t="s">
        <v>53</v>
      </c>
      <c r="AQ1137" s="2">
        <v>0</v>
      </c>
    </row>
    <row r="1138" s="3" customFormat="1" ht="15.75" customHeight="1" spans="1:43">
      <c r="A1138" s="89">
        <v>211177</v>
      </c>
      <c r="B1138" s="178" t="s">
        <v>1351</v>
      </c>
      <c r="C1138" s="12"/>
      <c r="D1138" s="12"/>
      <c r="E1138" s="12"/>
      <c r="F1138" s="12">
        <v>0</v>
      </c>
      <c r="G1138" s="12">
        <v>0</v>
      </c>
      <c r="H1138" s="12">
        <v>1</v>
      </c>
      <c r="I1138" s="12">
        <v>7</v>
      </c>
      <c r="J1138" s="12">
        <v>0</v>
      </c>
      <c r="K1138" s="12" t="s">
        <v>46</v>
      </c>
      <c r="L1138" s="47" t="s">
        <v>47</v>
      </c>
      <c r="M1138" s="71">
        <v>540011</v>
      </c>
      <c r="N1138" s="12">
        <v>0</v>
      </c>
      <c r="O1138" s="47" t="s">
        <v>48</v>
      </c>
      <c r="P1138" s="12">
        <v>0</v>
      </c>
      <c r="Q1138" s="12"/>
      <c r="R1138" s="12"/>
      <c r="S1138" s="12">
        <v>0</v>
      </c>
      <c r="T1138" s="12">
        <v>0</v>
      </c>
      <c r="U1138" s="12"/>
      <c r="V1138" s="12"/>
      <c r="W1138" s="47" t="s">
        <v>47</v>
      </c>
      <c r="X1138" s="47"/>
      <c r="Y1138" s="47"/>
      <c r="Z1138" s="12" t="s">
        <v>1346</v>
      </c>
      <c r="AA1138" s="12" t="s">
        <v>1347</v>
      </c>
      <c r="AB1138" s="12"/>
      <c r="AC1138" s="12"/>
      <c r="AD1138" s="12" t="s">
        <v>51</v>
      </c>
      <c r="AE1138" s="12" t="s">
        <v>51</v>
      </c>
      <c r="AF1138" s="12" t="s">
        <v>51</v>
      </c>
      <c r="AG1138" s="12"/>
      <c r="AH1138" s="47" t="s">
        <v>52</v>
      </c>
      <c r="AI1138" s="12">
        <v>0</v>
      </c>
      <c r="AJ1138" s="12"/>
      <c r="AK1138" s="12"/>
      <c r="AL1138" s="12"/>
      <c r="AM1138" s="12"/>
      <c r="AN1138" s="47" t="s">
        <v>47</v>
      </c>
      <c r="AO1138" s="11">
        <v>2936</v>
      </c>
      <c r="AP1138" s="12" t="s">
        <v>53</v>
      </c>
      <c r="AQ1138" s="2">
        <v>0</v>
      </c>
    </row>
    <row r="1139" s="3" customFormat="1" ht="15.75" customHeight="1" spans="1:43">
      <c r="A1139" s="89">
        <v>211178</v>
      </c>
      <c r="B1139" s="178" t="s">
        <v>1352</v>
      </c>
      <c r="C1139" s="12"/>
      <c r="D1139" s="12"/>
      <c r="E1139" s="12"/>
      <c r="F1139" s="12">
        <v>0</v>
      </c>
      <c r="G1139" s="12">
        <v>0</v>
      </c>
      <c r="H1139" s="12">
        <v>1</v>
      </c>
      <c r="I1139" s="12">
        <v>7</v>
      </c>
      <c r="J1139" s="12">
        <v>0</v>
      </c>
      <c r="K1139" s="12" t="s">
        <v>46</v>
      </c>
      <c r="L1139" s="47" t="s">
        <v>47</v>
      </c>
      <c r="M1139" s="71">
        <v>540008</v>
      </c>
      <c r="N1139" s="12">
        <v>0</v>
      </c>
      <c r="O1139" s="47" t="s">
        <v>48</v>
      </c>
      <c r="P1139" s="12">
        <v>0</v>
      </c>
      <c r="Q1139" s="12"/>
      <c r="R1139" s="12"/>
      <c r="S1139" s="12">
        <v>0</v>
      </c>
      <c r="T1139" s="12">
        <v>0</v>
      </c>
      <c r="U1139" s="12"/>
      <c r="V1139" s="12"/>
      <c r="W1139" s="47" t="s">
        <v>47</v>
      </c>
      <c r="X1139" s="47"/>
      <c r="Y1139" s="47"/>
      <c r="Z1139" s="12" t="s">
        <v>1346</v>
      </c>
      <c r="AA1139" s="12" t="s">
        <v>1347</v>
      </c>
      <c r="AB1139" s="12"/>
      <c r="AC1139" s="12"/>
      <c r="AD1139" s="12" t="s">
        <v>51</v>
      </c>
      <c r="AE1139" s="12" t="s">
        <v>51</v>
      </c>
      <c r="AF1139" s="12" t="s">
        <v>51</v>
      </c>
      <c r="AG1139" s="12"/>
      <c r="AH1139" s="47" t="s">
        <v>52</v>
      </c>
      <c r="AI1139" s="12">
        <v>0</v>
      </c>
      <c r="AJ1139" s="12"/>
      <c r="AK1139" s="12"/>
      <c r="AL1139" s="12"/>
      <c r="AM1139" s="12"/>
      <c r="AN1139" s="47" t="s">
        <v>47</v>
      </c>
      <c r="AO1139" s="11">
        <v>2937</v>
      </c>
      <c r="AP1139" s="12" t="s">
        <v>53</v>
      </c>
      <c r="AQ1139" s="2">
        <v>0</v>
      </c>
    </row>
    <row r="1140" s="3" customFormat="1" ht="15.75" customHeight="1" spans="1:43">
      <c r="A1140" s="89">
        <v>211179</v>
      </c>
      <c r="B1140" s="178" t="s">
        <v>1352</v>
      </c>
      <c r="C1140" s="12"/>
      <c r="D1140" s="12"/>
      <c r="E1140" s="12"/>
      <c r="F1140" s="12">
        <v>0</v>
      </c>
      <c r="G1140" s="12">
        <v>0</v>
      </c>
      <c r="H1140" s="12">
        <v>1</v>
      </c>
      <c r="I1140" s="12">
        <v>7</v>
      </c>
      <c r="J1140" s="12">
        <v>0</v>
      </c>
      <c r="K1140" s="12" t="s">
        <v>46</v>
      </c>
      <c r="L1140" s="47" t="s">
        <v>47</v>
      </c>
      <c r="M1140" s="71">
        <v>540009</v>
      </c>
      <c r="N1140" s="12">
        <v>0</v>
      </c>
      <c r="O1140" s="47" t="s">
        <v>48</v>
      </c>
      <c r="P1140" s="12">
        <v>0</v>
      </c>
      <c r="Q1140" s="12"/>
      <c r="R1140" s="12"/>
      <c r="S1140" s="12">
        <v>0</v>
      </c>
      <c r="T1140" s="12">
        <v>0</v>
      </c>
      <c r="U1140" s="12"/>
      <c r="V1140" s="12"/>
      <c r="W1140" s="47" t="s">
        <v>47</v>
      </c>
      <c r="X1140" s="47"/>
      <c r="Y1140" s="47"/>
      <c r="Z1140" s="12" t="s">
        <v>1346</v>
      </c>
      <c r="AA1140" s="12" t="s">
        <v>1347</v>
      </c>
      <c r="AB1140" s="12"/>
      <c r="AC1140" s="12"/>
      <c r="AD1140" s="12" t="s">
        <v>51</v>
      </c>
      <c r="AE1140" s="12" t="s">
        <v>51</v>
      </c>
      <c r="AF1140" s="12" t="s">
        <v>51</v>
      </c>
      <c r="AG1140" s="12"/>
      <c r="AH1140" s="47" t="s">
        <v>52</v>
      </c>
      <c r="AI1140" s="12">
        <v>0</v>
      </c>
      <c r="AJ1140" s="12"/>
      <c r="AK1140" s="12"/>
      <c r="AL1140" s="12"/>
      <c r="AM1140" s="12"/>
      <c r="AN1140" s="47" t="s">
        <v>47</v>
      </c>
      <c r="AO1140" s="11">
        <v>2938</v>
      </c>
      <c r="AP1140" s="12" t="s">
        <v>53</v>
      </c>
      <c r="AQ1140" s="2">
        <v>0</v>
      </c>
    </row>
    <row r="1141" s="3" customFormat="1" ht="15.75" customHeight="1" spans="1:43">
      <c r="A1141" s="89">
        <v>211180</v>
      </c>
      <c r="B1141" s="178" t="s">
        <v>1348</v>
      </c>
      <c r="C1141" s="12"/>
      <c r="D1141" s="12"/>
      <c r="E1141" s="12"/>
      <c r="F1141" s="12">
        <v>0</v>
      </c>
      <c r="G1141" s="12">
        <v>0</v>
      </c>
      <c r="H1141" s="12">
        <v>1</v>
      </c>
      <c r="I1141" s="12">
        <v>7</v>
      </c>
      <c r="J1141" s="12">
        <v>0</v>
      </c>
      <c r="K1141" s="12" t="s">
        <v>46</v>
      </c>
      <c r="L1141" s="47" t="s">
        <v>47</v>
      </c>
      <c r="M1141" s="71">
        <v>540010</v>
      </c>
      <c r="N1141" s="12">
        <v>0</v>
      </c>
      <c r="O1141" s="47" t="s">
        <v>48</v>
      </c>
      <c r="P1141" s="12">
        <v>0</v>
      </c>
      <c r="Q1141" s="12"/>
      <c r="R1141" s="12"/>
      <c r="S1141" s="12">
        <v>0</v>
      </c>
      <c r="T1141" s="12">
        <v>0</v>
      </c>
      <c r="U1141" s="12"/>
      <c r="V1141" s="12"/>
      <c r="W1141" s="47" t="s">
        <v>47</v>
      </c>
      <c r="X1141" s="47"/>
      <c r="Y1141" s="47"/>
      <c r="Z1141" s="12" t="s">
        <v>1346</v>
      </c>
      <c r="AA1141" s="12" t="s">
        <v>1347</v>
      </c>
      <c r="AB1141" s="12"/>
      <c r="AC1141" s="12"/>
      <c r="AD1141" s="12" t="s">
        <v>51</v>
      </c>
      <c r="AE1141" s="12" t="s">
        <v>51</v>
      </c>
      <c r="AF1141" s="12" t="s">
        <v>51</v>
      </c>
      <c r="AG1141" s="12"/>
      <c r="AH1141" s="47" t="s">
        <v>52</v>
      </c>
      <c r="AI1141" s="12">
        <v>0</v>
      </c>
      <c r="AJ1141" s="12"/>
      <c r="AK1141" s="12"/>
      <c r="AL1141" s="12"/>
      <c r="AM1141" s="12"/>
      <c r="AN1141" s="47" t="s">
        <v>47</v>
      </c>
      <c r="AO1141" s="11">
        <v>2939</v>
      </c>
      <c r="AP1141" s="12" t="s">
        <v>53</v>
      </c>
      <c r="AQ1141" s="2">
        <v>0</v>
      </c>
    </row>
    <row r="1142" s="3" customFormat="1" ht="15.75" customHeight="1" spans="1:43">
      <c r="A1142" s="89">
        <v>211181</v>
      </c>
      <c r="B1142" s="178" t="s">
        <v>1345</v>
      </c>
      <c r="C1142" s="12"/>
      <c r="D1142" s="12"/>
      <c r="E1142" s="12"/>
      <c r="F1142" s="12">
        <v>0</v>
      </c>
      <c r="G1142" s="12">
        <v>0</v>
      </c>
      <c r="H1142" s="12">
        <v>1</v>
      </c>
      <c r="I1142" s="12">
        <v>7</v>
      </c>
      <c r="J1142" s="12">
        <v>0</v>
      </c>
      <c r="K1142" s="12" t="s">
        <v>46</v>
      </c>
      <c r="L1142" s="47" t="s">
        <v>47</v>
      </c>
      <c r="M1142" s="71">
        <v>540011</v>
      </c>
      <c r="N1142" s="12">
        <v>0</v>
      </c>
      <c r="O1142" s="47" t="s">
        <v>48</v>
      </c>
      <c r="P1142" s="12">
        <v>0</v>
      </c>
      <c r="Q1142" s="12"/>
      <c r="R1142" s="12"/>
      <c r="S1142" s="12">
        <v>0</v>
      </c>
      <c r="T1142" s="12">
        <v>0</v>
      </c>
      <c r="U1142" s="12"/>
      <c r="V1142" s="12"/>
      <c r="W1142" s="47" t="s">
        <v>47</v>
      </c>
      <c r="X1142" s="47"/>
      <c r="Y1142" s="47"/>
      <c r="Z1142" s="12" t="s">
        <v>1346</v>
      </c>
      <c r="AA1142" s="12" t="s">
        <v>1347</v>
      </c>
      <c r="AB1142" s="12"/>
      <c r="AC1142" s="12"/>
      <c r="AD1142" s="12" t="s">
        <v>51</v>
      </c>
      <c r="AE1142" s="12" t="s">
        <v>51</v>
      </c>
      <c r="AF1142" s="12" t="s">
        <v>51</v>
      </c>
      <c r="AG1142" s="12"/>
      <c r="AH1142" s="47" t="s">
        <v>52</v>
      </c>
      <c r="AI1142" s="12">
        <v>0</v>
      </c>
      <c r="AJ1142" s="12"/>
      <c r="AK1142" s="12"/>
      <c r="AL1142" s="12"/>
      <c r="AM1142" s="12"/>
      <c r="AN1142" s="47" t="s">
        <v>47</v>
      </c>
      <c r="AO1142" s="11">
        <v>2940</v>
      </c>
      <c r="AP1142" s="12" t="s">
        <v>53</v>
      </c>
      <c r="AQ1142" s="2">
        <v>0</v>
      </c>
    </row>
    <row r="1143" s="3" customFormat="1" ht="12" spans="1:43">
      <c r="A1143" s="12">
        <v>211201</v>
      </c>
      <c r="B1143" s="12" t="s">
        <v>345</v>
      </c>
      <c r="C1143" s="12"/>
      <c r="D1143" s="12"/>
      <c r="E1143" s="12"/>
      <c r="F1143" s="12">
        <v>0</v>
      </c>
      <c r="G1143" s="12" t="s">
        <v>47</v>
      </c>
      <c r="H1143" s="12" t="s">
        <v>45</v>
      </c>
      <c r="I1143" s="12" t="s">
        <v>45</v>
      </c>
      <c r="J1143" s="12">
        <v>0</v>
      </c>
      <c r="K1143" s="12" t="s">
        <v>46</v>
      </c>
      <c r="L1143" s="47" t="s">
        <v>47</v>
      </c>
      <c r="M1143" s="12">
        <v>1010131</v>
      </c>
      <c r="N1143" s="12">
        <v>0</v>
      </c>
      <c r="O1143" s="47" t="s">
        <v>48</v>
      </c>
      <c r="P1143" s="12">
        <v>2112</v>
      </c>
      <c r="Q1143" s="12">
        <v>1908</v>
      </c>
      <c r="R1143" s="12">
        <v>165</v>
      </c>
      <c r="S1143" s="12">
        <f t="shared" ref="S1143" si="387">FLOOR(Q1143/16,1)</f>
        <v>119</v>
      </c>
      <c r="T1143" s="12">
        <f t="shared" ref="T1143" si="388">FLOOR(R1143/16,1)</f>
        <v>10</v>
      </c>
      <c r="U1143" s="12">
        <v>5</v>
      </c>
      <c r="V1143" s="12"/>
      <c r="W1143" s="47" t="s">
        <v>47</v>
      </c>
      <c r="X1143" s="47"/>
      <c r="Y1143" s="47" t="str">
        <f t="shared" ref="Y1143" si="389">B1143</f>
        <v>元帅</v>
      </c>
      <c r="Z1143" s="12"/>
      <c r="AA1143" s="12"/>
      <c r="AB1143" s="12" t="s">
        <v>345</v>
      </c>
      <c r="AC1143" s="12">
        <v>2217</v>
      </c>
      <c r="AD1143" s="12">
        <v>2218</v>
      </c>
      <c r="AE1143" s="12">
        <v>2220</v>
      </c>
      <c r="AG1143" s="12"/>
      <c r="AH1143" s="47" t="s">
        <v>52</v>
      </c>
      <c r="AI1143" s="12">
        <v>1</v>
      </c>
      <c r="AJ1143" s="12" t="s">
        <v>223</v>
      </c>
      <c r="AK1143" s="12"/>
      <c r="AL1143" s="12" t="s">
        <v>237</v>
      </c>
      <c r="AM1143" s="12" t="s">
        <v>238</v>
      </c>
      <c r="AN1143" s="47" t="s">
        <v>47</v>
      </c>
      <c r="AO1143" s="12"/>
      <c r="AP1143" s="12" t="s">
        <v>53</v>
      </c>
      <c r="AQ1143" s="2">
        <v>0</v>
      </c>
    </row>
    <row r="1144" s="2" customFormat="1" ht="12" spans="1:43">
      <c r="A1144" s="12">
        <v>211202</v>
      </c>
      <c r="B1144" s="11" t="s">
        <v>673</v>
      </c>
      <c r="C1144" s="11"/>
      <c r="D1144" s="11"/>
      <c r="E1144" s="11"/>
      <c r="F1144" s="11">
        <v>0</v>
      </c>
      <c r="G1144" s="11" t="s">
        <v>47</v>
      </c>
      <c r="H1144" s="11" t="s">
        <v>45</v>
      </c>
      <c r="I1144" s="11" t="s">
        <v>45</v>
      </c>
      <c r="J1144" s="12">
        <v>0</v>
      </c>
      <c r="K1144" s="11" t="s">
        <v>46</v>
      </c>
      <c r="L1144" s="47" t="s">
        <v>47</v>
      </c>
      <c r="M1144" s="11">
        <v>1010148</v>
      </c>
      <c r="N1144" s="11">
        <v>0</v>
      </c>
      <c r="O1144" s="47" t="s">
        <v>48</v>
      </c>
      <c r="P1144" s="12">
        <v>2112</v>
      </c>
      <c r="Q1144" s="11">
        <v>1150</v>
      </c>
      <c r="R1144" s="11">
        <v>930</v>
      </c>
      <c r="S1144" s="12">
        <f t="shared" ref="S1144" si="390">FLOOR(Q1144/16,1)</f>
        <v>71</v>
      </c>
      <c r="T1144" s="12">
        <f t="shared" ref="T1144" si="391">FLOOR(R1144/16,1)</f>
        <v>58</v>
      </c>
      <c r="U1144" s="11">
        <v>3</v>
      </c>
      <c r="V1144" s="11"/>
      <c r="W1144" s="47" t="s">
        <v>47</v>
      </c>
      <c r="X1144" s="47"/>
      <c r="Y1144" s="47" t="str">
        <f t="shared" ref="Y1144" si="392">B1144</f>
        <v>黑岩将军</v>
      </c>
      <c r="Z1144" s="11"/>
      <c r="AA1144" s="11"/>
      <c r="AB1144" s="11" t="s">
        <v>673</v>
      </c>
      <c r="AC1144" s="11">
        <v>2141</v>
      </c>
      <c r="AD1144" s="11">
        <v>2141</v>
      </c>
      <c r="AE1144" s="11">
        <v>2141</v>
      </c>
      <c r="AF1144" s="11" t="s">
        <v>51</v>
      </c>
      <c r="AG1144" s="11"/>
      <c r="AH1144" s="47" t="s">
        <v>52</v>
      </c>
      <c r="AI1144" s="11">
        <v>1</v>
      </c>
      <c r="AJ1144" s="11" t="s">
        <v>223</v>
      </c>
      <c r="AK1144" s="11"/>
      <c r="AL1144" s="11" t="s">
        <v>237</v>
      </c>
      <c r="AM1144" s="11" t="s">
        <v>238</v>
      </c>
      <c r="AN1144" s="47" t="s">
        <v>47</v>
      </c>
      <c r="AO1144" s="11"/>
      <c r="AP1144" s="11" t="s">
        <v>53</v>
      </c>
      <c r="AQ1144" s="2">
        <v>0</v>
      </c>
    </row>
    <row r="1145" s="3" customFormat="1" ht="12" spans="1:43">
      <c r="A1145" s="12">
        <v>211203</v>
      </c>
      <c r="B1145" s="12" t="s">
        <v>674</v>
      </c>
      <c r="C1145" s="12"/>
      <c r="D1145" s="12"/>
      <c r="E1145" s="12"/>
      <c r="F1145" s="12">
        <v>3</v>
      </c>
      <c r="G1145" s="12" t="s">
        <v>47</v>
      </c>
      <c r="H1145" s="12" t="s">
        <v>45</v>
      </c>
      <c r="I1145" s="12" t="s">
        <v>45</v>
      </c>
      <c r="J1145" s="12">
        <v>0</v>
      </c>
      <c r="K1145" s="12" t="s">
        <v>46</v>
      </c>
      <c r="L1145" s="47" t="s">
        <v>47</v>
      </c>
      <c r="M1145" s="12">
        <v>1010148</v>
      </c>
      <c r="N1145" s="12">
        <v>0</v>
      </c>
      <c r="O1145" s="47" t="s">
        <v>48</v>
      </c>
      <c r="P1145" s="12">
        <v>2112</v>
      </c>
      <c r="Q1145" s="12">
        <v>165</v>
      </c>
      <c r="R1145" s="12">
        <v>1020</v>
      </c>
      <c r="S1145" s="12">
        <f t="shared" ref="S1145" si="393">FLOOR(Q1145/16,1)</f>
        <v>10</v>
      </c>
      <c r="T1145" s="12">
        <f t="shared" ref="T1145" si="394">FLOOR(R1145/16,1)</f>
        <v>63</v>
      </c>
      <c r="U1145" s="12">
        <v>3</v>
      </c>
      <c r="V1145" s="12"/>
      <c r="W1145" s="47" t="s">
        <v>47</v>
      </c>
      <c r="X1145" s="47"/>
      <c r="Y1145" s="47" t="str">
        <f t="shared" ref="Y1145:Y1150" si="395">B1145</f>
        <v>傀儡统帅</v>
      </c>
      <c r="Z1145" s="12"/>
      <c r="AA1145" s="12"/>
      <c r="AB1145" s="12" t="s">
        <v>674</v>
      </c>
      <c r="AC1145" s="12">
        <v>2141</v>
      </c>
      <c r="AD1145" s="12">
        <v>2141</v>
      </c>
      <c r="AE1145" s="12">
        <v>2141</v>
      </c>
      <c r="AF1145" s="12" t="s">
        <v>51</v>
      </c>
      <c r="AG1145" s="12"/>
      <c r="AH1145" s="47" t="s">
        <v>52</v>
      </c>
      <c r="AI1145" s="12">
        <v>1</v>
      </c>
      <c r="AJ1145" s="12" t="s">
        <v>223</v>
      </c>
      <c r="AK1145" s="12"/>
      <c r="AL1145" s="12" t="s">
        <v>237</v>
      </c>
      <c r="AM1145" s="12" t="s">
        <v>238</v>
      </c>
      <c r="AN1145" s="47" t="s">
        <v>47</v>
      </c>
      <c r="AO1145" s="12"/>
      <c r="AP1145" s="12" t="s">
        <v>53</v>
      </c>
      <c r="AQ1145" s="2">
        <v>0</v>
      </c>
    </row>
    <row r="1146" s="2" customFormat="1" ht="12" spans="1:43">
      <c r="A1146" s="12">
        <v>211204</v>
      </c>
      <c r="B1146" s="11" t="s">
        <v>413</v>
      </c>
      <c r="C1146" s="11"/>
      <c r="D1146" s="11"/>
      <c r="E1146" s="11"/>
      <c r="F1146" s="11">
        <v>0</v>
      </c>
      <c r="G1146" s="11" t="s">
        <v>47</v>
      </c>
      <c r="H1146" s="11" t="s">
        <v>45</v>
      </c>
      <c r="I1146" s="11">
        <v>1</v>
      </c>
      <c r="J1146" s="12">
        <v>0</v>
      </c>
      <c r="K1146" s="11" t="s">
        <v>46</v>
      </c>
      <c r="L1146" s="47" t="s">
        <v>47</v>
      </c>
      <c r="M1146" s="11">
        <v>1020108</v>
      </c>
      <c r="N1146" s="11">
        <v>0</v>
      </c>
      <c r="O1146" s="47" t="s">
        <v>48</v>
      </c>
      <c r="P1146" s="12">
        <v>2112</v>
      </c>
      <c r="Q1146" s="11">
        <v>1322</v>
      </c>
      <c r="R1146" s="11">
        <v>270</v>
      </c>
      <c r="S1146" s="12">
        <f t="shared" ref="S1146" si="396">FLOOR(Q1146/16,1)</f>
        <v>82</v>
      </c>
      <c r="T1146" s="12">
        <f t="shared" ref="T1146" si="397">FLOOR(R1146/16,1)</f>
        <v>16</v>
      </c>
      <c r="U1146" s="11">
        <v>3</v>
      </c>
      <c r="V1146" s="11"/>
      <c r="W1146" s="47" t="s">
        <v>47</v>
      </c>
      <c r="X1146" s="47" t="s">
        <v>259</v>
      </c>
      <c r="Y1146" s="47" t="str">
        <f t="shared" si="395"/>
        <v>鬼将</v>
      </c>
      <c r="Z1146" s="11"/>
      <c r="AA1146" s="11"/>
      <c r="AB1146" s="11" t="s">
        <v>413</v>
      </c>
      <c r="AC1146" s="11">
        <v>2084</v>
      </c>
      <c r="AD1146" s="11">
        <v>2085</v>
      </c>
      <c r="AE1146" s="11">
        <v>2086</v>
      </c>
      <c r="AF1146" s="11">
        <v>2087</v>
      </c>
      <c r="AG1146" s="11"/>
      <c r="AH1146" s="47" t="s">
        <v>52</v>
      </c>
      <c r="AI1146" s="11">
        <v>1</v>
      </c>
      <c r="AJ1146" s="11" t="s">
        <v>132</v>
      </c>
      <c r="AK1146" s="11" t="s">
        <v>133</v>
      </c>
      <c r="AL1146" s="11" t="s">
        <v>134</v>
      </c>
      <c r="AM1146" s="11" t="s">
        <v>135</v>
      </c>
      <c r="AN1146" s="47" t="s">
        <v>47</v>
      </c>
      <c r="AO1146" s="11"/>
      <c r="AP1146" s="11" t="s">
        <v>53</v>
      </c>
      <c r="AQ1146" s="2">
        <v>0</v>
      </c>
    </row>
    <row r="1147" s="3" customFormat="1" ht="12" spans="1:43">
      <c r="A1147" s="12">
        <v>211205</v>
      </c>
      <c r="B1147" s="12" t="s">
        <v>383</v>
      </c>
      <c r="C1147" s="12"/>
      <c r="D1147" s="12"/>
      <c r="E1147" s="12"/>
      <c r="F1147" s="12">
        <v>0</v>
      </c>
      <c r="G1147" s="12" t="s">
        <v>47</v>
      </c>
      <c r="H1147" s="12" t="s">
        <v>45</v>
      </c>
      <c r="I1147" s="12" t="s">
        <v>45</v>
      </c>
      <c r="J1147" s="12">
        <v>0</v>
      </c>
      <c r="K1147" s="12" t="s">
        <v>46</v>
      </c>
      <c r="L1147" s="47" t="s">
        <v>47</v>
      </c>
      <c r="M1147" s="12">
        <v>1020118</v>
      </c>
      <c r="N1147" s="12">
        <v>0</v>
      </c>
      <c r="O1147" s="47" t="s">
        <v>48</v>
      </c>
      <c r="P1147" s="12">
        <v>2112</v>
      </c>
      <c r="Q1147" s="12">
        <v>1404</v>
      </c>
      <c r="R1147" s="12">
        <v>248</v>
      </c>
      <c r="S1147" s="12">
        <f t="shared" ref="S1147" si="398">FLOOR(Q1147/16,1)</f>
        <v>87</v>
      </c>
      <c r="T1147" s="12">
        <f t="shared" ref="T1147" si="399">FLOOR(R1147/16,1)</f>
        <v>15</v>
      </c>
      <c r="U1147" s="12">
        <v>3</v>
      </c>
      <c r="V1147" s="12"/>
      <c r="W1147" s="47" t="s">
        <v>47</v>
      </c>
      <c r="X1147" s="47" t="s">
        <v>261</v>
      </c>
      <c r="Y1147" s="47" t="str">
        <f t="shared" si="395"/>
        <v>唐唐</v>
      </c>
      <c r="Z1147" s="12"/>
      <c r="AA1147" s="12"/>
      <c r="AB1147" s="12" t="s">
        <v>383</v>
      </c>
      <c r="AC1147" s="12">
        <v>2080</v>
      </c>
      <c r="AD1147" s="12">
        <v>2081</v>
      </c>
      <c r="AE1147" s="12">
        <v>2082</v>
      </c>
      <c r="AF1147" s="12">
        <v>2083</v>
      </c>
      <c r="AG1147" s="12"/>
      <c r="AH1147" s="47" t="s">
        <v>52</v>
      </c>
      <c r="AI1147" s="12">
        <v>1</v>
      </c>
      <c r="AJ1147" s="12" t="s">
        <v>262</v>
      </c>
      <c r="AK1147" s="12" t="s">
        <v>263</v>
      </c>
      <c r="AL1147" s="12" t="s">
        <v>264</v>
      </c>
      <c r="AM1147" s="12" t="s">
        <v>265</v>
      </c>
      <c r="AN1147" s="47" t="s">
        <v>47</v>
      </c>
      <c r="AO1147" s="12"/>
      <c r="AP1147" s="12" t="s">
        <v>53</v>
      </c>
      <c r="AQ1147" s="2">
        <v>0</v>
      </c>
    </row>
    <row r="1148" s="10" customFormat="1" ht="12.75" spans="1:43">
      <c r="A1148" s="63">
        <v>211301</v>
      </c>
      <c r="B1148" s="63" t="s">
        <v>242</v>
      </c>
      <c r="C1148" s="63"/>
      <c r="D1148" s="63"/>
      <c r="E1148" s="63"/>
      <c r="F1148" s="63">
        <v>0</v>
      </c>
      <c r="G1148" s="63" t="s">
        <v>47</v>
      </c>
      <c r="H1148" s="63" t="s">
        <v>45</v>
      </c>
      <c r="I1148" s="63" t="s">
        <v>45</v>
      </c>
      <c r="J1148" s="63">
        <v>0</v>
      </c>
      <c r="K1148" s="63" t="s">
        <v>46</v>
      </c>
      <c r="L1148" s="47" t="s">
        <v>47</v>
      </c>
      <c r="M1148" s="64">
        <v>1030001</v>
      </c>
      <c r="N1148" s="63">
        <v>0</v>
      </c>
      <c r="O1148" s="47" t="s">
        <v>48</v>
      </c>
      <c r="P1148" s="63">
        <v>1624</v>
      </c>
      <c r="Q1148" s="63">
        <v>856</v>
      </c>
      <c r="R1148" s="63">
        <v>733</v>
      </c>
      <c r="S1148" s="63">
        <f t="shared" ref="S1148" si="400">FLOOR(Q1148/16,1)</f>
        <v>53</v>
      </c>
      <c r="T1148" s="63">
        <f t="shared" ref="T1148:T1153" si="401">FLOOR(R1148/16,1)</f>
        <v>45</v>
      </c>
      <c r="U1148" s="63">
        <v>3</v>
      </c>
      <c r="V1148" s="63"/>
      <c r="W1148" s="47" t="s">
        <v>47</v>
      </c>
      <c r="X1148" s="47" t="s">
        <v>243</v>
      </c>
      <c r="Y1148" s="47" t="str">
        <f t="shared" si="395"/>
        <v>陈员外</v>
      </c>
      <c r="Z1148" s="63"/>
      <c r="AA1148" s="63"/>
      <c r="AB1148" s="63" t="s">
        <v>242</v>
      </c>
      <c r="AC1148" s="63">
        <v>2048</v>
      </c>
      <c r="AD1148" s="63">
        <v>2049</v>
      </c>
      <c r="AE1148" s="63">
        <v>2050</v>
      </c>
      <c r="AF1148" s="63">
        <v>2051</v>
      </c>
      <c r="AG1148" s="63"/>
      <c r="AH1148" s="47" t="s">
        <v>52</v>
      </c>
      <c r="AI1148" s="63">
        <v>1</v>
      </c>
      <c r="AJ1148" s="63"/>
      <c r="AK1148" s="63"/>
      <c r="AL1148" s="63"/>
      <c r="AM1148" s="63"/>
      <c r="AN1148" s="47" t="s">
        <v>47</v>
      </c>
      <c r="AO1148" s="63"/>
      <c r="AP1148" s="63" t="s">
        <v>53</v>
      </c>
      <c r="AQ1148" s="2">
        <v>0</v>
      </c>
    </row>
    <row r="1149" s="10" customFormat="1" ht="12" spans="1:43">
      <c r="A1149" s="63">
        <v>211302</v>
      </c>
      <c r="B1149" s="63" t="s">
        <v>371</v>
      </c>
      <c r="C1149" s="63"/>
      <c r="D1149" s="63"/>
      <c r="E1149" s="63"/>
      <c r="F1149" s="63">
        <v>0</v>
      </c>
      <c r="G1149" s="63" t="s">
        <v>47</v>
      </c>
      <c r="H1149" s="63" t="s">
        <v>45</v>
      </c>
      <c r="I1149" s="63" t="s">
        <v>45</v>
      </c>
      <c r="J1149" s="63">
        <v>0</v>
      </c>
      <c r="K1149" s="63" t="s">
        <v>46</v>
      </c>
      <c r="L1149" s="47" t="s">
        <v>47</v>
      </c>
      <c r="M1149" s="63">
        <v>1010112</v>
      </c>
      <c r="N1149" s="63">
        <v>0</v>
      </c>
      <c r="O1149" s="47" t="s">
        <v>48</v>
      </c>
      <c r="P1149" s="63">
        <v>1624</v>
      </c>
      <c r="Q1149" s="63">
        <v>1074</v>
      </c>
      <c r="R1149" s="63">
        <v>662</v>
      </c>
      <c r="S1149" s="63">
        <f t="shared" ref="S1149:S1153" si="402">FLOOR(Q1149/16,1)</f>
        <v>67</v>
      </c>
      <c r="T1149" s="63">
        <f t="shared" si="401"/>
        <v>41</v>
      </c>
      <c r="U1149" s="63">
        <v>3</v>
      </c>
      <c r="V1149" s="63"/>
      <c r="W1149" s="47" t="s">
        <v>47</v>
      </c>
      <c r="X1149" s="47" t="s">
        <v>372</v>
      </c>
      <c r="Y1149" s="47" t="str">
        <f t="shared" si="395"/>
        <v>野猪</v>
      </c>
      <c r="Z1149" s="63"/>
      <c r="AA1149" s="63"/>
      <c r="AB1149" s="63" t="s">
        <v>373</v>
      </c>
      <c r="AC1149" s="63">
        <v>2382</v>
      </c>
      <c r="AD1149" s="63" t="s">
        <v>51</v>
      </c>
      <c r="AE1149" s="63" t="s">
        <v>51</v>
      </c>
      <c r="AF1149" s="63" t="s">
        <v>51</v>
      </c>
      <c r="AG1149" s="63"/>
      <c r="AH1149" s="47" t="s">
        <v>52</v>
      </c>
      <c r="AI1149" s="63">
        <v>1</v>
      </c>
      <c r="AJ1149" s="63"/>
      <c r="AK1149" s="63"/>
      <c r="AL1149" s="63"/>
      <c r="AM1149" s="63"/>
      <c r="AN1149" s="47" t="s">
        <v>47</v>
      </c>
      <c r="AO1149" s="63"/>
      <c r="AP1149" s="63" t="s">
        <v>53</v>
      </c>
      <c r="AQ1149" s="2">
        <v>0</v>
      </c>
    </row>
    <row r="1150" s="10" customFormat="1" ht="12" spans="1:43">
      <c r="A1150" s="63">
        <v>211303</v>
      </c>
      <c r="B1150" s="63" t="s">
        <v>575</v>
      </c>
      <c r="C1150" s="63"/>
      <c r="D1150" s="63"/>
      <c r="E1150" s="63"/>
      <c r="F1150" s="63">
        <v>0</v>
      </c>
      <c r="G1150" s="63" t="s">
        <v>47</v>
      </c>
      <c r="H1150" s="63" t="s">
        <v>45</v>
      </c>
      <c r="I1150" s="63" t="s">
        <v>45</v>
      </c>
      <c r="J1150" s="63">
        <v>0</v>
      </c>
      <c r="K1150" s="63" t="s">
        <v>46</v>
      </c>
      <c r="L1150" s="47" t="s">
        <v>47</v>
      </c>
      <c r="M1150" s="63">
        <v>1010160</v>
      </c>
      <c r="N1150" s="63">
        <v>0</v>
      </c>
      <c r="O1150" s="47" t="s">
        <v>48</v>
      </c>
      <c r="P1150" s="63">
        <v>1624</v>
      </c>
      <c r="Q1150" s="63">
        <v>570</v>
      </c>
      <c r="R1150" s="63">
        <v>1166</v>
      </c>
      <c r="S1150" s="63">
        <f t="shared" si="402"/>
        <v>35</v>
      </c>
      <c r="T1150" s="63">
        <f t="shared" si="401"/>
        <v>72</v>
      </c>
      <c r="U1150" s="63">
        <v>3</v>
      </c>
      <c r="V1150" s="63"/>
      <c r="W1150" s="47" t="s">
        <v>47</v>
      </c>
      <c r="X1150" s="47" t="s">
        <v>576</v>
      </c>
      <c r="Y1150" s="47" t="str">
        <f t="shared" si="395"/>
        <v>鳄鱼</v>
      </c>
      <c r="Z1150" s="63"/>
      <c r="AA1150" s="63"/>
      <c r="AB1150" s="63" t="s">
        <v>575</v>
      </c>
      <c r="AC1150" s="63">
        <v>2382</v>
      </c>
      <c r="AD1150" s="63" t="s">
        <v>51</v>
      </c>
      <c r="AE1150" s="63" t="s">
        <v>51</v>
      </c>
      <c r="AF1150" s="63" t="s">
        <v>51</v>
      </c>
      <c r="AG1150" s="63"/>
      <c r="AH1150" s="47" t="s">
        <v>52</v>
      </c>
      <c r="AI1150" s="63">
        <v>1</v>
      </c>
      <c r="AJ1150" s="63"/>
      <c r="AK1150" s="63"/>
      <c r="AL1150" s="63"/>
      <c r="AM1150" s="63"/>
      <c r="AN1150" s="47" t="s">
        <v>47</v>
      </c>
      <c r="AO1150" s="63"/>
      <c r="AP1150" s="63" t="s">
        <v>53</v>
      </c>
      <c r="AQ1150" s="2">
        <v>0</v>
      </c>
    </row>
    <row r="1151" s="28" customFormat="1" ht="12" spans="1:43">
      <c r="A1151" s="168">
        <v>211401</v>
      </c>
      <c r="B1151" s="168" t="s">
        <v>1283</v>
      </c>
      <c r="C1151" s="168"/>
      <c r="D1151" s="168"/>
      <c r="E1151" s="168"/>
      <c r="F1151" s="168">
        <v>0</v>
      </c>
      <c r="G1151" s="168" t="s">
        <v>47</v>
      </c>
      <c r="H1151" s="168" t="s">
        <v>45</v>
      </c>
      <c r="I1151" s="168" t="s">
        <v>45</v>
      </c>
      <c r="J1151" s="168">
        <v>0</v>
      </c>
      <c r="K1151" s="168" t="s">
        <v>46</v>
      </c>
      <c r="L1151" s="168" t="s">
        <v>47</v>
      </c>
      <c r="M1151" s="168">
        <v>1000108</v>
      </c>
      <c r="N1151" s="168">
        <v>0</v>
      </c>
      <c r="O1151" s="168" t="s">
        <v>48</v>
      </c>
      <c r="P1151" s="168">
        <v>2114</v>
      </c>
      <c r="Q1151" s="168">
        <v>637</v>
      </c>
      <c r="R1151" s="168">
        <v>856</v>
      </c>
      <c r="S1151" s="168">
        <f t="shared" si="402"/>
        <v>39</v>
      </c>
      <c r="T1151" s="168">
        <f t="shared" si="401"/>
        <v>53</v>
      </c>
      <c r="U1151" s="168">
        <v>3</v>
      </c>
      <c r="V1151" s="168"/>
      <c r="W1151" s="168" t="s">
        <v>47</v>
      </c>
      <c r="X1151" s="168"/>
      <c r="Y1151" s="168" t="s">
        <v>1283</v>
      </c>
      <c r="Z1151" s="168" t="s">
        <v>1284</v>
      </c>
      <c r="AA1151" s="168"/>
      <c r="AB1151" s="168" t="s">
        <v>1283</v>
      </c>
      <c r="AC1151" s="168">
        <v>2467</v>
      </c>
      <c r="AD1151" s="168"/>
      <c r="AE1151" s="168"/>
      <c r="AF1151" s="168"/>
      <c r="AG1151" s="168"/>
      <c r="AH1151" s="168" t="s">
        <v>52</v>
      </c>
      <c r="AI1151" s="168">
        <v>1</v>
      </c>
      <c r="AJ1151" s="168"/>
      <c r="AK1151" s="168"/>
      <c r="AL1151" s="168"/>
      <c r="AM1151" s="168"/>
      <c r="AN1151" s="168" t="s">
        <v>47</v>
      </c>
      <c r="AO1151" s="168"/>
      <c r="AP1151" s="168" t="s">
        <v>53</v>
      </c>
      <c r="AQ1151" s="28">
        <v>0</v>
      </c>
    </row>
    <row r="1152" s="28" customFormat="1" ht="12" spans="1:43">
      <c r="A1152" s="168">
        <v>211402</v>
      </c>
      <c r="B1152" s="168" t="s">
        <v>1353</v>
      </c>
      <c r="C1152" s="168"/>
      <c r="D1152" s="168"/>
      <c r="E1152" s="168"/>
      <c r="F1152" s="168">
        <v>0</v>
      </c>
      <c r="G1152" s="168" t="s">
        <v>47</v>
      </c>
      <c r="H1152" s="168" t="s">
        <v>45</v>
      </c>
      <c r="I1152" s="168" t="s">
        <v>45</v>
      </c>
      <c r="J1152" s="168">
        <v>0</v>
      </c>
      <c r="K1152" s="168" t="s">
        <v>46</v>
      </c>
      <c r="L1152" s="168" t="s">
        <v>47</v>
      </c>
      <c r="M1152" s="168">
        <v>1010142</v>
      </c>
      <c r="N1152" s="168">
        <v>0</v>
      </c>
      <c r="O1152" s="168" t="s">
        <v>48</v>
      </c>
      <c r="P1152" s="168">
        <v>2114</v>
      </c>
      <c r="Q1152" s="168">
        <v>1490</v>
      </c>
      <c r="R1152" s="168">
        <v>869</v>
      </c>
      <c r="S1152" s="168">
        <f t="shared" si="402"/>
        <v>93</v>
      </c>
      <c r="T1152" s="168">
        <f t="shared" si="401"/>
        <v>54</v>
      </c>
      <c r="U1152" s="168">
        <v>5</v>
      </c>
      <c r="V1152" s="168"/>
      <c r="W1152" s="168" t="s">
        <v>47</v>
      </c>
      <c r="X1152" s="168"/>
      <c r="Y1152" s="168" t="s">
        <v>1353</v>
      </c>
      <c r="Z1152" s="168"/>
      <c r="AA1152" s="168"/>
      <c r="AB1152" s="168" t="s">
        <v>1353</v>
      </c>
      <c r="AC1152" s="168">
        <v>2782</v>
      </c>
      <c r="AD1152" s="168"/>
      <c r="AE1152" s="168"/>
      <c r="AF1152" s="168"/>
      <c r="AG1152" s="168"/>
      <c r="AH1152" s="168" t="s">
        <v>52</v>
      </c>
      <c r="AI1152" s="168">
        <v>1</v>
      </c>
      <c r="AJ1152" s="168"/>
      <c r="AK1152" s="168"/>
      <c r="AL1152" s="168"/>
      <c r="AM1152" s="168"/>
      <c r="AN1152" s="168" t="s">
        <v>47</v>
      </c>
      <c r="AO1152" s="168"/>
      <c r="AP1152" s="168" t="s">
        <v>53</v>
      </c>
      <c r="AQ1152" s="28">
        <v>0</v>
      </c>
    </row>
    <row r="1153" s="28" customFormat="1" ht="12" spans="1:43">
      <c r="A1153" s="168">
        <v>211403</v>
      </c>
      <c r="B1153" s="168" t="s">
        <v>1354</v>
      </c>
      <c r="C1153" s="168"/>
      <c r="D1153" s="168"/>
      <c r="E1153" s="168"/>
      <c r="F1153" s="168">
        <v>0</v>
      </c>
      <c r="G1153" s="168" t="s">
        <v>47</v>
      </c>
      <c r="H1153" s="168" t="s">
        <v>45</v>
      </c>
      <c r="I1153" s="168" t="s">
        <v>45</v>
      </c>
      <c r="J1153" s="168">
        <v>0</v>
      </c>
      <c r="K1153" s="168" t="s">
        <v>46</v>
      </c>
      <c r="L1153" s="168" t="s">
        <v>47</v>
      </c>
      <c r="M1153" s="168">
        <v>1010156</v>
      </c>
      <c r="N1153" s="168">
        <v>0</v>
      </c>
      <c r="O1153" s="168" t="s">
        <v>48</v>
      </c>
      <c r="P1153" s="168">
        <v>2114</v>
      </c>
      <c r="Q1153" s="168">
        <v>622</v>
      </c>
      <c r="R1153" s="168">
        <v>274</v>
      </c>
      <c r="S1153" s="168">
        <f t="shared" si="402"/>
        <v>38</v>
      </c>
      <c r="T1153" s="168">
        <f t="shared" si="401"/>
        <v>17</v>
      </c>
      <c r="U1153" s="168">
        <v>3</v>
      </c>
      <c r="V1153" s="168"/>
      <c r="W1153" s="168" t="s">
        <v>47</v>
      </c>
      <c r="X1153" s="168"/>
      <c r="Y1153" s="168" t="s">
        <v>1354</v>
      </c>
      <c r="Z1153" s="168"/>
      <c r="AA1153" s="168"/>
      <c r="AB1153" s="168" t="s">
        <v>1354</v>
      </c>
      <c r="AC1153" s="168">
        <v>2151</v>
      </c>
      <c r="AD1153" s="168"/>
      <c r="AE1153" s="168"/>
      <c r="AF1153" s="168"/>
      <c r="AG1153" s="168"/>
      <c r="AH1153" s="168" t="s">
        <v>52</v>
      </c>
      <c r="AI1153" s="168">
        <v>1</v>
      </c>
      <c r="AJ1153" s="168"/>
      <c r="AK1153" s="168"/>
      <c r="AL1153" s="168"/>
      <c r="AM1153" s="168"/>
      <c r="AN1153" s="168" t="s">
        <v>47</v>
      </c>
      <c r="AO1153" s="168"/>
      <c r="AP1153" s="168" t="s">
        <v>53</v>
      </c>
      <c r="AQ1153" s="28">
        <v>0</v>
      </c>
    </row>
    <row r="1154" s="2" customFormat="1" ht="12" spans="1:43">
      <c r="A1154" s="11">
        <v>211501</v>
      </c>
      <c r="B1154" s="11" t="s">
        <v>1279</v>
      </c>
      <c r="C1154" s="11"/>
      <c r="D1154" s="11"/>
      <c r="E1154" s="11"/>
      <c r="F1154" s="11">
        <v>0</v>
      </c>
      <c r="G1154" s="11" t="s">
        <v>47</v>
      </c>
      <c r="H1154" s="11" t="s">
        <v>45</v>
      </c>
      <c r="I1154" s="11" t="s">
        <v>45</v>
      </c>
      <c r="J1154" s="11">
        <v>0</v>
      </c>
      <c r="K1154" s="11" t="s">
        <v>46</v>
      </c>
      <c r="L1154" s="11" t="s">
        <v>47</v>
      </c>
      <c r="M1154" s="11">
        <v>1010139</v>
      </c>
      <c r="N1154" s="11">
        <v>0</v>
      </c>
      <c r="O1154" s="11" t="s">
        <v>48</v>
      </c>
      <c r="P1154" s="11">
        <v>2115</v>
      </c>
      <c r="Q1154" s="11">
        <v>694</v>
      </c>
      <c r="R1154" s="11">
        <v>776</v>
      </c>
      <c r="S1154" s="11">
        <f t="shared" ref="S1154:S1156" si="403">FLOOR(Q1154/16,1)</f>
        <v>43</v>
      </c>
      <c r="T1154" s="11">
        <f t="shared" ref="T1154:T1156" si="404">FLOOR(R1154/16,1)</f>
        <v>48</v>
      </c>
      <c r="U1154" s="11">
        <v>3</v>
      </c>
      <c r="V1154" s="11"/>
      <c r="W1154" s="11" t="s">
        <v>47</v>
      </c>
      <c r="X1154" s="11"/>
      <c r="Y1154" s="11" t="s">
        <v>1279</v>
      </c>
      <c r="Z1154" s="11"/>
      <c r="AA1154" s="11"/>
      <c r="AB1154" s="11" t="s">
        <v>1279</v>
      </c>
      <c r="AC1154" s="11">
        <v>2141</v>
      </c>
      <c r="AD1154" s="11"/>
      <c r="AE1154" s="11"/>
      <c r="AF1154" s="11"/>
      <c r="AG1154" s="11"/>
      <c r="AH1154" s="11" t="s">
        <v>52</v>
      </c>
      <c r="AI1154" s="11">
        <v>1</v>
      </c>
      <c r="AJ1154" s="11"/>
      <c r="AK1154" s="11"/>
      <c r="AL1154" s="11"/>
      <c r="AM1154" s="11"/>
      <c r="AN1154" s="11" t="s">
        <v>47</v>
      </c>
      <c r="AO1154" s="11"/>
      <c r="AP1154" s="11" t="s">
        <v>53</v>
      </c>
      <c r="AQ1154" s="2">
        <v>0</v>
      </c>
    </row>
    <row r="1155" s="2" customFormat="1" ht="12" spans="1:43">
      <c r="A1155" s="11">
        <v>211502</v>
      </c>
      <c r="B1155" s="11" t="s">
        <v>1279</v>
      </c>
      <c r="C1155" s="11"/>
      <c r="D1155" s="11"/>
      <c r="E1155" s="11"/>
      <c r="F1155" s="11">
        <v>0</v>
      </c>
      <c r="G1155" s="11" t="s">
        <v>47</v>
      </c>
      <c r="H1155" s="11" t="s">
        <v>45</v>
      </c>
      <c r="I1155" s="11" t="s">
        <v>45</v>
      </c>
      <c r="J1155" s="11">
        <v>0</v>
      </c>
      <c r="K1155" s="11" t="s">
        <v>46</v>
      </c>
      <c r="L1155" s="11" t="s">
        <v>47</v>
      </c>
      <c r="M1155" s="11">
        <v>1010139</v>
      </c>
      <c r="N1155" s="11">
        <v>0</v>
      </c>
      <c r="O1155" s="11" t="s">
        <v>48</v>
      </c>
      <c r="P1155" s="11">
        <v>2115</v>
      </c>
      <c r="Q1155" s="11">
        <v>848</v>
      </c>
      <c r="R1155" s="11">
        <v>686</v>
      </c>
      <c r="S1155" s="11">
        <f t="shared" si="403"/>
        <v>53</v>
      </c>
      <c r="T1155" s="11">
        <f t="shared" si="404"/>
        <v>42</v>
      </c>
      <c r="U1155" s="11">
        <v>3</v>
      </c>
      <c r="V1155" s="11"/>
      <c r="W1155" s="11" t="s">
        <v>47</v>
      </c>
      <c r="X1155" s="11"/>
      <c r="Y1155" s="11" t="s">
        <v>1279</v>
      </c>
      <c r="Z1155" s="11"/>
      <c r="AA1155" s="11"/>
      <c r="AB1155" s="11" t="s">
        <v>1279</v>
      </c>
      <c r="AC1155" s="11">
        <v>2141</v>
      </c>
      <c r="AD1155" s="11"/>
      <c r="AE1155" s="11"/>
      <c r="AF1155" s="11"/>
      <c r="AG1155" s="11"/>
      <c r="AH1155" s="11" t="s">
        <v>52</v>
      </c>
      <c r="AI1155" s="11">
        <v>1</v>
      </c>
      <c r="AJ1155" s="11"/>
      <c r="AK1155" s="11"/>
      <c r="AL1155" s="11"/>
      <c r="AM1155" s="11"/>
      <c r="AN1155" s="11" t="s">
        <v>47</v>
      </c>
      <c r="AO1155" s="11"/>
      <c r="AP1155" s="11" t="s">
        <v>53</v>
      </c>
      <c r="AQ1155" s="2">
        <v>0</v>
      </c>
    </row>
    <row r="1156" s="2" customFormat="1" ht="12" spans="1:43">
      <c r="A1156" s="11">
        <v>211503</v>
      </c>
      <c r="B1156" s="11" t="s">
        <v>1355</v>
      </c>
      <c r="C1156" s="11"/>
      <c r="D1156" s="11"/>
      <c r="E1156" s="11"/>
      <c r="F1156" s="11">
        <v>0</v>
      </c>
      <c r="G1156" s="11" t="s">
        <v>47</v>
      </c>
      <c r="H1156" s="11" t="s">
        <v>45</v>
      </c>
      <c r="I1156" s="11" t="s">
        <v>45</v>
      </c>
      <c r="J1156" s="11">
        <v>0</v>
      </c>
      <c r="K1156" s="11" t="s">
        <v>46</v>
      </c>
      <c r="L1156" s="11" t="s">
        <v>47</v>
      </c>
      <c r="M1156" s="11">
        <v>1010152</v>
      </c>
      <c r="N1156" s="11">
        <v>0</v>
      </c>
      <c r="O1156" s="11" t="s">
        <v>48</v>
      </c>
      <c r="P1156" s="11">
        <v>2115</v>
      </c>
      <c r="Q1156" s="11">
        <v>612</v>
      </c>
      <c r="R1156" s="11">
        <v>567</v>
      </c>
      <c r="S1156" s="11">
        <f t="shared" si="403"/>
        <v>38</v>
      </c>
      <c r="T1156" s="11">
        <f t="shared" si="404"/>
        <v>35</v>
      </c>
      <c r="U1156" s="11">
        <v>3</v>
      </c>
      <c r="V1156" s="11"/>
      <c r="W1156" s="11" t="s">
        <v>47</v>
      </c>
      <c r="X1156" s="11"/>
      <c r="Y1156" s="11" t="s">
        <v>1355</v>
      </c>
      <c r="Z1156" s="11" t="s">
        <v>1281</v>
      </c>
      <c r="AA1156" s="11"/>
      <c r="AB1156" s="11" t="s">
        <v>1355</v>
      </c>
      <c r="AC1156" s="11">
        <v>2141</v>
      </c>
      <c r="AD1156" s="11"/>
      <c r="AE1156" s="11"/>
      <c r="AF1156" s="11"/>
      <c r="AG1156" s="11"/>
      <c r="AH1156" s="11" t="s">
        <v>52</v>
      </c>
      <c r="AI1156" s="11">
        <v>1</v>
      </c>
      <c r="AJ1156" s="11"/>
      <c r="AK1156" s="11"/>
      <c r="AL1156" s="11"/>
      <c r="AM1156" s="11"/>
      <c r="AN1156" s="11" t="s">
        <v>47</v>
      </c>
      <c r="AO1156" s="11"/>
      <c r="AP1156" s="11" t="s">
        <v>53</v>
      </c>
      <c r="AQ1156" s="2">
        <v>0</v>
      </c>
    </row>
    <row r="1157" s="2" customFormat="1" ht="12" spans="1:43">
      <c r="A1157" s="11">
        <v>211504</v>
      </c>
      <c r="B1157" s="11" t="s">
        <v>1280</v>
      </c>
      <c r="C1157" s="11"/>
      <c r="D1157" s="11"/>
      <c r="E1157" s="11"/>
      <c r="F1157" s="11">
        <v>1</v>
      </c>
      <c r="G1157" s="11">
        <v>1</v>
      </c>
      <c r="H1157" s="11" t="s">
        <v>45</v>
      </c>
      <c r="I1157" s="11" t="s">
        <v>45</v>
      </c>
      <c r="J1157" s="11">
        <v>0</v>
      </c>
      <c r="K1157" s="11" t="s">
        <v>46</v>
      </c>
      <c r="L1157" s="11" t="s">
        <v>47</v>
      </c>
      <c r="M1157" s="11">
        <v>1010152</v>
      </c>
      <c r="N1157" s="11">
        <v>0</v>
      </c>
      <c r="O1157" s="11" t="s">
        <v>48</v>
      </c>
      <c r="P1157" s="11">
        <v>2115</v>
      </c>
      <c r="Q1157" s="11">
        <v>506</v>
      </c>
      <c r="R1157" s="11">
        <v>457</v>
      </c>
      <c r="S1157" s="11">
        <f t="shared" ref="S1157:S1159" si="405">FLOOR(Q1157/16,1)</f>
        <v>31</v>
      </c>
      <c r="T1157" s="11">
        <f t="shared" ref="T1157:T1159" si="406">FLOOR(R1157/16,1)</f>
        <v>28</v>
      </c>
      <c r="U1157" s="11">
        <v>3</v>
      </c>
      <c r="V1157" s="11"/>
      <c r="W1157" s="11" t="s">
        <v>47</v>
      </c>
      <c r="X1157" s="11"/>
      <c r="Y1157" s="11" t="s">
        <v>1280</v>
      </c>
      <c r="Z1157" s="11" t="s">
        <v>1281</v>
      </c>
      <c r="AA1157" s="11"/>
      <c r="AB1157" s="11" t="s">
        <v>1280</v>
      </c>
      <c r="AC1157" s="11">
        <v>2141</v>
      </c>
      <c r="AD1157" s="11"/>
      <c r="AE1157" s="11"/>
      <c r="AF1157" s="11"/>
      <c r="AG1157" s="11"/>
      <c r="AH1157" s="11" t="s">
        <v>52</v>
      </c>
      <c r="AI1157" s="11">
        <v>1</v>
      </c>
      <c r="AJ1157" s="11"/>
      <c r="AK1157" s="11"/>
      <c r="AL1157" s="11"/>
      <c r="AM1157" s="11"/>
      <c r="AN1157" s="11" t="s">
        <v>47</v>
      </c>
      <c r="AO1157" s="11"/>
      <c r="AP1157" s="11" t="s">
        <v>53</v>
      </c>
      <c r="AQ1157" s="2">
        <v>0</v>
      </c>
    </row>
    <row r="1158" s="2" customFormat="1" ht="12" spans="1:43">
      <c r="A1158" s="11">
        <v>211505</v>
      </c>
      <c r="B1158" s="11" t="s">
        <v>1282</v>
      </c>
      <c r="C1158" s="11"/>
      <c r="D1158" s="11"/>
      <c r="E1158" s="11"/>
      <c r="F1158" s="11">
        <v>2</v>
      </c>
      <c r="G1158" s="11">
        <v>2</v>
      </c>
      <c r="H1158" s="11" t="s">
        <v>45</v>
      </c>
      <c r="I1158" s="11" t="s">
        <v>45</v>
      </c>
      <c r="J1158" s="11">
        <v>0</v>
      </c>
      <c r="K1158" s="11" t="s">
        <v>46</v>
      </c>
      <c r="L1158" s="11" t="s">
        <v>47</v>
      </c>
      <c r="M1158" s="11">
        <v>1010152</v>
      </c>
      <c r="N1158" s="11">
        <v>0</v>
      </c>
      <c r="O1158" s="11" t="s">
        <v>48</v>
      </c>
      <c r="P1158" s="11">
        <v>2115</v>
      </c>
      <c r="Q1158" s="11">
        <v>442</v>
      </c>
      <c r="R1158" s="11">
        <v>550</v>
      </c>
      <c r="S1158" s="11">
        <f t="shared" si="405"/>
        <v>27</v>
      </c>
      <c r="T1158" s="11">
        <f t="shared" si="406"/>
        <v>34</v>
      </c>
      <c r="U1158" s="11">
        <v>3</v>
      </c>
      <c r="V1158" s="11"/>
      <c r="W1158" s="11" t="s">
        <v>47</v>
      </c>
      <c r="X1158" s="11"/>
      <c r="Y1158" s="11" t="s">
        <v>1282</v>
      </c>
      <c r="Z1158" s="11" t="s">
        <v>1281</v>
      </c>
      <c r="AA1158" s="11"/>
      <c r="AB1158" s="11" t="s">
        <v>1282</v>
      </c>
      <c r="AC1158" s="11">
        <v>2141</v>
      </c>
      <c r="AD1158" s="11"/>
      <c r="AE1158" s="11"/>
      <c r="AF1158" s="11"/>
      <c r="AG1158" s="11"/>
      <c r="AH1158" s="11" t="s">
        <v>52</v>
      </c>
      <c r="AI1158" s="11">
        <v>1</v>
      </c>
      <c r="AJ1158" s="11"/>
      <c r="AK1158" s="11"/>
      <c r="AL1158" s="11"/>
      <c r="AM1158" s="11"/>
      <c r="AN1158" s="11" t="s">
        <v>47</v>
      </c>
      <c r="AO1158" s="11"/>
      <c r="AP1158" s="11" t="s">
        <v>53</v>
      </c>
      <c r="AQ1158" s="2">
        <v>0</v>
      </c>
    </row>
    <row r="1159" s="2" customFormat="1" ht="12" spans="1:43">
      <c r="A1159" s="11">
        <v>211506</v>
      </c>
      <c r="B1159" s="11" t="s">
        <v>216</v>
      </c>
      <c r="C1159" s="11"/>
      <c r="D1159" s="11"/>
      <c r="E1159" s="11"/>
      <c r="F1159" s="11">
        <v>0</v>
      </c>
      <c r="G1159" s="11" t="s">
        <v>47</v>
      </c>
      <c r="H1159" s="11" t="s">
        <v>45</v>
      </c>
      <c r="I1159" s="11" t="s">
        <v>45</v>
      </c>
      <c r="J1159" s="11">
        <v>0</v>
      </c>
      <c r="K1159" s="11" t="s">
        <v>46</v>
      </c>
      <c r="L1159" s="11" t="s">
        <v>47</v>
      </c>
      <c r="M1159" s="11">
        <v>1030003</v>
      </c>
      <c r="N1159" s="11">
        <v>0</v>
      </c>
      <c r="O1159" s="11" t="s">
        <v>48</v>
      </c>
      <c r="P1159" s="11">
        <v>2115</v>
      </c>
      <c r="Q1159" s="11">
        <v>648</v>
      </c>
      <c r="R1159" s="11">
        <v>1239</v>
      </c>
      <c r="S1159" s="11">
        <f t="shared" si="405"/>
        <v>40</v>
      </c>
      <c r="T1159" s="11">
        <f t="shared" si="406"/>
        <v>77</v>
      </c>
      <c r="U1159" s="11">
        <v>3</v>
      </c>
      <c r="V1159" s="11"/>
      <c r="W1159" s="11" t="s">
        <v>47</v>
      </c>
      <c r="X1159" s="11"/>
      <c r="Y1159" s="11" t="s">
        <v>216</v>
      </c>
      <c r="Z1159" s="11"/>
      <c r="AA1159" s="11"/>
      <c r="AB1159" s="11" t="s">
        <v>216</v>
      </c>
      <c r="AC1159" s="11">
        <v>2123</v>
      </c>
      <c r="AD1159" s="11">
        <v>2125</v>
      </c>
      <c r="AE1159" s="11">
        <v>2126</v>
      </c>
      <c r="AF1159" s="11"/>
      <c r="AG1159" s="11"/>
      <c r="AH1159" s="11" t="s">
        <v>52</v>
      </c>
      <c r="AI1159" s="11">
        <v>1</v>
      </c>
      <c r="AJ1159" s="11"/>
      <c r="AK1159" s="11"/>
      <c r="AL1159" s="11"/>
      <c r="AM1159" s="11"/>
      <c r="AN1159" s="11" t="s">
        <v>47</v>
      </c>
      <c r="AO1159" s="11"/>
      <c r="AP1159" s="11" t="s">
        <v>53</v>
      </c>
      <c r="AQ1159" s="2">
        <v>0</v>
      </c>
    </row>
    <row r="1160" s="2" customFormat="1" ht="12" spans="1:43">
      <c r="A1160" s="11">
        <v>211507</v>
      </c>
      <c r="B1160" s="11" t="s">
        <v>1356</v>
      </c>
      <c r="C1160" s="11"/>
      <c r="D1160" s="11"/>
      <c r="E1160" s="11"/>
      <c r="F1160" s="11">
        <v>0</v>
      </c>
      <c r="G1160" s="11" t="s">
        <v>47</v>
      </c>
      <c r="H1160" s="11" t="s">
        <v>45</v>
      </c>
      <c r="I1160" s="11" t="s">
        <v>45</v>
      </c>
      <c r="J1160" s="11">
        <v>0</v>
      </c>
      <c r="K1160" s="11" t="s">
        <v>46</v>
      </c>
      <c r="L1160" s="11" t="s">
        <v>47</v>
      </c>
      <c r="M1160" s="11">
        <v>1020134</v>
      </c>
      <c r="N1160" s="11">
        <v>0</v>
      </c>
      <c r="O1160" s="11" t="s">
        <v>48</v>
      </c>
      <c r="P1160" s="11">
        <v>2115</v>
      </c>
      <c r="Q1160" s="11">
        <v>664</v>
      </c>
      <c r="R1160" s="11">
        <v>1344</v>
      </c>
      <c r="S1160" s="11">
        <f t="shared" ref="S1160" si="407">FLOOR(Q1160/16,1)</f>
        <v>41</v>
      </c>
      <c r="T1160" s="11">
        <f t="shared" ref="T1160:T1163" si="408">FLOOR(R1160/16,1)</f>
        <v>84</v>
      </c>
      <c r="U1160" s="11">
        <v>3</v>
      </c>
      <c r="V1160" s="11"/>
      <c r="W1160" s="11" t="s">
        <v>47</v>
      </c>
      <c r="X1160" s="11"/>
      <c r="Y1160" s="11" t="s">
        <v>1356</v>
      </c>
      <c r="Z1160" s="11"/>
      <c r="AA1160" s="11"/>
      <c r="AB1160" s="11" t="s">
        <v>1356</v>
      </c>
      <c r="AC1160" s="11">
        <v>2141</v>
      </c>
      <c r="AD1160" s="11"/>
      <c r="AE1160" s="11"/>
      <c r="AF1160" s="11"/>
      <c r="AG1160" s="11"/>
      <c r="AH1160" s="11" t="s">
        <v>52</v>
      </c>
      <c r="AI1160" s="11">
        <v>1</v>
      </c>
      <c r="AJ1160" s="11"/>
      <c r="AK1160" s="11"/>
      <c r="AL1160" s="11"/>
      <c r="AM1160" s="11"/>
      <c r="AN1160" s="11" t="s">
        <v>47</v>
      </c>
      <c r="AO1160" s="11"/>
      <c r="AP1160" s="11" t="s">
        <v>53</v>
      </c>
      <c r="AQ1160" s="2">
        <v>0</v>
      </c>
    </row>
    <row r="1161" s="2" customFormat="1" ht="12" spans="1:43">
      <c r="A1161" s="11">
        <v>211508</v>
      </c>
      <c r="B1161" s="11" t="s">
        <v>1356</v>
      </c>
      <c r="C1161" s="11"/>
      <c r="D1161" s="11"/>
      <c r="E1161" s="11"/>
      <c r="F1161" s="11">
        <v>0</v>
      </c>
      <c r="G1161" s="11" t="s">
        <v>47</v>
      </c>
      <c r="H1161" s="11" t="s">
        <v>45</v>
      </c>
      <c r="I1161" s="11" t="s">
        <v>45</v>
      </c>
      <c r="J1161" s="11">
        <v>0</v>
      </c>
      <c r="K1161" s="11" t="s">
        <v>46</v>
      </c>
      <c r="L1161" s="11" t="s">
        <v>47</v>
      </c>
      <c r="M1161" s="11">
        <v>1020134</v>
      </c>
      <c r="N1161" s="11">
        <v>0</v>
      </c>
      <c r="O1161" s="11" t="s">
        <v>48</v>
      </c>
      <c r="P1161" s="11">
        <v>2115</v>
      </c>
      <c r="Q1161" s="11">
        <v>752</v>
      </c>
      <c r="R1161" s="11">
        <v>1214</v>
      </c>
      <c r="S1161" s="11">
        <f t="shared" ref="S1161" si="409">FLOOR(Q1161/16,1)</f>
        <v>47</v>
      </c>
      <c r="T1161" s="11">
        <f t="shared" si="408"/>
        <v>75</v>
      </c>
      <c r="U1161" s="11">
        <v>3</v>
      </c>
      <c r="V1161" s="11"/>
      <c r="W1161" s="11" t="s">
        <v>47</v>
      </c>
      <c r="X1161" s="11"/>
      <c r="Y1161" s="11" t="s">
        <v>1356</v>
      </c>
      <c r="Z1161" s="11"/>
      <c r="AA1161" s="11"/>
      <c r="AB1161" s="11" t="s">
        <v>1356</v>
      </c>
      <c r="AC1161" s="11">
        <v>2141</v>
      </c>
      <c r="AD1161" s="11"/>
      <c r="AE1161" s="11"/>
      <c r="AF1161" s="11"/>
      <c r="AG1161" s="11"/>
      <c r="AH1161" s="11" t="s">
        <v>52</v>
      </c>
      <c r="AI1161" s="11">
        <v>1</v>
      </c>
      <c r="AJ1161" s="11"/>
      <c r="AK1161" s="11"/>
      <c r="AL1161" s="11"/>
      <c r="AM1161" s="11"/>
      <c r="AN1161" s="11" t="s">
        <v>47</v>
      </c>
      <c r="AO1161" s="11"/>
      <c r="AP1161" s="11" t="s">
        <v>53</v>
      </c>
      <c r="AQ1161" s="2">
        <v>0</v>
      </c>
    </row>
    <row r="1162" s="2" customFormat="1" ht="12" spans="1:43">
      <c r="A1162" s="11">
        <v>211509</v>
      </c>
      <c r="B1162" s="11" t="s">
        <v>1283</v>
      </c>
      <c r="C1162" s="11"/>
      <c r="D1162" s="11"/>
      <c r="E1162" s="11"/>
      <c r="F1162" s="11">
        <v>0</v>
      </c>
      <c r="G1162" s="11" t="s">
        <v>47</v>
      </c>
      <c r="H1162" s="11" t="s">
        <v>45</v>
      </c>
      <c r="I1162" s="11" t="s">
        <v>45</v>
      </c>
      <c r="J1162" s="11">
        <v>0</v>
      </c>
      <c r="K1162" s="11" t="s">
        <v>46</v>
      </c>
      <c r="L1162" s="11" t="s">
        <v>47</v>
      </c>
      <c r="M1162" s="11">
        <v>1000108</v>
      </c>
      <c r="N1162" s="11">
        <v>0</v>
      </c>
      <c r="O1162" s="11" t="s">
        <v>48</v>
      </c>
      <c r="P1162" s="11">
        <v>2115</v>
      </c>
      <c r="Q1162" s="11">
        <v>926</v>
      </c>
      <c r="R1162" s="11">
        <v>1278</v>
      </c>
      <c r="S1162" s="11">
        <f t="shared" ref="S1162:S1163" si="410">FLOOR(Q1162/16,1)</f>
        <v>57</v>
      </c>
      <c r="T1162" s="11">
        <f t="shared" si="408"/>
        <v>79</v>
      </c>
      <c r="U1162" s="11">
        <v>5</v>
      </c>
      <c r="V1162" s="11"/>
      <c r="W1162" s="11" t="s">
        <v>47</v>
      </c>
      <c r="X1162" s="11"/>
      <c r="Y1162" s="11" t="s">
        <v>1283</v>
      </c>
      <c r="Z1162" s="11" t="s">
        <v>1284</v>
      </c>
      <c r="AA1162" s="11"/>
      <c r="AB1162" s="11" t="s">
        <v>1283</v>
      </c>
      <c r="AC1162" s="11">
        <v>2467</v>
      </c>
      <c r="AD1162" s="11"/>
      <c r="AE1162" s="11"/>
      <c r="AF1162" s="11"/>
      <c r="AG1162" s="11"/>
      <c r="AH1162" s="11" t="s">
        <v>52</v>
      </c>
      <c r="AI1162" s="11">
        <v>1</v>
      </c>
      <c r="AJ1162" s="11"/>
      <c r="AK1162" s="11"/>
      <c r="AL1162" s="11"/>
      <c r="AM1162" s="11"/>
      <c r="AN1162" s="11" t="s">
        <v>47</v>
      </c>
      <c r="AO1162" s="11"/>
      <c r="AP1162" s="11" t="s">
        <v>53</v>
      </c>
      <c r="AQ1162" s="2">
        <v>0</v>
      </c>
    </row>
    <row r="1163" s="2" customFormat="1" ht="12" spans="1:43">
      <c r="A1163" s="11">
        <v>211510</v>
      </c>
      <c r="B1163" s="11" t="s">
        <v>346</v>
      </c>
      <c r="C1163" s="11"/>
      <c r="D1163" s="11"/>
      <c r="E1163" s="11"/>
      <c r="F1163" s="11">
        <v>0</v>
      </c>
      <c r="G1163" s="11" t="s">
        <v>47</v>
      </c>
      <c r="H1163" s="11" t="s">
        <v>45</v>
      </c>
      <c r="I1163" s="11" t="s">
        <v>45</v>
      </c>
      <c r="J1163" s="11">
        <v>0</v>
      </c>
      <c r="K1163" s="11" t="s">
        <v>46</v>
      </c>
      <c r="L1163" s="11" t="s">
        <v>47</v>
      </c>
      <c r="M1163" s="11">
        <v>1020137</v>
      </c>
      <c r="N1163" s="11">
        <v>0</v>
      </c>
      <c r="O1163" s="11" t="s">
        <v>48</v>
      </c>
      <c r="P1163" s="11">
        <v>2115</v>
      </c>
      <c r="Q1163" s="11">
        <v>770</v>
      </c>
      <c r="R1163" s="11">
        <v>1313</v>
      </c>
      <c r="S1163" s="11">
        <f t="shared" si="410"/>
        <v>48</v>
      </c>
      <c r="T1163" s="11">
        <f t="shared" si="408"/>
        <v>82</v>
      </c>
      <c r="U1163" s="11">
        <v>3</v>
      </c>
      <c r="V1163" s="11"/>
      <c r="W1163" s="11" t="s">
        <v>47</v>
      </c>
      <c r="X1163" s="11"/>
      <c r="Y1163" s="11" t="s">
        <v>346</v>
      </c>
      <c r="Z1163" s="11"/>
      <c r="AA1163" s="11"/>
      <c r="AB1163" s="11" t="s">
        <v>346</v>
      </c>
      <c r="AC1163" s="11">
        <v>2634</v>
      </c>
      <c r="AD1163" s="11">
        <v>2635</v>
      </c>
      <c r="AE1163" s="11">
        <v>2636</v>
      </c>
      <c r="AF1163" s="11"/>
      <c r="AG1163" s="11"/>
      <c r="AH1163" s="11" t="s">
        <v>52</v>
      </c>
      <c r="AI1163" s="11">
        <v>1</v>
      </c>
      <c r="AJ1163" s="11"/>
      <c r="AK1163" s="11"/>
      <c r="AL1163" s="11"/>
      <c r="AM1163" s="11"/>
      <c r="AN1163" s="11" t="s">
        <v>47</v>
      </c>
      <c r="AO1163" s="11"/>
      <c r="AP1163" s="11" t="s">
        <v>53</v>
      </c>
      <c r="AQ1163" s="2">
        <v>0</v>
      </c>
    </row>
    <row r="1164" s="2" customFormat="1" ht="12" spans="1:43">
      <c r="A1164" s="11">
        <v>211511</v>
      </c>
      <c r="B1164" s="11" t="s">
        <v>1357</v>
      </c>
      <c r="C1164" s="11"/>
      <c r="D1164" s="11"/>
      <c r="E1164" s="11"/>
      <c r="F1164" s="11">
        <v>0</v>
      </c>
      <c r="G1164" s="11" t="s">
        <v>47</v>
      </c>
      <c r="H1164" s="11" t="s">
        <v>45</v>
      </c>
      <c r="I1164" s="11" t="s">
        <v>45</v>
      </c>
      <c r="J1164" s="11">
        <v>0</v>
      </c>
      <c r="K1164" s="11" t="s">
        <v>46</v>
      </c>
      <c r="L1164" s="11" t="s">
        <v>47</v>
      </c>
      <c r="M1164" s="11">
        <v>1010151</v>
      </c>
      <c r="N1164" s="11">
        <v>0</v>
      </c>
      <c r="O1164" s="11" t="s">
        <v>48</v>
      </c>
      <c r="P1164" s="11">
        <v>2115</v>
      </c>
      <c r="Q1164" s="11">
        <v>844</v>
      </c>
      <c r="R1164" s="11">
        <v>1228</v>
      </c>
      <c r="S1164" s="11">
        <f t="shared" ref="S1164" si="411">FLOOR(Q1164/16,1)</f>
        <v>52</v>
      </c>
      <c r="T1164" s="11">
        <f t="shared" ref="T1164:T1168" si="412">FLOOR(R1164/16,1)</f>
        <v>76</v>
      </c>
      <c r="U1164" s="11">
        <v>3</v>
      </c>
      <c r="V1164" s="11"/>
      <c r="W1164" s="11" t="s">
        <v>47</v>
      </c>
      <c r="X1164" s="11"/>
      <c r="Y1164" s="11" t="s">
        <v>1357</v>
      </c>
      <c r="Z1164" s="11"/>
      <c r="AA1164" s="11"/>
      <c r="AB1164" s="11" t="s">
        <v>1357</v>
      </c>
      <c r="AC1164" s="11">
        <v>2141</v>
      </c>
      <c r="AD1164" s="11"/>
      <c r="AE1164" s="11"/>
      <c r="AF1164" s="11"/>
      <c r="AG1164" s="11"/>
      <c r="AH1164" s="11" t="s">
        <v>52</v>
      </c>
      <c r="AI1164" s="11">
        <v>1</v>
      </c>
      <c r="AJ1164" s="11"/>
      <c r="AK1164" s="11"/>
      <c r="AL1164" s="11"/>
      <c r="AM1164" s="11"/>
      <c r="AN1164" s="11" t="s">
        <v>47</v>
      </c>
      <c r="AO1164" s="11"/>
      <c r="AP1164" s="11" t="s">
        <v>53</v>
      </c>
      <c r="AQ1164" s="2">
        <v>0</v>
      </c>
    </row>
    <row r="1165" s="2" customFormat="1" ht="12" spans="1:43">
      <c r="A1165" s="11">
        <v>211512</v>
      </c>
      <c r="B1165" s="11" t="s">
        <v>1357</v>
      </c>
      <c r="C1165" s="11"/>
      <c r="D1165" s="11"/>
      <c r="E1165" s="11"/>
      <c r="F1165" s="11">
        <v>0</v>
      </c>
      <c r="G1165" s="11" t="s">
        <v>47</v>
      </c>
      <c r="H1165" s="11" t="s">
        <v>45</v>
      </c>
      <c r="I1165" s="11" t="s">
        <v>45</v>
      </c>
      <c r="J1165" s="11">
        <v>0</v>
      </c>
      <c r="K1165" s="11" t="s">
        <v>46</v>
      </c>
      <c r="L1165" s="11" t="s">
        <v>47</v>
      </c>
      <c r="M1165" s="11">
        <v>1010151</v>
      </c>
      <c r="N1165" s="11">
        <v>0</v>
      </c>
      <c r="O1165" s="11" t="s">
        <v>48</v>
      </c>
      <c r="P1165" s="11">
        <v>2115</v>
      </c>
      <c r="Q1165" s="11">
        <v>1010</v>
      </c>
      <c r="R1165" s="11">
        <v>1220</v>
      </c>
      <c r="S1165" s="11">
        <f t="shared" ref="S1165:S1168" si="413">FLOOR(Q1165/16,1)</f>
        <v>63</v>
      </c>
      <c r="T1165" s="11">
        <f t="shared" si="412"/>
        <v>76</v>
      </c>
      <c r="U1165" s="11">
        <v>5</v>
      </c>
      <c r="V1165" s="11"/>
      <c r="W1165" s="11" t="s">
        <v>47</v>
      </c>
      <c r="X1165" s="11"/>
      <c r="Y1165" s="11" t="s">
        <v>1357</v>
      </c>
      <c r="Z1165" s="11"/>
      <c r="AA1165" s="11"/>
      <c r="AB1165" s="11" t="s">
        <v>1357</v>
      </c>
      <c r="AC1165" s="11">
        <v>2141</v>
      </c>
      <c r="AD1165" s="11"/>
      <c r="AE1165" s="11"/>
      <c r="AF1165" s="11"/>
      <c r="AG1165" s="11"/>
      <c r="AH1165" s="11" t="s">
        <v>52</v>
      </c>
      <c r="AI1165" s="11">
        <v>1</v>
      </c>
      <c r="AJ1165" s="11"/>
      <c r="AK1165" s="11"/>
      <c r="AL1165" s="11"/>
      <c r="AM1165" s="11"/>
      <c r="AN1165" s="11" t="s">
        <v>47</v>
      </c>
      <c r="AO1165" s="11"/>
      <c r="AP1165" s="11" t="s">
        <v>53</v>
      </c>
      <c r="AQ1165" s="2">
        <v>0</v>
      </c>
    </row>
    <row r="1166" s="2" customFormat="1" ht="12" spans="1:43">
      <c r="A1166" s="11">
        <v>211513</v>
      </c>
      <c r="B1166" s="11" t="s">
        <v>1357</v>
      </c>
      <c r="C1166" s="11"/>
      <c r="D1166" s="11"/>
      <c r="E1166" s="11"/>
      <c r="F1166" s="11">
        <v>0</v>
      </c>
      <c r="G1166" s="11" t="s">
        <v>47</v>
      </c>
      <c r="H1166" s="11" t="s">
        <v>45</v>
      </c>
      <c r="I1166" s="11" t="s">
        <v>45</v>
      </c>
      <c r="J1166" s="11">
        <v>0</v>
      </c>
      <c r="K1166" s="11" t="s">
        <v>46</v>
      </c>
      <c r="L1166" s="11" t="s">
        <v>47</v>
      </c>
      <c r="M1166" s="11">
        <v>1010151</v>
      </c>
      <c r="N1166" s="11">
        <v>0</v>
      </c>
      <c r="O1166" s="11" t="s">
        <v>48</v>
      </c>
      <c r="P1166" s="11">
        <v>2115</v>
      </c>
      <c r="Q1166" s="11">
        <v>892</v>
      </c>
      <c r="R1166" s="11">
        <v>1406</v>
      </c>
      <c r="S1166" s="11">
        <f t="shared" si="413"/>
        <v>55</v>
      </c>
      <c r="T1166" s="11">
        <f t="shared" si="412"/>
        <v>87</v>
      </c>
      <c r="U1166" s="11">
        <v>1</v>
      </c>
      <c r="V1166" s="11"/>
      <c r="W1166" s="11" t="s">
        <v>47</v>
      </c>
      <c r="X1166" s="11"/>
      <c r="Y1166" s="11" t="s">
        <v>1357</v>
      </c>
      <c r="Z1166" s="11"/>
      <c r="AA1166" s="11"/>
      <c r="AB1166" s="11" t="s">
        <v>1357</v>
      </c>
      <c r="AC1166" s="11">
        <v>2141</v>
      </c>
      <c r="AD1166" s="11"/>
      <c r="AE1166" s="11"/>
      <c r="AF1166" s="11"/>
      <c r="AG1166" s="11"/>
      <c r="AH1166" s="11" t="s">
        <v>52</v>
      </c>
      <c r="AI1166" s="11">
        <v>1</v>
      </c>
      <c r="AJ1166" s="11"/>
      <c r="AK1166" s="11"/>
      <c r="AL1166" s="11"/>
      <c r="AM1166" s="11"/>
      <c r="AN1166" s="11" t="s">
        <v>47</v>
      </c>
      <c r="AO1166" s="11"/>
      <c r="AP1166" s="11" t="s">
        <v>53</v>
      </c>
      <c r="AQ1166" s="2">
        <v>0</v>
      </c>
    </row>
    <row r="1167" s="18" customFormat="1" ht="12" spans="1:43">
      <c r="A1167" s="83">
        <v>211601</v>
      </c>
      <c r="B1167" s="83" t="s">
        <v>1358</v>
      </c>
      <c r="C1167" s="83"/>
      <c r="D1167" s="83"/>
      <c r="E1167" s="83"/>
      <c r="F1167" s="83">
        <v>0</v>
      </c>
      <c r="G1167" s="83" t="s">
        <v>47</v>
      </c>
      <c r="H1167" s="83" t="s">
        <v>45</v>
      </c>
      <c r="I1167" s="83" t="s">
        <v>45</v>
      </c>
      <c r="J1167" s="83">
        <v>0</v>
      </c>
      <c r="K1167" s="83" t="s">
        <v>46</v>
      </c>
      <c r="L1167" s="83" t="s">
        <v>47</v>
      </c>
      <c r="M1167" s="83">
        <v>1010165</v>
      </c>
      <c r="N1167" s="83">
        <v>0</v>
      </c>
      <c r="O1167" s="83" t="s">
        <v>48</v>
      </c>
      <c r="P1167" s="83">
        <v>2116</v>
      </c>
      <c r="Q1167" s="83">
        <v>670</v>
      </c>
      <c r="R1167" s="83">
        <v>388</v>
      </c>
      <c r="S1167" s="83">
        <f t="shared" si="413"/>
        <v>41</v>
      </c>
      <c r="T1167" s="83">
        <f t="shared" si="412"/>
        <v>24</v>
      </c>
      <c r="U1167" s="83">
        <v>3</v>
      </c>
      <c r="V1167" s="83"/>
      <c r="W1167" s="83" t="s">
        <v>47</v>
      </c>
      <c r="X1167" s="83"/>
      <c r="Y1167" s="83" t="s">
        <v>1358</v>
      </c>
      <c r="Z1167" s="83"/>
      <c r="AA1167" s="83"/>
      <c r="AB1167" s="83" t="s">
        <v>1358</v>
      </c>
      <c r="AC1167" s="83">
        <v>2151</v>
      </c>
      <c r="AD1167" s="83"/>
      <c r="AE1167" s="83"/>
      <c r="AF1167" s="83"/>
      <c r="AG1167" s="83"/>
      <c r="AH1167" s="83" t="s">
        <v>52</v>
      </c>
      <c r="AI1167" s="83">
        <v>1</v>
      </c>
      <c r="AJ1167" s="83"/>
      <c r="AK1167" s="83"/>
      <c r="AL1167" s="83"/>
      <c r="AM1167" s="83"/>
      <c r="AN1167" s="83" t="s">
        <v>47</v>
      </c>
      <c r="AO1167" s="83"/>
      <c r="AP1167" s="83" t="s">
        <v>53</v>
      </c>
      <c r="AQ1167" s="18">
        <v>0</v>
      </c>
    </row>
    <row r="1168" s="3" customFormat="1" ht="12" spans="1:43">
      <c r="A1168" s="12">
        <v>300001</v>
      </c>
      <c r="B1168" s="12" t="s">
        <v>1359</v>
      </c>
      <c r="C1168" s="12"/>
      <c r="D1168" s="12"/>
      <c r="E1168" s="12"/>
      <c r="F1168" s="12">
        <v>0</v>
      </c>
      <c r="G1168" s="12" t="s">
        <v>47</v>
      </c>
      <c r="H1168" s="12" t="s">
        <v>45</v>
      </c>
      <c r="I1168" s="12">
        <v>1</v>
      </c>
      <c r="J1168" s="12">
        <v>0</v>
      </c>
      <c r="K1168" s="12" t="s">
        <v>46</v>
      </c>
      <c r="L1168" s="47" t="s">
        <v>47</v>
      </c>
      <c r="M1168" s="12">
        <v>1060103</v>
      </c>
      <c r="N1168" s="12">
        <v>0</v>
      </c>
      <c r="O1168" s="47" t="s">
        <v>48</v>
      </c>
      <c r="P1168" s="12"/>
      <c r="Q1168" s="12"/>
      <c r="R1168" s="12"/>
      <c r="S1168" s="12">
        <f t="shared" si="413"/>
        <v>0</v>
      </c>
      <c r="T1168" s="12">
        <f t="shared" si="412"/>
        <v>0</v>
      </c>
      <c r="U1168" s="12">
        <v>3</v>
      </c>
      <c r="V1168" s="12"/>
      <c r="W1168" s="47" t="s">
        <v>47</v>
      </c>
      <c r="X1168" s="47"/>
      <c r="Y1168" s="47" t="str">
        <f>B1168</f>
        <v>摇钱树</v>
      </c>
      <c r="Z1168" s="12"/>
      <c r="AA1168" s="12"/>
      <c r="AB1168" s="12" t="s">
        <v>1359</v>
      </c>
      <c r="AC1168" s="12">
        <v>2755</v>
      </c>
      <c r="AD1168" s="12"/>
      <c r="AE1168" s="12"/>
      <c r="AF1168" s="12"/>
      <c r="AG1168" s="12"/>
      <c r="AH1168" s="47" t="s">
        <v>52</v>
      </c>
      <c r="AI1168" s="12">
        <v>0</v>
      </c>
      <c r="AJ1168" s="12"/>
      <c r="AK1168" s="12"/>
      <c r="AL1168" s="12"/>
      <c r="AM1168" s="12"/>
      <c r="AN1168" s="47" t="s">
        <v>47</v>
      </c>
      <c r="AO1168" s="12"/>
      <c r="AP1168" s="12" t="s">
        <v>53</v>
      </c>
      <c r="AQ1168" s="2">
        <v>0</v>
      </c>
    </row>
    <row r="1169" s="10" customFormat="1" ht="12" spans="1:43">
      <c r="A1169" s="63">
        <v>300002</v>
      </c>
      <c r="B1169" s="63" t="s">
        <v>1360</v>
      </c>
      <c r="C1169" s="63"/>
      <c r="D1169" s="63"/>
      <c r="E1169" s="63"/>
      <c r="F1169" s="63">
        <v>0</v>
      </c>
      <c r="G1169" s="63">
        <v>0</v>
      </c>
      <c r="H1169" s="63" t="s">
        <v>45</v>
      </c>
      <c r="I1169" s="63">
        <v>18</v>
      </c>
      <c r="J1169" s="63">
        <v>0</v>
      </c>
      <c r="K1169" s="63" t="s">
        <v>46</v>
      </c>
      <c r="L1169" s="47" t="s">
        <v>47</v>
      </c>
      <c r="M1169" s="47">
        <v>1030013</v>
      </c>
      <c r="N1169" s="63">
        <v>0</v>
      </c>
      <c r="O1169" s="47" t="s">
        <v>48</v>
      </c>
      <c r="P1169" s="63">
        <v>1901</v>
      </c>
      <c r="Q1169" s="63"/>
      <c r="R1169" s="63"/>
      <c r="S1169" s="63">
        <v>0</v>
      </c>
      <c r="T1169" s="63">
        <v>0</v>
      </c>
      <c r="U1169" s="63"/>
      <c r="V1169" s="63"/>
      <c r="W1169" s="47" t="s">
        <v>47</v>
      </c>
      <c r="X1169" s="47"/>
      <c r="Y1169" s="47"/>
      <c r="Z1169" s="63" t="s">
        <v>1360</v>
      </c>
      <c r="AA1169" s="63"/>
      <c r="AB1169" s="63" t="s">
        <v>1360</v>
      </c>
      <c r="AC1169" s="63" t="s">
        <v>51</v>
      </c>
      <c r="AD1169" s="63" t="s">
        <v>51</v>
      </c>
      <c r="AE1169" s="63" t="s">
        <v>51</v>
      </c>
      <c r="AF1169" s="63" t="s">
        <v>51</v>
      </c>
      <c r="AG1169" s="63"/>
      <c r="AH1169" s="47" t="s">
        <v>52</v>
      </c>
      <c r="AI1169" s="63">
        <v>0</v>
      </c>
      <c r="AJ1169" s="63"/>
      <c r="AK1169" s="63"/>
      <c r="AL1169" s="63"/>
      <c r="AM1169" s="63"/>
      <c r="AN1169" s="47" t="s">
        <v>47</v>
      </c>
      <c r="AO1169" s="63"/>
      <c r="AP1169" s="63" t="s">
        <v>53</v>
      </c>
      <c r="AQ1169" s="2">
        <v>0</v>
      </c>
    </row>
    <row r="1170" s="29" customFormat="1" ht="12" spans="1:43">
      <c r="A1170" s="185">
        <v>300003</v>
      </c>
      <c r="B1170" s="185" t="s">
        <v>1361</v>
      </c>
      <c r="C1170" s="185"/>
      <c r="D1170" s="185"/>
      <c r="E1170" s="185"/>
      <c r="F1170" s="185">
        <v>0</v>
      </c>
      <c r="G1170" s="185">
        <v>0</v>
      </c>
      <c r="H1170" s="185" t="s">
        <v>45</v>
      </c>
      <c r="I1170" s="185">
        <v>18</v>
      </c>
      <c r="J1170" s="185">
        <v>0</v>
      </c>
      <c r="K1170" s="185" t="s">
        <v>46</v>
      </c>
      <c r="L1170" s="185" t="s">
        <v>47</v>
      </c>
      <c r="M1170" s="185">
        <v>1030013</v>
      </c>
      <c r="N1170" s="185">
        <v>0</v>
      </c>
      <c r="O1170" s="185" t="s">
        <v>48</v>
      </c>
      <c r="P1170" s="185">
        <v>1711</v>
      </c>
      <c r="Q1170" s="185"/>
      <c r="R1170" s="185"/>
      <c r="S1170" s="185">
        <v>0</v>
      </c>
      <c r="T1170" s="185">
        <v>0</v>
      </c>
      <c r="U1170" s="185"/>
      <c r="V1170" s="185"/>
      <c r="W1170" s="185" t="s">
        <v>47</v>
      </c>
      <c r="X1170" s="185"/>
      <c r="Y1170" s="185"/>
      <c r="Z1170" s="185" t="s">
        <v>1361</v>
      </c>
      <c r="AA1170" s="185"/>
      <c r="AB1170" s="185" t="s">
        <v>1361</v>
      </c>
      <c r="AC1170" s="185" t="s">
        <v>51</v>
      </c>
      <c r="AD1170" s="185" t="s">
        <v>51</v>
      </c>
      <c r="AE1170" s="185" t="s">
        <v>51</v>
      </c>
      <c r="AF1170" s="185" t="s">
        <v>51</v>
      </c>
      <c r="AG1170" s="185"/>
      <c r="AH1170" s="185" t="s">
        <v>52</v>
      </c>
      <c r="AI1170" s="185">
        <v>0</v>
      </c>
      <c r="AJ1170" s="185"/>
      <c r="AK1170" s="185"/>
      <c r="AL1170" s="185"/>
      <c r="AM1170" s="185"/>
      <c r="AN1170" s="185" t="s">
        <v>47</v>
      </c>
      <c r="AO1170" s="185"/>
      <c r="AP1170" s="185" t="s">
        <v>53</v>
      </c>
      <c r="AQ1170" s="29">
        <v>0</v>
      </c>
    </row>
    <row r="1171" s="29" customFormat="1" ht="12" spans="1:43">
      <c r="A1171" s="185">
        <v>300004</v>
      </c>
      <c r="B1171" s="185" t="s">
        <v>1362</v>
      </c>
      <c r="C1171" s="185"/>
      <c r="D1171" s="185"/>
      <c r="E1171" s="185"/>
      <c r="F1171" s="185">
        <v>0</v>
      </c>
      <c r="G1171" s="185">
        <v>0</v>
      </c>
      <c r="H1171" s="185" t="s">
        <v>45</v>
      </c>
      <c r="I1171" s="185">
        <v>18</v>
      </c>
      <c r="J1171" s="185">
        <v>0</v>
      </c>
      <c r="K1171" s="185" t="s">
        <v>46</v>
      </c>
      <c r="L1171" s="185" t="s">
        <v>47</v>
      </c>
      <c r="M1171" s="185">
        <v>1030013</v>
      </c>
      <c r="N1171" s="185">
        <v>0</v>
      </c>
      <c r="O1171" s="185" t="s">
        <v>48</v>
      </c>
      <c r="P1171" s="185">
        <v>1711</v>
      </c>
      <c r="Q1171" s="185"/>
      <c r="R1171" s="185"/>
      <c r="S1171" s="185">
        <v>0</v>
      </c>
      <c r="T1171" s="185">
        <v>0</v>
      </c>
      <c r="U1171" s="185"/>
      <c r="V1171" s="185"/>
      <c r="W1171" s="185" t="s">
        <v>47</v>
      </c>
      <c r="X1171" s="185"/>
      <c r="Y1171" s="185"/>
      <c r="Z1171" s="185" t="s">
        <v>1362</v>
      </c>
      <c r="AA1171" s="185"/>
      <c r="AB1171" s="185" t="s">
        <v>1362</v>
      </c>
      <c r="AC1171" s="185" t="s">
        <v>51</v>
      </c>
      <c r="AD1171" s="185" t="s">
        <v>51</v>
      </c>
      <c r="AE1171" s="185" t="s">
        <v>51</v>
      </c>
      <c r="AF1171" s="185" t="s">
        <v>51</v>
      </c>
      <c r="AG1171" s="185"/>
      <c r="AH1171" s="185" t="s">
        <v>52</v>
      </c>
      <c r="AI1171" s="185">
        <v>0</v>
      </c>
      <c r="AJ1171" s="185"/>
      <c r="AK1171" s="185"/>
      <c r="AL1171" s="185"/>
      <c r="AM1171" s="185"/>
      <c r="AN1171" s="185" t="s">
        <v>47</v>
      </c>
      <c r="AO1171" s="185"/>
      <c r="AP1171" s="185" t="s">
        <v>53</v>
      </c>
      <c r="AQ1171" s="29">
        <v>0</v>
      </c>
    </row>
    <row r="1172" s="20" customFormat="1" spans="1:43">
      <c r="A1172" s="90">
        <v>221171</v>
      </c>
      <c r="B1172" s="186" t="s">
        <v>1363</v>
      </c>
      <c r="C1172" s="90"/>
      <c r="D1172" s="90"/>
      <c r="E1172" s="90"/>
      <c r="F1172" s="90">
        <v>0</v>
      </c>
      <c r="G1172" s="90">
        <v>0</v>
      </c>
      <c r="H1172" s="90">
        <v>1.35</v>
      </c>
      <c r="I1172" s="90">
        <v>7</v>
      </c>
      <c r="J1172" s="90">
        <v>0</v>
      </c>
      <c r="K1172" s="90" t="s">
        <v>46</v>
      </c>
      <c r="L1172" s="90">
        <v>0</v>
      </c>
      <c r="M1172" s="187">
        <v>540015</v>
      </c>
      <c r="N1172" s="90">
        <v>0</v>
      </c>
      <c r="O1172" s="90">
        <v>-1</v>
      </c>
      <c r="P1172" s="90">
        <v>0</v>
      </c>
      <c r="Q1172" s="90"/>
      <c r="R1172" s="90"/>
      <c r="S1172" s="90">
        <v>0</v>
      </c>
      <c r="T1172" s="90">
        <v>0</v>
      </c>
      <c r="U1172" s="90"/>
      <c r="V1172" s="90"/>
      <c r="W1172" s="90">
        <v>0</v>
      </c>
      <c r="X1172" s="90"/>
      <c r="Y1172" s="90"/>
      <c r="Z1172" s="90" t="s">
        <v>1364</v>
      </c>
      <c r="AA1172" s="90" t="s">
        <v>1347</v>
      </c>
      <c r="AB1172" s="90"/>
      <c r="AC1172" s="90"/>
      <c r="AD1172" s="90"/>
      <c r="AE1172" s="90"/>
      <c r="AF1172" s="202"/>
      <c r="AG1172" s="90"/>
      <c r="AH1172" s="90" t="s">
        <v>52</v>
      </c>
      <c r="AI1172" s="90">
        <v>0</v>
      </c>
      <c r="AJ1172" s="90"/>
      <c r="AK1172" s="90"/>
      <c r="AL1172" s="90"/>
      <c r="AM1172" s="90"/>
      <c r="AN1172" s="90">
        <v>0</v>
      </c>
      <c r="AO1172" s="90">
        <v>3198</v>
      </c>
      <c r="AP1172" s="90" t="s">
        <v>53</v>
      </c>
      <c r="AQ1172" s="20">
        <v>0</v>
      </c>
    </row>
    <row r="1173" s="20" customFormat="1" spans="1:43">
      <c r="A1173" s="90">
        <v>221172</v>
      </c>
      <c r="B1173" s="187" t="s">
        <v>1365</v>
      </c>
      <c r="C1173" s="90"/>
      <c r="D1173" s="90"/>
      <c r="E1173" s="90"/>
      <c r="F1173" s="90">
        <v>2</v>
      </c>
      <c r="G1173" s="90">
        <v>3</v>
      </c>
      <c r="H1173" s="90">
        <v>1.35</v>
      </c>
      <c r="I1173" s="90">
        <v>7</v>
      </c>
      <c r="J1173" s="90">
        <v>0</v>
      </c>
      <c r="K1173" s="90" t="s">
        <v>46</v>
      </c>
      <c r="L1173" s="90">
        <v>0</v>
      </c>
      <c r="M1173" s="187">
        <v>540014</v>
      </c>
      <c r="N1173" s="90">
        <v>0</v>
      </c>
      <c r="O1173" s="90">
        <v>-1</v>
      </c>
      <c r="P1173" s="90">
        <v>0</v>
      </c>
      <c r="Q1173" s="90"/>
      <c r="R1173" s="90"/>
      <c r="S1173" s="90">
        <v>0</v>
      </c>
      <c r="T1173" s="90">
        <v>0</v>
      </c>
      <c r="U1173" s="90"/>
      <c r="V1173" s="90"/>
      <c r="W1173" s="90">
        <v>0</v>
      </c>
      <c r="X1173" s="90"/>
      <c r="Y1173" s="90"/>
      <c r="Z1173" s="90" t="s">
        <v>1364</v>
      </c>
      <c r="AA1173" s="90" t="s">
        <v>1347</v>
      </c>
      <c r="AB1173" s="90"/>
      <c r="AC1173" s="90"/>
      <c r="AD1173" s="90"/>
      <c r="AE1173" s="90"/>
      <c r="AF1173" s="202"/>
      <c r="AG1173" s="90"/>
      <c r="AH1173" s="90" t="s">
        <v>52</v>
      </c>
      <c r="AI1173" s="90">
        <v>0</v>
      </c>
      <c r="AJ1173" s="90"/>
      <c r="AK1173" s="90"/>
      <c r="AL1173" s="90"/>
      <c r="AM1173" s="90"/>
      <c r="AN1173" s="90">
        <v>0</v>
      </c>
      <c r="AO1173" s="90">
        <v>3197</v>
      </c>
      <c r="AP1173" s="90" t="s">
        <v>53</v>
      </c>
      <c r="AQ1173" s="20">
        <v>0</v>
      </c>
    </row>
    <row r="1174" s="20" customFormat="1" ht="12.75" spans="1:43">
      <c r="A1174" s="90">
        <v>221173</v>
      </c>
      <c r="B1174" s="90" t="s">
        <v>1366</v>
      </c>
      <c r="C1174" s="90"/>
      <c r="D1174" s="90"/>
      <c r="E1174" s="90"/>
      <c r="F1174" s="90">
        <v>0</v>
      </c>
      <c r="G1174" s="90">
        <v>0</v>
      </c>
      <c r="H1174" s="90">
        <v>1.5</v>
      </c>
      <c r="I1174" s="90">
        <v>1</v>
      </c>
      <c r="J1174" s="90">
        <v>0</v>
      </c>
      <c r="K1174" s="90" t="s">
        <v>46</v>
      </c>
      <c r="L1174" s="90">
        <v>0</v>
      </c>
      <c r="M1174" s="97">
        <v>1020120</v>
      </c>
      <c r="N1174" s="90">
        <v>1</v>
      </c>
      <c r="O1174" s="90">
        <v>-1</v>
      </c>
      <c r="P1174" s="90">
        <v>1712</v>
      </c>
      <c r="Q1174" s="90">
        <v>466</v>
      </c>
      <c r="R1174" s="90">
        <v>484</v>
      </c>
      <c r="S1174" s="90">
        <v>29</v>
      </c>
      <c r="T1174" s="90">
        <v>30</v>
      </c>
      <c r="U1174" s="90"/>
      <c r="V1174" s="90"/>
      <c r="W1174" s="90">
        <v>0</v>
      </c>
      <c r="X1174" s="90"/>
      <c r="Y1174" s="90" t="s">
        <v>1367</v>
      </c>
      <c r="Z1174" s="90" t="s">
        <v>1367</v>
      </c>
      <c r="AA1174" s="60" t="s">
        <v>1347</v>
      </c>
      <c r="AB1174" s="90"/>
      <c r="AC1174" s="90">
        <v>2302</v>
      </c>
      <c r="AD1174" s="90">
        <v>2303</v>
      </c>
      <c r="AE1174" s="90">
        <v>2304</v>
      </c>
      <c r="AF1174" s="90">
        <v>2305</v>
      </c>
      <c r="AG1174" s="90"/>
      <c r="AH1174" s="90" t="s">
        <v>52</v>
      </c>
      <c r="AI1174" s="90">
        <v>0</v>
      </c>
      <c r="AJ1174" s="90" t="s">
        <v>223</v>
      </c>
      <c r="AK1174" s="90"/>
      <c r="AL1174" s="90" t="s">
        <v>237</v>
      </c>
      <c r="AM1174" s="90" t="s">
        <v>238</v>
      </c>
      <c r="AN1174" s="90">
        <v>0</v>
      </c>
      <c r="AO1174" s="90">
        <v>3196</v>
      </c>
      <c r="AP1174" s="90" t="s">
        <v>53</v>
      </c>
      <c r="AQ1174" s="20">
        <v>0</v>
      </c>
    </row>
    <row r="1175" s="27" customFormat="1" spans="1:43">
      <c r="A1175" s="155">
        <v>180001</v>
      </c>
      <c r="B1175" s="188" t="s">
        <v>1368</v>
      </c>
      <c r="C1175" s="155"/>
      <c r="D1175" s="155"/>
      <c r="E1175" s="155"/>
      <c r="F1175" s="155">
        <v>0</v>
      </c>
      <c r="G1175" s="155">
        <v>0</v>
      </c>
      <c r="H1175" s="157" t="s">
        <v>45</v>
      </c>
      <c r="I1175" s="155">
        <v>28</v>
      </c>
      <c r="J1175" s="155">
        <v>0</v>
      </c>
      <c r="K1175" s="158" t="s">
        <v>46</v>
      </c>
      <c r="L1175" s="117" t="s">
        <v>47</v>
      </c>
      <c r="M1175" s="105">
        <v>1010149</v>
      </c>
      <c r="N1175" s="155">
        <v>0</v>
      </c>
      <c r="O1175" s="117" t="s">
        <v>48</v>
      </c>
      <c r="P1175" s="155">
        <v>0</v>
      </c>
      <c r="Q1175" s="201"/>
      <c r="R1175" s="201"/>
      <c r="S1175" s="201">
        <v>0</v>
      </c>
      <c r="T1175" s="201">
        <v>0</v>
      </c>
      <c r="U1175" s="201"/>
      <c r="V1175" s="155"/>
      <c r="W1175" s="117" t="s">
        <v>47</v>
      </c>
      <c r="X1175" s="117"/>
      <c r="Y1175" s="203" t="s">
        <v>1369</v>
      </c>
      <c r="Z1175" s="204" t="s">
        <v>1369</v>
      </c>
      <c r="AA1175" s="155"/>
      <c r="AB1175" s="205" t="s">
        <v>1370</v>
      </c>
      <c r="AC1175" s="155">
        <v>2361</v>
      </c>
      <c r="AD1175" s="158" t="s">
        <v>51</v>
      </c>
      <c r="AE1175" s="158" t="s">
        <v>51</v>
      </c>
      <c r="AF1175" s="158" t="s">
        <v>51</v>
      </c>
      <c r="AG1175" s="158"/>
      <c r="AH1175" s="117" t="s">
        <v>52</v>
      </c>
      <c r="AI1175" s="155">
        <v>0</v>
      </c>
      <c r="AJ1175" s="155"/>
      <c r="AK1175" s="155"/>
      <c r="AL1175" s="155"/>
      <c r="AM1175" s="155"/>
      <c r="AN1175" s="117" t="s">
        <v>47</v>
      </c>
      <c r="AO1175" s="213">
        <v>2567</v>
      </c>
      <c r="AP1175" s="155" t="s">
        <v>53</v>
      </c>
      <c r="AQ1175" s="2">
        <v>0</v>
      </c>
    </row>
    <row r="1176" s="23" customFormat="1" spans="1:43">
      <c r="A1176" s="118">
        <v>180002</v>
      </c>
      <c r="B1176" s="73" t="s">
        <v>1371</v>
      </c>
      <c r="C1176" s="118"/>
      <c r="D1176" s="118"/>
      <c r="E1176" s="118"/>
      <c r="F1176" s="118">
        <v>0</v>
      </c>
      <c r="G1176" s="118">
        <v>0</v>
      </c>
      <c r="H1176" s="157" t="s">
        <v>45</v>
      </c>
      <c r="I1176" s="118">
        <v>28</v>
      </c>
      <c r="J1176" s="118">
        <v>1</v>
      </c>
      <c r="K1176" s="145" t="s">
        <v>46</v>
      </c>
      <c r="L1176" s="117" t="s">
        <v>47</v>
      </c>
      <c r="M1176" s="105">
        <v>1010166</v>
      </c>
      <c r="N1176" s="118">
        <v>0</v>
      </c>
      <c r="O1176" s="117" t="s">
        <v>48</v>
      </c>
      <c r="P1176" s="118">
        <v>1610</v>
      </c>
      <c r="Q1176" s="37">
        <v>412</v>
      </c>
      <c r="R1176" s="37">
        <v>916</v>
      </c>
      <c r="S1176" s="62">
        <v>107</v>
      </c>
      <c r="T1176" s="62">
        <v>111</v>
      </c>
      <c r="U1176" s="37">
        <v>1</v>
      </c>
      <c r="V1176" s="118"/>
      <c r="W1176" s="117" t="s">
        <v>47</v>
      </c>
      <c r="X1176" s="117"/>
      <c r="Y1176" s="203" t="s">
        <v>1369</v>
      </c>
      <c r="Z1176" s="206" t="s">
        <v>1369</v>
      </c>
      <c r="AA1176" s="118"/>
      <c r="AB1176" s="207" t="s">
        <v>1372</v>
      </c>
      <c r="AC1176" s="118">
        <v>2361</v>
      </c>
      <c r="AD1176" s="145" t="s">
        <v>51</v>
      </c>
      <c r="AE1176" s="145" t="s">
        <v>51</v>
      </c>
      <c r="AF1176" s="145" t="s">
        <v>51</v>
      </c>
      <c r="AG1176" s="145"/>
      <c r="AH1176" s="117" t="s">
        <v>52</v>
      </c>
      <c r="AI1176" s="118">
        <v>0</v>
      </c>
      <c r="AJ1176" s="118"/>
      <c r="AK1176" s="118"/>
      <c r="AL1176" s="118"/>
      <c r="AM1176" s="118"/>
      <c r="AN1176" s="117" t="s">
        <v>47</v>
      </c>
      <c r="AO1176" s="214">
        <v>2568</v>
      </c>
      <c r="AP1176" s="118" t="s">
        <v>53</v>
      </c>
      <c r="AQ1176" s="2">
        <v>0</v>
      </c>
    </row>
    <row r="1177" s="23" customFormat="1" spans="1:43">
      <c r="A1177" s="118">
        <v>180003</v>
      </c>
      <c r="B1177" s="73" t="s">
        <v>1373</v>
      </c>
      <c r="C1177" s="118"/>
      <c r="D1177" s="118"/>
      <c r="E1177" s="118"/>
      <c r="F1177" s="118">
        <v>0</v>
      </c>
      <c r="G1177" s="118">
        <v>0</v>
      </c>
      <c r="H1177" s="157" t="s">
        <v>45</v>
      </c>
      <c r="I1177" s="118">
        <v>28</v>
      </c>
      <c r="J1177" s="118">
        <v>1</v>
      </c>
      <c r="K1177" s="145" t="s">
        <v>46</v>
      </c>
      <c r="L1177" s="117" t="s">
        <v>47</v>
      </c>
      <c r="M1177" s="105">
        <v>1010167</v>
      </c>
      <c r="N1177" s="118">
        <v>0</v>
      </c>
      <c r="O1177" s="117" t="s">
        <v>48</v>
      </c>
      <c r="P1177" s="118">
        <v>1609</v>
      </c>
      <c r="Q1177" s="11">
        <v>1200</v>
      </c>
      <c r="R1177" s="11">
        <v>1040</v>
      </c>
      <c r="S1177" s="62">
        <v>121</v>
      </c>
      <c r="T1177" s="62">
        <v>159</v>
      </c>
      <c r="U1177" s="37">
        <v>3</v>
      </c>
      <c r="V1177" s="118"/>
      <c r="W1177" s="117" t="s">
        <v>47</v>
      </c>
      <c r="X1177" s="117"/>
      <c r="Y1177" s="203" t="s">
        <v>1369</v>
      </c>
      <c r="Z1177" s="206" t="s">
        <v>1369</v>
      </c>
      <c r="AA1177" s="118"/>
      <c r="AB1177" s="207" t="s">
        <v>1374</v>
      </c>
      <c r="AC1177" s="118">
        <v>2361</v>
      </c>
      <c r="AD1177" s="145" t="s">
        <v>51</v>
      </c>
      <c r="AE1177" s="145" t="s">
        <v>51</v>
      </c>
      <c r="AF1177" s="145" t="s">
        <v>51</v>
      </c>
      <c r="AG1177" s="145"/>
      <c r="AH1177" s="117" t="s">
        <v>52</v>
      </c>
      <c r="AI1177" s="118">
        <v>0</v>
      </c>
      <c r="AJ1177" s="118"/>
      <c r="AK1177" s="118"/>
      <c r="AL1177" s="118"/>
      <c r="AM1177" s="118"/>
      <c r="AN1177" s="117" t="s">
        <v>47</v>
      </c>
      <c r="AO1177" s="214">
        <v>2569</v>
      </c>
      <c r="AP1177" s="118" t="s">
        <v>53</v>
      </c>
      <c r="AQ1177" s="2">
        <v>0</v>
      </c>
    </row>
    <row r="1178" s="23" customFormat="1" spans="1:43">
      <c r="A1178" s="118">
        <v>180004</v>
      </c>
      <c r="B1178" s="73" t="s">
        <v>1375</v>
      </c>
      <c r="C1178" s="118"/>
      <c r="D1178" s="118"/>
      <c r="E1178" s="118"/>
      <c r="F1178" s="118">
        <v>0</v>
      </c>
      <c r="G1178" s="118">
        <v>0</v>
      </c>
      <c r="H1178" s="131">
        <v>1</v>
      </c>
      <c r="I1178" s="118">
        <v>28</v>
      </c>
      <c r="J1178" s="118">
        <v>1</v>
      </c>
      <c r="K1178" s="145" t="s">
        <v>46</v>
      </c>
      <c r="L1178" s="117" t="s">
        <v>47</v>
      </c>
      <c r="M1178" s="105">
        <v>1010171</v>
      </c>
      <c r="N1178" s="118">
        <v>0</v>
      </c>
      <c r="O1178" s="117" t="s">
        <v>48</v>
      </c>
      <c r="P1178" s="118">
        <v>1611</v>
      </c>
      <c r="Q1178" s="37">
        <v>782</v>
      </c>
      <c r="R1178" s="37">
        <v>306</v>
      </c>
      <c r="S1178" s="62">
        <v>204</v>
      </c>
      <c r="T1178" s="62">
        <v>121</v>
      </c>
      <c r="U1178" s="37">
        <v>3</v>
      </c>
      <c r="V1178" s="118"/>
      <c r="W1178" s="117" t="s">
        <v>47</v>
      </c>
      <c r="X1178" s="117"/>
      <c r="Y1178" s="203" t="s">
        <v>1369</v>
      </c>
      <c r="Z1178" s="206" t="s">
        <v>1369</v>
      </c>
      <c r="AA1178" s="118"/>
      <c r="AB1178" s="207" t="s">
        <v>1376</v>
      </c>
      <c r="AC1178" s="118">
        <v>2361</v>
      </c>
      <c r="AD1178" s="145" t="s">
        <v>51</v>
      </c>
      <c r="AE1178" s="145" t="s">
        <v>51</v>
      </c>
      <c r="AF1178" s="145" t="s">
        <v>51</v>
      </c>
      <c r="AG1178" s="145"/>
      <c r="AH1178" s="117" t="s">
        <v>52</v>
      </c>
      <c r="AI1178" s="118">
        <v>0</v>
      </c>
      <c r="AJ1178" s="118"/>
      <c r="AK1178" s="118"/>
      <c r="AL1178" s="118"/>
      <c r="AM1178" s="118"/>
      <c r="AN1178" s="117" t="s">
        <v>47</v>
      </c>
      <c r="AO1178" s="214">
        <v>2570</v>
      </c>
      <c r="AP1178" s="118" t="s">
        <v>53</v>
      </c>
      <c r="AQ1178" s="2">
        <v>0</v>
      </c>
    </row>
    <row r="1179" s="23" customFormat="1" spans="1:43">
      <c r="A1179" s="118">
        <v>180005</v>
      </c>
      <c r="B1179" s="73" t="s">
        <v>1377</v>
      </c>
      <c r="C1179" s="118"/>
      <c r="D1179" s="118"/>
      <c r="E1179" s="118"/>
      <c r="F1179" s="118">
        <v>0</v>
      </c>
      <c r="G1179" s="118">
        <v>0</v>
      </c>
      <c r="H1179" s="131">
        <v>1</v>
      </c>
      <c r="I1179" s="118">
        <v>28</v>
      </c>
      <c r="J1179" s="118">
        <v>1</v>
      </c>
      <c r="K1179" s="145" t="s">
        <v>46</v>
      </c>
      <c r="L1179" s="117" t="s">
        <v>47</v>
      </c>
      <c r="M1179" s="105">
        <v>1010125</v>
      </c>
      <c r="N1179" s="118">
        <v>0</v>
      </c>
      <c r="O1179" s="117" t="s">
        <v>48</v>
      </c>
      <c r="P1179" s="118">
        <v>1605</v>
      </c>
      <c r="Q1179" s="37">
        <v>1287</v>
      </c>
      <c r="R1179" s="37">
        <v>156</v>
      </c>
      <c r="S1179" s="62">
        <v>234</v>
      </c>
      <c r="T1179" s="62">
        <v>80</v>
      </c>
      <c r="U1179" s="37">
        <v>3</v>
      </c>
      <c r="V1179" s="118"/>
      <c r="W1179" s="117" t="s">
        <v>47</v>
      </c>
      <c r="X1179" s="117"/>
      <c r="Y1179" s="203" t="s">
        <v>1369</v>
      </c>
      <c r="Z1179" s="206" t="s">
        <v>1369</v>
      </c>
      <c r="AA1179" s="118"/>
      <c r="AB1179" s="207" t="s">
        <v>1378</v>
      </c>
      <c r="AC1179" s="118">
        <v>2361</v>
      </c>
      <c r="AD1179" s="145" t="s">
        <v>51</v>
      </c>
      <c r="AE1179" s="145" t="s">
        <v>51</v>
      </c>
      <c r="AF1179" s="145" t="s">
        <v>51</v>
      </c>
      <c r="AG1179" s="145"/>
      <c r="AH1179" s="117" t="s">
        <v>52</v>
      </c>
      <c r="AI1179" s="118">
        <v>0</v>
      </c>
      <c r="AJ1179" s="118"/>
      <c r="AK1179" s="118"/>
      <c r="AL1179" s="118"/>
      <c r="AM1179" s="118"/>
      <c r="AN1179" s="117" t="s">
        <v>47</v>
      </c>
      <c r="AO1179" s="214">
        <v>2571</v>
      </c>
      <c r="AP1179" s="118" t="s">
        <v>53</v>
      </c>
      <c r="AQ1179" s="2">
        <v>0</v>
      </c>
    </row>
    <row r="1180" s="23" customFormat="1" spans="1:43">
      <c r="A1180" s="118">
        <v>180006</v>
      </c>
      <c r="B1180" s="73" t="s">
        <v>1379</v>
      </c>
      <c r="C1180" s="118"/>
      <c r="D1180" s="118"/>
      <c r="E1180" s="118"/>
      <c r="F1180" s="118">
        <v>0</v>
      </c>
      <c r="G1180" s="118">
        <v>0</v>
      </c>
      <c r="H1180" s="131">
        <v>1</v>
      </c>
      <c r="I1180" s="118">
        <v>28</v>
      </c>
      <c r="J1180" s="118">
        <v>1</v>
      </c>
      <c r="K1180" s="145" t="s">
        <v>46</v>
      </c>
      <c r="L1180" s="117" t="s">
        <v>47</v>
      </c>
      <c r="M1180" s="54">
        <v>1010146</v>
      </c>
      <c r="N1180" s="118">
        <v>0</v>
      </c>
      <c r="O1180" s="117" t="s">
        <v>48</v>
      </c>
      <c r="P1180" s="118">
        <v>1607</v>
      </c>
      <c r="Q1180" s="37">
        <v>759</v>
      </c>
      <c r="R1180" s="37">
        <v>172</v>
      </c>
      <c r="S1180" s="62">
        <v>114</v>
      </c>
      <c r="T1180" s="62">
        <v>221</v>
      </c>
      <c r="U1180" s="37">
        <v>3</v>
      </c>
      <c r="V1180" s="118"/>
      <c r="W1180" s="117" t="s">
        <v>47</v>
      </c>
      <c r="X1180" s="117"/>
      <c r="Y1180" s="203" t="s">
        <v>1369</v>
      </c>
      <c r="Z1180" s="206" t="s">
        <v>1369</v>
      </c>
      <c r="AA1180" s="118"/>
      <c r="AB1180" s="207" t="s">
        <v>1380</v>
      </c>
      <c r="AC1180" s="118">
        <v>2361</v>
      </c>
      <c r="AD1180" s="145" t="s">
        <v>51</v>
      </c>
      <c r="AE1180" s="145" t="s">
        <v>51</v>
      </c>
      <c r="AF1180" s="145" t="s">
        <v>51</v>
      </c>
      <c r="AG1180" s="145"/>
      <c r="AH1180" s="117" t="s">
        <v>52</v>
      </c>
      <c r="AI1180" s="118">
        <v>0</v>
      </c>
      <c r="AJ1180" s="118"/>
      <c r="AK1180" s="118"/>
      <c r="AL1180" s="118"/>
      <c r="AM1180" s="118"/>
      <c r="AN1180" s="117" t="s">
        <v>47</v>
      </c>
      <c r="AO1180" s="214">
        <v>2572</v>
      </c>
      <c r="AP1180" s="118" t="s">
        <v>53</v>
      </c>
      <c r="AQ1180" s="2">
        <v>0</v>
      </c>
    </row>
    <row r="1181" s="23" customFormat="1" spans="1:43">
      <c r="A1181" s="118">
        <v>180007</v>
      </c>
      <c r="B1181" s="73" t="s">
        <v>1381</v>
      </c>
      <c r="C1181" s="118"/>
      <c r="D1181" s="118"/>
      <c r="E1181" s="118"/>
      <c r="F1181" s="118">
        <v>0</v>
      </c>
      <c r="G1181" s="118">
        <v>0</v>
      </c>
      <c r="H1181" s="131">
        <v>1</v>
      </c>
      <c r="I1181" s="118">
        <v>28</v>
      </c>
      <c r="J1181" s="118">
        <v>1</v>
      </c>
      <c r="K1181" s="145" t="s">
        <v>46</v>
      </c>
      <c r="L1181" s="117" t="s">
        <v>47</v>
      </c>
      <c r="M1181" s="105">
        <v>1010146</v>
      </c>
      <c r="N1181" s="118">
        <v>0</v>
      </c>
      <c r="O1181" s="117" t="s">
        <v>48</v>
      </c>
      <c r="P1181" s="118">
        <v>1606</v>
      </c>
      <c r="Q1181" s="37">
        <v>2067</v>
      </c>
      <c r="R1181" s="37">
        <v>417</v>
      </c>
      <c r="S1181" s="62">
        <v>114</v>
      </c>
      <c r="T1181" s="62">
        <v>43</v>
      </c>
      <c r="U1181" s="37">
        <v>3</v>
      </c>
      <c r="V1181" s="118"/>
      <c r="W1181" s="117" t="s">
        <v>47</v>
      </c>
      <c r="X1181" s="117"/>
      <c r="Y1181" s="203" t="s">
        <v>1369</v>
      </c>
      <c r="Z1181" s="206" t="s">
        <v>1369</v>
      </c>
      <c r="AA1181" s="118"/>
      <c r="AB1181" s="207" t="s">
        <v>1382</v>
      </c>
      <c r="AC1181" s="145">
        <v>2361</v>
      </c>
      <c r="AD1181" s="145" t="s">
        <v>51</v>
      </c>
      <c r="AE1181" s="145" t="s">
        <v>51</v>
      </c>
      <c r="AF1181" s="145" t="s">
        <v>51</v>
      </c>
      <c r="AG1181" s="145"/>
      <c r="AH1181" s="117" t="s">
        <v>52</v>
      </c>
      <c r="AI1181" s="118">
        <v>0</v>
      </c>
      <c r="AJ1181" s="118"/>
      <c r="AK1181" s="118"/>
      <c r="AL1181" s="118"/>
      <c r="AM1181" s="118"/>
      <c r="AN1181" s="117" t="s">
        <v>47</v>
      </c>
      <c r="AO1181" s="214">
        <v>2573</v>
      </c>
      <c r="AP1181" s="118" t="s">
        <v>53</v>
      </c>
      <c r="AQ1181" s="2">
        <v>0</v>
      </c>
    </row>
    <row r="1182" s="23" customFormat="1" spans="1:43">
      <c r="A1182" s="118">
        <v>180008</v>
      </c>
      <c r="B1182" s="73" t="s">
        <v>1383</v>
      </c>
      <c r="C1182" s="118"/>
      <c r="D1182" s="118"/>
      <c r="E1182" s="118"/>
      <c r="F1182" s="118">
        <v>0</v>
      </c>
      <c r="G1182" s="118">
        <v>0</v>
      </c>
      <c r="H1182" s="131">
        <v>1</v>
      </c>
      <c r="I1182" s="118">
        <v>28</v>
      </c>
      <c r="J1182" s="118">
        <v>1</v>
      </c>
      <c r="K1182" s="145" t="s">
        <v>46</v>
      </c>
      <c r="L1182" s="117" t="s">
        <v>47</v>
      </c>
      <c r="M1182" s="54">
        <v>1010135</v>
      </c>
      <c r="N1182" s="118">
        <v>0</v>
      </c>
      <c r="O1182" s="117" t="s">
        <v>48</v>
      </c>
      <c r="P1182" s="118">
        <v>1608</v>
      </c>
      <c r="Q1182" s="37">
        <v>944</v>
      </c>
      <c r="R1182" s="37">
        <v>528</v>
      </c>
      <c r="S1182" s="62">
        <v>20</v>
      </c>
      <c r="T1182" s="62">
        <v>19</v>
      </c>
      <c r="U1182" s="37">
        <v>3</v>
      </c>
      <c r="V1182" s="118"/>
      <c r="W1182" s="117" t="s">
        <v>47</v>
      </c>
      <c r="X1182" s="117"/>
      <c r="Y1182" s="203" t="s">
        <v>1369</v>
      </c>
      <c r="Z1182" s="206" t="s">
        <v>1369</v>
      </c>
      <c r="AA1182" s="118"/>
      <c r="AB1182" s="207" t="s">
        <v>1384</v>
      </c>
      <c r="AC1182" s="145">
        <v>2361</v>
      </c>
      <c r="AD1182" s="145" t="s">
        <v>51</v>
      </c>
      <c r="AE1182" s="145" t="s">
        <v>51</v>
      </c>
      <c r="AF1182" s="145" t="s">
        <v>51</v>
      </c>
      <c r="AG1182" s="145"/>
      <c r="AH1182" s="117" t="s">
        <v>52</v>
      </c>
      <c r="AI1182" s="118">
        <v>0</v>
      </c>
      <c r="AJ1182" s="118"/>
      <c r="AK1182" s="118"/>
      <c r="AL1182" s="118"/>
      <c r="AM1182" s="118"/>
      <c r="AN1182" s="117" t="s">
        <v>47</v>
      </c>
      <c r="AO1182" s="214">
        <v>2574</v>
      </c>
      <c r="AP1182" s="118" t="s">
        <v>53</v>
      </c>
      <c r="AQ1182" s="2">
        <v>0</v>
      </c>
    </row>
    <row r="1183" s="23" customFormat="1" spans="1:43">
      <c r="A1183" s="118">
        <v>180009</v>
      </c>
      <c r="B1183" s="73" t="s">
        <v>1385</v>
      </c>
      <c r="C1183" s="118"/>
      <c r="D1183" s="118"/>
      <c r="E1183" s="118"/>
      <c r="F1183" s="118">
        <v>0</v>
      </c>
      <c r="G1183" s="118">
        <v>0</v>
      </c>
      <c r="H1183" s="131">
        <v>1</v>
      </c>
      <c r="I1183" s="118">
        <v>28</v>
      </c>
      <c r="J1183" s="118">
        <v>1</v>
      </c>
      <c r="K1183" s="145" t="s">
        <v>46</v>
      </c>
      <c r="L1183" s="117" t="s">
        <v>47</v>
      </c>
      <c r="M1183" s="66">
        <v>530100</v>
      </c>
      <c r="N1183" s="118">
        <v>0</v>
      </c>
      <c r="O1183" s="117" t="s">
        <v>48</v>
      </c>
      <c r="P1183" s="118">
        <v>1612</v>
      </c>
      <c r="Q1183" s="37">
        <v>336</v>
      </c>
      <c r="R1183" s="37">
        <v>1472</v>
      </c>
      <c r="S1183" s="62">
        <v>14</v>
      </c>
      <c r="T1183" s="62">
        <v>139</v>
      </c>
      <c r="U1183" s="37">
        <v>3</v>
      </c>
      <c r="V1183" s="118"/>
      <c r="W1183" s="117" t="s">
        <v>47</v>
      </c>
      <c r="X1183" s="117"/>
      <c r="Y1183" s="203" t="s">
        <v>1369</v>
      </c>
      <c r="Z1183" s="206" t="s">
        <v>1369</v>
      </c>
      <c r="AA1183" s="118"/>
      <c r="AB1183" s="207" t="s">
        <v>1386</v>
      </c>
      <c r="AC1183" s="145">
        <v>2361</v>
      </c>
      <c r="AD1183" s="145" t="s">
        <v>51</v>
      </c>
      <c r="AE1183" s="145" t="s">
        <v>51</v>
      </c>
      <c r="AF1183" s="145" t="s">
        <v>51</v>
      </c>
      <c r="AG1183" s="145"/>
      <c r="AH1183" s="117" t="s">
        <v>52</v>
      </c>
      <c r="AI1183" s="118">
        <v>0</v>
      </c>
      <c r="AJ1183" s="118"/>
      <c r="AK1183" s="118"/>
      <c r="AL1183" s="118"/>
      <c r="AM1183" s="118"/>
      <c r="AN1183" s="117" t="s">
        <v>47</v>
      </c>
      <c r="AO1183" s="214">
        <v>2575</v>
      </c>
      <c r="AP1183" s="118" t="s">
        <v>53</v>
      </c>
      <c r="AQ1183" s="2">
        <v>0</v>
      </c>
    </row>
    <row r="1184" s="23" customFormat="1" spans="1:43">
      <c r="A1184" s="118">
        <v>180010</v>
      </c>
      <c r="B1184" s="73" t="s">
        <v>1387</v>
      </c>
      <c r="C1184" s="118"/>
      <c r="D1184" s="118"/>
      <c r="E1184" s="118"/>
      <c r="F1184" s="118">
        <v>0</v>
      </c>
      <c r="G1184" s="118">
        <v>0</v>
      </c>
      <c r="H1184" s="131">
        <v>1</v>
      </c>
      <c r="I1184" s="118">
        <v>28</v>
      </c>
      <c r="J1184" s="118">
        <v>1</v>
      </c>
      <c r="K1184" s="145" t="s">
        <v>46</v>
      </c>
      <c r="L1184" s="117" t="s">
        <v>47</v>
      </c>
      <c r="M1184" s="66">
        <v>530097</v>
      </c>
      <c r="N1184" s="118">
        <v>0</v>
      </c>
      <c r="O1184" s="117" t="s">
        <v>48</v>
      </c>
      <c r="P1184" s="118">
        <v>1614</v>
      </c>
      <c r="Q1184" s="37">
        <v>960</v>
      </c>
      <c r="R1184" s="37">
        <v>560</v>
      </c>
      <c r="S1184" s="62">
        <v>136</v>
      </c>
      <c r="T1184" s="62">
        <v>257</v>
      </c>
      <c r="U1184" s="37">
        <v>3</v>
      </c>
      <c r="V1184" s="118"/>
      <c r="W1184" s="117" t="s">
        <v>47</v>
      </c>
      <c r="X1184" s="117"/>
      <c r="Y1184" s="203" t="s">
        <v>1369</v>
      </c>
      <c r="Z1184" s="206" t="s">
        <v>1369</v>
      </c>
      <c r="AA1184" s="118"/>
      <c r="AB1184" s="207" t="s">
        <v>1388</v>
      </c>
      <c r="AC1184" s="145">
        <v>2361</v>
      </c>
      <c r="AD1184" s="145" t="s">
        <v>51</v>
      </c>
      <c r="AE1184" s="145" t="s">
        <v>51</v>
      </c>
      <c r="AF1184" s="145" t="s">
        <v>51</v>
      </c>
      <c r="AG1184" s="145"/>
      <c r="AH1184" s="117" t="s">
        <v>52</v>
      </c>
      <c r="AI1184" s="118">
        <v>0</v>
      </c>
      <c r="AJ1184" s="118"/>
      <c r="AK1184" s="118"/>
      <c r="AL1184" s="118"/>
      <c r="AM1184" s="118"/>
      <c r="AN1184" s="117" t="s">
        <v>47</v>
      </c>
      <c r="AO1184" s="214">
        <v>2576</v>
      </c>
      <c r="AP1184" s="118" t="s">
        <v>53</v>
      </c>
      <c r="AQ1184" s="2">
        <v>0</v>
      </c>
    </row>
    <row r="1185" s="21" customFormat="1" spans="1:43">
      <c r="A1185" s="107">
        <v>180011</v>
      </c>
      <c r="B1185" s="189" t="s">
        <v>1389</v>
      </c>
      <c r="C1185" s="109"/>
      <c r="D1185" s="109"/>
      <c r="E1185" s="109"/>
      <c r="F1185" s="110">
        <v>0</v>
      </c>
      <c r="G1185" s="109">
        <v>0</v>
      </c>
      <c r="H1185" s="131" t="s">
        <v>45</v>
      </c>
      <c r="I1185" s="109">
        <v>28</v>
      </c>
      <c r="J1185" s="109">
        <v>0</v>
      </c>
      <c r="K1185" s="116" t="s">
        <v>46</v>
      </c>
      <c r="L1185" s="117" t="s">
        <v>47</v>
      </c>
      <c r="M1185" s="105">
        <v>1010166</v>
      </c>
      <c r="N1185" s="109">
        <v>0</v>
      </c>
      <c r="O1185" s="117" t="s">
        <v>48</v>
      </c>
      <c r="P1185" s="109">
        <v>0</v>
      </c>
      <c r="Q1185" s="60"/>
      <c r="R1185" s="60"/>
      <c r="S1185" s="63">
        <v>0</v>
      </c>
      <c r="T1185" s="63">
        <v>0</v>
      </c>
      <c r="U1185" s="63"/>
      <c r="V1185" s="109"/>
      <c r="W1185" s="117" t="s">
        <v>47</v>
      </c>
      <c r="X1185" s="117"/>
      <c r="Y1185" s="208" t="s">
        <v>1369</v>
      </c>
      <c r="Z1185" s="208" t="s">
        <v>1369</v>
      </c>
      <c r="AA1185" s="110"/>
      <c r="AB1185" s="108" t="s">
        <v>1388</v>
      </c>
      <c r="AC1185" s="119">
        <v>2361</v>
      </c>
      <c r="AD1185" s="116" t="s">
        <v>51</v>
      </c>
      <c r="AE1185" s="116" t="s">
        <v>51</v>
      </c>
      <c r="AF1185" s="116" t="s">
        <v>51</v>
      </c>
      <c r="AG1185" s="116"/>
      <c r="AH1185" s="117" t="s">
        <v>52</v>
      </c>
      <c r="AI1185" s="110">
        <v>1</v>
      </c>
      <c r="AJ1185" s="110"/>
      <c r="AK1185" s="110"/>
      <c r="AL1185" s="110"/>
      <c r="AM1185" s="110"/>
      <c r="AN1185" s="117" t="s">
        <v>47</v>
      </c>
      <c r="AO1185" s="166">
        <v>2577</v>
      </c>
      <c r="AP1185" s="110" t="s">
        <v>53</v>
      </c>
      <c r="AQ1185" s="2">
        <v>0</v>
      </c>
    </row>
    <row r="1186" s="8" customFormat="1" ht="12.75" spans="1:43">
      <c r="A1186" s="60">
        <v>170100</v>
      </c>
      <c r="B1186" s="84" t="s">
        <v>1390</v>
      </c>
      <c r="C1186" s="60"/>
      <c r="D1186" s="60"/>
      <c r="E1186" s="60"/>
      <c r="F1186" s="60">
        <v>0</v>
      </c>
      <c r="G1186" s="60">
        <v>0</v>
      </c>
      <c r="H1186" s="63">
        <v>1</v>
      </c>
      <c r="I1186" s="60">
        <v>7</v>
      </c>
      <c r="J1186" s="60">
        <v>0</v>
      </c>
      <c r="K1186" s="60" t="s">
        <v>46</v>
      </c>
      <c r="L1186" s="47" t="s">
        <v>47</v>
      </c>
      <c r="M1186" s="66">
        <v>1020111</v>
      </c>
      <c r="N1186" s="60">
        <v>0</v>
      </c>
      <c r="O1186" s="47" t="s">
        <v>48</v>
      </c>
      <c r="P1186" s="60">
        <v>0</v>
      </c>
      <c r="Q1186" s="60"/>
      <c r="R1186" s="60"/>
      <c r="S1186" s="60">
        <v>0</v>
      </c>
      <c r="T1186" s="60">
        <v>0</v>
      </c>
      <c r="U1186" s="60"/>
      <c r="V1186" s="60"/>
      <c r="W1186" s="47" t="s">
        <v>47</v>
      </c>
      <c r="X1186" s="47"/>
      <c r="Y1186" s="47"/>
      <c r="Z1186" s="12" t="s">
        <v>1391</v>
      </c>
      <c r="AA1186" s="60" t="s">
        <v>1347</v>
      </c>
      <c r="AB1186" s="60" t="s">
        <v>867</v>
      </c>
      <c r="AC1186" s="60">
        <v>2141</v>
      </c>
      <c r="AD1186" s="60" t="s">
        <v>51</v>
      </c>
      <c r="AE1186" s="60" t="s">
        <v>51</v>
      </c>
      <c r="AF1186" s="60" t="s">
        <v>51</v>
      </c>
      <c r="AG1186" s="60"/>
      <c r="AH1186" s="47" t="s">
        <v>52</v>
      </c>
      <c r="AI1186" s="60">
        <v>0</v>
      </c>
      <c r="AJ1186" s="60"/>
      <c r="AK1186" s="60"/>
      <c r="AL1186" s="60"/>
      <c r="AM1186" s="60"/>
      <c r="AN1186" s="47" t="s">
        <v>47</v>
      </c>
      <c r="AO1186" s="60">
        <v>2330</v>
      </c>
      <c r="AP1186" s="60" t="s">
        <v>53</v>
      </c>
      <c r="AQ1186" s="2">
        <v>0</v>
      </c>
    </row>
    <row r="1187" s="8" customFormat="1" ht="12.75" spans="1:43">
      <c r="A1187" s="60">
        <v>170101</v>
      </c>
      <c r="B1187" s="84" t="s">
        <v>1390</v>
      </c>
      <c r="C1187" s="60"/>
      <c r="D1187" s="60"/>
      <c r="E1187" s="60"/>
      <c r="F1187" s="60">
        <v>0</v>
      </c>
      <c r="G1187" s="60">
        <v>0</v>
      </c>
      <c r="H1187" s="185">
        <v>1</v>
      </c>
      <c r="I1187" s="60">
        <v>7</v>
      </c>
      <c r="J1187" s="60">
        <v>0</v>
      </c>
      <c r="K1187" s="60" t="s">
        <v>46</v>
      </c>
      <c r="L1187" s="47" t="s">
        <v>47</v>
      </c>
      <c r="M1187" s="66">
        <v>1020111</v>
      </c>
      <c r="N1187" s="60">
        <v>0</v>
      </c>
      <c r="O1187" s="47" t="s">
        <v>48</v>
      </c>
      <c r="P1187" s="60">
        <v>0</v>
      </c>
      <c r="Q1187" s="60"/>
      <c r="R1187" s="60"/>
      <c r="S1187" s="60">
        <v>0</v>
      </c>
      <c r="T1187" s="60">
        <v>0</v>
      </c>
      <c r="U1187" s="60"/>
      <c r="V1187" s="60"/>
      <c r="W1187" s="47" t="s">
        <v>47</v>
      </c>
      <c r="X1187" s="47"/>
      <c r="Y1187" s="47"/>
      <c r="Z1187" s="12" t="s">
        <v>1391</v>
      </c>
      <c r="AA1187" s="60" t="s">
        <v>1347</v>
      </c>
      <c r="AB1187" s="60" t="s">
        <v>867</v>
      </c>
      <c r="AC1187" s="60">
        <v>2141</v>
      </c>
      <c r="AD1187" s="60" t="s">
        <v>51</v>
      </c>
      <c r="AE1187" s="60" t="s">
        <v>51</v>
      </c>
      <c r="AF1187" s="60" t="s">
        <v>51</v>
      </c>
      <c r="AG1187" s="60"/>
      <c r="AH1187" s="47" t="s">
        <v>52</v>
      </c>
      <c r="AI1187" s="60">
        <v>0</v>
      </c>
      <c r="AJ1187" s="60"/>
      <c r="AK1187" s="60"/>
      <c r="AL1187" s="60"/>
      <c r="AM1187" s="60"/>
      <c r="AN1187" s="47" t="s">
        <v>47</v>
      </c>
      <c r="AO1187" s="60">
        <v>2331</v>
      </c>
      <c r="AP1187" s="60" t="s">
        <v>53</v>
      </c>
      <c r="AQ1187" s="2">
        <v>0</v>
      </c>
    </row>
    <row r="1188" s="8" customFormat="1" ht="12.75" spans="1:43">
      <c r="A1188" s="60">
        <v>170102</v>
      </c>
      <c r="B1188" s="84" t="s">
        <v>1390</v>
      </c>
      <c r="C1188" s="60"/>
      <c r="D1188" s="60"/>
      <c r="E1188" s="60"/>
      <c r="F1188" s="60">
        <v>0</v>
      </c>
      <c r="G1188" s="60">
        <v>0</v>
      </c>
      <c r="H1188" s="63">
        <v>1</v>
      </c>
      <c r="I1188" s="60">
        <v>7</v>
      </c>
      <c r="J1188" s="60">
        <v>0</v>
      </c>
      <c r="K1188" s="60" t="s">
        <v>46</v>
      </c>
      <c r="L1188" s="47" t="s">
        <v>47</v>
      </c>
      <c r="M1188" s="66">
        <v>1020111</v>
      </c>
      <c r="N1188" s="60">
        <v>0</v>
      </c>
      <c r="O1188" s="47" t="s">
        <v>48</v>
      </c>
      <c r="P1188" s="60">
        <v>0</v>
      </c>
      <c r="Q1188" s="60"/>
      <c r="R1188" s="60"/>
      <c r="S1188" s="60">
        <v>0</v>
      </c>
      <c r="T1188" s="60">
        <v>0</v>
      </c>
      <c r="U1188" s="60"/>
      <c r="V1188" s="60"/>
      <c r="W1188" s="47" t="s">
        <v>47</v>
      </c>
      <c r="X1188" s="47"/>
      <c r="Y1188" s="47"/>
      <c r="Z1188" s="12" t="s">
        <v>1391</v>
      </c>
      <c r="AA1188" s="60" t="s">
        <v>1347</v>
      </c>
      <c r="AB1188" s="60" t="s">
        <v>867</v>
      </c>
      <c r="AC1188" s="60">
        <v>2141</v>
      </c>
      <c r="AD1188" s="60" t="s">
        <v>51</v>
      </c>
      <c r="AE1188" s="60" t="s">
        <v>51</v>
      </c>
      <c r="AF1188" s="60" t="s">
        <v>51</v>
      </c>
      <c r="AG1188" s="60"/>
      <c r="AH1188" s="47" t="s">
        <v>52</v>
      </c>
      <c r="AI1188" s="60">
        <v>0</v>
      </c>
      <c r="AJ1188" s="60"/>
      <c r="AK1188" s="60"/>
      <c r="AL1188" s="60"/>
      <c r="AM1188" s="60"/>
      <c r="AN1188" s="47" t="s">
        <v>47</v>
      </c>
      <c r="AO1188" s="60">
        <v>2332</v>
      </c>
      <c r="AP1188" s="60" t="s">
        <v>53</v>
      </c>
      <c r="AQ1188" s="2">
        <v>0</v>
      </c>
    </row>
    <row r="1189" s="3" customFormat="1" ht="12.75" spans="1:124">
      <c r="A1189" s="12">
        <v>170103</v>
      </c>
      <c r="B1189" s="84" t="s">
        <v>1390</v>
      </c>
      <c r="C1189" s="60"/>
      <c r="D1189" s="60"/>
      <c r="E1189" s="60"/>
      <c r="F1189" s="60">
        <v>0</v>
      </c>
      <c r="G1189" s="60">
        <v>0</v>
      </c>
      <c r="H1189" s="185">
        <v>1</v>
      </c>
      <c r="I1189" s="60">
        <v>7</v>
      </c>
      <c r="J1189" s="60">
        <v>0</v>
      </c>
      <c r="K1189" s="60" t="s">
        <v>46</v>
      </c>
      <c r="L1189" s="47" t="s">
        <v>47</v>
      </c>
      <c r="M1189" s="66">
        <v>1020111</v>
      </c>
      <c r="N1189" s="60">
        <v>0</v>
      </c>
      <c r="O1189" s="47" t="s">
        <v>48</v>
      </c>
      <c r="P1189" s="60">
        <v>0</v>
      </c>
      <c r="Q1189" s="60"/>
      <c r="R1189" s="60"/>
      <c r="S1189" s="60">
        <v>0</v>
      </c>
      <c r="T1189" s="60">
        <v>0</v>
      </c>
      <c r="U1189" s="60"/>
      <c r="V1189" s="60"/>
      <c r="W1189" s="47" t="s">
        <v>47</v>
      </c>
      <c r="X1189" s="47"/>
      <c r="Y1189" s="47"/>
      <c r="Z1189" s="12" t="s">
        <v>1391</v>
      </c>
      <c r="AA1189" s="60" t="s">
        <v>1347</v>
      </c>
      <c r="AB1189" s="60" t="s">
        <v>867</v>
      </c>
      <c r="AC1189" s="60">
        <v>2141</v>
      </c>
      <c r="AD1189" s="60" t="s">
        <v>51</v>
      </c>
      <c r="AE1189" s="60" t="s">
        <v>51</v>
      </c>
      <c r="AF1189" s="60" t="s">
        <v>51</v>
      </c>
      <c r="AG1189" s="60"/>
      <c r="AH1189" s="47" t="s">
        <v>52</v>
      </c>
      <c r="AI1189" s="60">
        <v>0</v>
      </c>
      <c r="AJ1189" s="60"/>
      <c r="AK1189" s="60"/>
      <c r="AL1189" s="60"/>
      <c r="AM1189" s="60"/>
      <c r="AN1189" s="47" t="s">
        <v>47</v>
      </c>
      <c r="AO1189" s="60">
        <v>2333</v>
      </c>
      <c r="AP1189" s="60" t="s">
        <v>53</v>
      </c>
      <c r="AQ1189" s="2">
        <v>0</v>
      </c>
      <c r="AR1189" s="8"/>
      <c r="AS1189" s="8"/>
      <c r="AT1189" s="8"/>
      <c r="AU1189" s="8"/>
      <c r="AV1189" s="8"/>
      <c r="AW1189" s="8"/>
      <c r="AX1189" s="8"/>
      <c r="AY1189" s="8"/>
      <c r="AZ1189" s="8"/>
      <c r="BA1189" s="8"/>
      <c r="BB1189" s="8"/>
      <c r="BC1189" s="8"/>
      <c r="BD1189" s="8"/>
      <c r="BE1189" s="8"/>
      <c r="BF1189" s="8"/>
      <c r="BG1189" s="8"/>
      <c r="BH1189" s="8"/>
      <c r="BI1189" s="8"/>
      <c r="BJ1189" s="8"/>
      <c r="BK1189" s="8"/>
      <c r="BL1189" s="8"/>
      <c r="BM1189" s="8"/>
      <c r="BN1189" s="8"/>
      <c r="BO1189" s="8"/>
      <c r="BP1189" s="8"/>
      <c r="BQ1189" s="8"/>
      <c r="BR1189" s="8"/>
      <c r="BS1189" s="8"/>
      <c r="BT1189" s="8"/>
      <c r="BU1189" s="8"/>
      <c r="BV1189" s="8"/>
      <c r="BW1189" s="8"/>
      <c r="BX1189" s="8"/>
      <c r="BY1189" s="8"/>
      <c r="BZ1189" s="8"/>
      <c r="CA1189" s="8"/>
      <c r="CB1189" s="8"/>
      <c r="CC1189" s="8"/>
      <c r="CD1189" s="8"/>
      <c r="CE1189" s="8"/>
      <c r="CF1189" s="8"/>
      <c r="CG1189" s="8"/>
      <c r="CH1189" s="8"/>
      <c r="CI1189" s="8"/>
      <c r="CJ1189" s="8"/>
      <c r="CK1189" s="8"/>
      <c r="CL1189" s="8"/>
      <c r="CM1189" s="8"/>
      <c r="CN1189" s="8"/>
      <c r="CO1189" s="8"/>
      <c r="CP1189" s="8"/>
      <c r="CQ1189" s="8"/>
      <c r="CR1189" s="8"/>
      <c r="CS1189" s="8"/>
      <c r="CT1189" s="8"/>
      <c r="CU1189" s="8"/>
      <c r="CV1189" s="8"/>
      <c r="CW1189" s="8"/>
      <c r="CX1189" s="8"/>
      <c r="CY1189" s="8"/>
      <c r="CZ1189" s="8"/>
      <c r="DA1189" s="8"/>
      <c r="DB1189" s="8"/>
      <c r="DC1189" s="8"/>
      <c r="DD1189" s="8"/>
      <c r="DE1189" s="8"/>
      <c r="DF1189" s="8"/>
      <c r="DG1189" s="8"/>
      <c r="DH1189" s="8"/>
      <c r="DI1189" s="8"/>
      <c r="DJ1189" s="8"/>
      <c r="DK1189" s="8"/>
      <c r="DL1189" s="8"/>
      <c r="DM1189" s="8"/>
      <c r="DN1189" s="8"/>
      <c r="DO1189" s="8"/>
      <c r="DP1189" s="8"/>
      <c r="DQ1189" s="8"/>
      <c r="DR1189" s="8"/>
      <c r="DS1189" s="8"/>
      <c r="DT1189" s="8"/>
    </row>
    <row r="1190" s="2" customFormat="1" ht="12.75" spans="1:124">
      <c r="A1190" s="11">
        <v>170104</v>
      </c>
      <c r="B1190" s="84" t="s">
        <v>1392</v>
      </c>
      <c r="C1190" s="60"/>
      <c r="D1190" s="60"/>
      <c r="E1190" s="60"/>
      <c r="F1190" s="60">
        <v>0</v>
      </c>
      <c r="G1190" s="60">
        <v>0</v>
      </c>
      <c r="H1190" s="63">
        <v>1</v>
      </c>
      <c r="I1190" s="60">
        <v>7</v>
      </c>
      <c r="J1190" s="60">
        <v>0</v>
      </c>
      <c r="K1190" s="60" t="s">
        <v>46</v>
      </c>
      <c r="L1190" s="47" t="s">
        <v>47</v>
      </c>
      <c r="M1190" s="66">
        <v>1020117</v>
      </c>
      <c r="N1190" s="60">
        <v>0</v>
      </c>
      <c r="O1190" s="47" t="s">
        <v>48</v>
      </c>
      <c r="P1190" s="60">
        <v>0</v>
      </c>
      <c r="Q1190" s="60"/>
      <c r="R1190" s="60"/>
      <c r="S1190" s="60">
        <v>0</v>
      </c>
      <c r="T1190" s="60">
        <v>0</v>
      </c>
      <c r="U1190" s="60"/>
      <c r="V1190" s="60"/>
      <c r="W1190" s="47" t="s">
        <v>47</v>
      </c>
      <c r="X1190" s="47"/>
      <c r="Y1190" s="47"/>
      <c r="Z1190" s="12" t="s">
        <v>1391</v>
      </c>
      <c r="AA1190" s="60" t="s">
        <v>1347</v>
      </c>
      <c r="AB1190" s="60" t="s">
        <v>867</v>
      </c>
      <c r="AC1190" s="60">
        <v>2141</v>
      </c>
      <c r="AD1190" s="60" t="s">
        <v>51</v>
      </c>
      <c r="AE1190" s="60" t="s">
        <v>51</v>
      </c>
      <c r="AF1190" s="60" t="s">
        <v>51</v>
      </c>
      <c r="AG1190" s="60"/>
      <c r="AH1190" s="47" t="s">
        <v>52</v>
      </c>
      <c r="AI1190" s="60">
        <v>0</v>
      </c>
      <c r="AJ1190" s="60"/>
      <c r="AK1190" s="60"/>
      <c r="AL1190" s="60"/>
      <c r="AM1190" s="60"/>
      <c r="AN1190" s="47" t="s">
        <v>47</v>
      </c>
      <c r="AO1190" s="60">
        <v>2334</v>
      </c>
      <c r="AP1190" s="60" t="s">
        <v>53</v>
      </c>
      <c r="AQ1190" s="2">
        <v>0</v>
      </c>
      <c r="AR1190" s="8"/>
      <c r="AS1190" s="8"/>
      <c r="AT1190" s="8"/>
      <c r="AU1190" s="8"/>
      <c r="AV1190" s="8"/>
      <c r="AW1190" s="8"/>
      <c r="AX1190" s="8"/>
      <c r="AY1190" s="8"/>
      <c r="AZ1190" s="8"/>
      <c r="BA1190" s="8"/>
      <c r="BB1190" s="8"/>
      <c r="BC1190" s="8"/>
      <c r="BD1190" s="8"/>
      <c r="BE1190" s="8"/>
      <c r="BF1190" s="8"/>
      <c r="BG1190" s="8"/>
      <c r="BH1190" s="8"/>
      <c r="BI1190" s="8"/>
      <c r="BJ1190" s="8"/>
      <c r="BK1190" s="8"/>
      <c r="BL1190" s="8"/>
      <c r="BM1190" s="8"/>
      <c r="BN1190" s="8"/>
      <c r="BO1190" s="8"/>
      <c r="BP1190" s="8"/>
      <c r="BQ1190" s="8"/>
      <c r="BR1190" s="8"/>
      <c r="BS1190" s="8"/>
      <c r="BT1190" s="8"/>
      <c r="BU1190" s="8"/>
      <c r="BV1190" s="8"/>
      <c r="BW1190" s="8"/>
      <c r="BX1190" s="8"/>
      <c r="BY1190" s="8"/>
      <c r="BZ1190" s="8"/>
      <c r="CA1190" s="8"/>
      <c r="CB1190" s="8"/>
      <c r="CC1190" s="8"/>
      <c r="CD1190" s="8"/>
      <c r="CE1190" s="8"/>
      <c r="CF1190" s="8"/>
      <c r="CG1190" s="8"/>
      <c r="CH1190" s="8"/>
      <c r="CI1190" s="8"/>
      <c r="CJ1190" s="8"/>
      <c r="CK1190" s="8"/>
      <c r="CL1190" s="8"/>
      <c r="CM1190" s="8"/>
      <c r="CN1190" s="8"/>
      <c r="CO1190" s="8"/>
      <c r="CP1190" s="8"/>
      <c r="CQ1190" s="8"/>
      <c r="CR1190" s="8"/>
      <c r="CS1190" s="8"/>
      <c r="CT1190" s="8"/>
      <c r="CU1190" s="8"/>
      <c r="CV1190" s="8"/>
      <c r="CW1190" s="8"/>
      <c r="CX1190" s="8"/>
      <c r="CY1190" s="8"/>
      <c r="CZ1190" s="8"/>
      <c r="DA1190" s="8"/>
      <c r="DB1190" s="8"/>
      <c r="DC1190" s="8"/>
      <c r="DD1190" s="8"/>
      <c r="DE1190" s="8"/>
      <c r="DF1190" s="8"/>
      <c r="DG1190" s="8"/>
      <c r="DH1190" s="8"/>
      <c r="DI1190" s="8"/>
      <c r="DJ1190" s="8"/>
      <c r="DK1190" s="8"/>
      <c r="DL1190" s="8"/>
      <c r="DM1190" s="8"/>
      <c r="DN1190" s="8"/>
      <c r="DO1190" s="8"/>
      <c r="DP1190" s="8"/>
      <c r="DQ1190" s="8"/>
      <c r="DR1190" s="8"/>
      <c r="DS1190" s="8"/>
      <c r="DT1190" s="8"/>
    </row>
    <row r="1191" s="3" customFormat="1" ht="12.75" spans="1:124">
      <c r="A1191" s="12">
        <v>170105</v>
      </c>
      <c r="B1191" s="84" t="s">
        <v>1392</v>
      </c>
      <c r="C1191" s="60"/>
      <c r="D1191" s="60"/>
      <c r="E1191" s="60"/>
      <c r="F1191" s="60">
        <v>0</v>
      </c>
      <c r="G1191" s="60">
        <v>0</v>
      </c>
      <c r="H1191" s="185">
        <v>1</v>
      </c>
      <c r="I1191" s="60">
        <v>7</v>
      </c>
      <c r="J1191" s="60">
        <v>0</v>
      </c>
      <c r="K1191" s="60" t="s">
        <v>46</v>
      </c>
      <c r="L1191" s="47" t="s">
        <v>47</v>
      </c>
      <c r="M1191" s="66">
        <v>1020117</v>
      </c>
      <c r="N1191" s="60">
        <v>0</v>
      </c>
      <c r="O1191" s="47" t="s">
        <v>48</v>
      </c>
      <c r="P1191" s="60">
        <v>0</v>
      </c>
      <c r="Q1191" s="60"/>
      <c r="R1191" s="60"/>
      <c r="S1191" s="60">
        <v>0</v>
      </c>
      <c r="T1191" s="60">
        <v>0</v>
      </c>
      <c r="U1191" s="60"/>
      <c r="V1191" s="60"/>
      <c r="W1191" s="47" t="s">
        <v>47</v>
      </c>
      <c r="X1191" s="47"/>
      <c r="Y1191" s="47"/>
      <c r="Z1191" s="12" t="s">
        <v>1391</v>
      </c>
      <c r="AA1191" s="60" t="s">
        <v>1347</v>
      </c>
      <c r="AB1191" s="60" t="s">
        <v>867</v>
      </c>
      <c r="AC1191" s="60">
        <v>2141</v>
      </c>
      <c r="AD1191" s="60" t="s">
        <v>51</v>
      </c>
      <c r="AE1191" s="60" t="s">
        <v>51</v>
      </c>
      <c r="AF1191" s="60" t="s">
        <v>51</v>
      </c>
      <c r="AG1191" s="60"/>
      <c r="AH1191" s="47" t="s">
        <v>52</v>
      </c>
      <c r="AI1191" s="60">
        <v>0</v>
      </c>
      <c r="AJ1191" s="60"/>
      <c r="AK1191" s="60"/>
      <c r="AL1191" s="60"/>
      <c r="AM1191" s="60"/>
      <c r="AN1191" s="47" t="s">
        <v>47</v>
      </c>
      <c r="AO1191" s="60">
        <v>2335</v>
      </c>
      <c r="AP1191" s="60" t="s">
        <v>53</v>
      </c>
      <c r="AQ1191" s="2">
        <v>0</v>
      </c>
      <c r="AR1191" s="8"/>
      <c r="AS1191" s="8"/>
      <c r="AT1191" s="8"/>
      <c r="AU1191" s="8"/>
      <c r="AV1191" s="8"/>
      <c r="AW1191" s="8"/>
      <c r="AX1191" s="8"/>
      <c r="AY1191" s="8"/>
      <c r="AZ1191" s="8"/>
      <c r="BA1191" s="8"/>
      <c r="BB1191" s="8"/>
      <c r="BC1191" s="8"/>
      <c r="BD1191" s="8"/>
      <c r="BE1191" s="8"/>
      <c r="BF1191" s="8"/>
      <c r="BG1191" s="8"/>
      <c r="BH1191" s="8"/>
      <c r="BI1191" s="8"/>
      <c r="BJ1191" s="8"/>
      <c r="BK1191" s="8"/>
      <c r="BL1191" s="8"/>
      <c r="BM1191" s="8"/>
      <c r="BN1191" s="8"/>
      <c r="BO1191" s="8"/>
      <c r="BP1191" s="8"/>
      <c r="BQ1191" s="8"/>
      <c r="BR1191" s="8"/>
      <c r="BS1191" s="8"/>
      <c r="BT1191" s="8"/>
      <c r="BU1191" s="8"/>
      <c r="BV1191" s="8"/>
      <c r="BW1191" s="8"/>
      <c r="BX1191" s="8"/>
      <c r="BY1191" s="8"/>
      <c r="BZ1191" s="8"/>
      <c r="CA1191" s="8"/>
      <c r="CB1191" s="8"/>
      <c r="CC1191" s="8"/>
      <c r="CD1191" s="8"/>
      <c r="CE1191" s="8"/>
      <c r="CF1191" s="8"/>
      <c r="CG1191" s="8"/>
      <c r="CH1191" s="8"/>
      <c r="CI1191" s="8"/>
      <c r="CJ1191" s="8"/>
      <c r="CK1191" s="8"/>
      <c r="CL1191" s="8"/>
      <c r="CM1191" s="8"/>
      <c r="CN1191" s="8"/>
      <c r="CO1191" s="8"/>
      <c r="CP1191" s="8"/>
      <c r="CQ1191" s="8"/>
      <c r="CR1191" s="8"/>
      <c r="CS1191" s="8"/>
      <c r="CT1191" s="8"/>
      <c r="CU1191" s="8"/>
      <c r="CV1191" s="8"/>
      <c r="CW1191" s="8"/>
      <c r="CX1191" s="8"/>
      <c r="CY1191" s="8"/>
      <c r="CZ1191" s="8"/>
      <c r="DA1191" s="8"/>
      <c r="DB1191" s="8"/>
      <c r="DC1191" s="8"/>
      <c r="DD1191" s="8"/>
      <c r="DE1191" s="8"/>
      <c r="DF1191" s="8"/>
      <c r="DG1191" s="8"/>
      <c r="DH1191" s="8"/>
      <c r="DI1191" s="8"/>
      <c r="DJ1191" s="8"/>
      <c r="DK1191" s="8"/>
      <c r="DL1191" s="8"/>
      <c r="DM1191" s="8"/>
      <c r="DN1191" s="8"/>
      <c r="DO1191" s="8"/>
      <c r="DP1191" s="8"/>
      <c r="DQ1191" s="8"/>
      <c r="DR1191" s="8"/>
      <c r="DS1191" s="8"/>
      <c r="DT1191" s="8"/>
    </row>
    <row r="1192" s="2" customFormat="1" ht="12.75" spans="1:128">
      <c r="A1192" s="11">
        <v>170106</v>
      </c>
      <c r="B1192" s="84" t="s">
        <v>1392</v>
      </c>
      <c r="C1192" s="60"/>
      <c r="D1192" s="60"/>
      <c r="E1192" s="60"/>
      <c r="F1192" s="60">
        <v>0</v>
      </c>
      <c r="G1192" s="60">
        <v>0</v>
      </c>
      <c r="H1192" s="63">
        <v>1</v>
      </c>
      <c r="I1192" s="60">
        <v>7</v>
      </c>
      <c r="J1192" s="60">
        <v>0</v>
      </c>
      <c r="K1192" s="60" t="s">
        <v>46</v>
      </c>
      <c r="L1192" s="47" t="s">
        <v>47</v>
      </c>
      <c r="M1192" s="66">
        <v>1020117</v>
      </c>
      <c r="N1192" s="60">
        <v>0</v>
      </c>
      <c r="O1192" s="47" t="s">
        <v>48</v>
      </c>
      <c r="P1192" s="60">
        <v>0</v>
      </c>
      <c r="Q1192" s="60"/>
      <c r="R1192" s="60"/>
      <c r="S1192" s="60">
        <v>0</v>
      </c>
      <c r="T1192" s="60">
        <v>0</v>
      </c>
      <c r="U1192" s="60"/>
      <c r="V1192" s="60"/>
      <c r="W1192" s="47" t="s">
        <v>47</v>
      </c>
      <c r="X1192" s="47"/>
      <c r="Y1192" s="47"/>
      <c r="Z1192" s="12" t="s">
        <v>1391</v>
      </c>
      <c r="AA1192" s="60" t="s">
        <v>1347</v>
      </c>
      <c r="AB1192" s="60" t="s">
        <v>867</v>
      </c>
      <c r="AC1192" s="60">
        <v>2141</v>
      </c>
      <c r="AD1192" s="60" t="s">
        <v>51</v>
      </c>
      <c r="AE1192" s="60" t="s">
        <v>51</v>
      </c>
      <c r="AF1192" s="60" t="s">
        <v>51</v>
      </c>
      <c r="AG1192" s="60"/>
      <c r="AH1192" s="47" t="s">
        <v>52</v>
      </c>
      <c r="AI1192" s="60">
        <v>0</v>
      </c>
      <c r="AJ1192" s="60"/>
      <c r="AK1192" s="60"/>
      <c r="AL1192" s="60"/>
      <c r="AM1192" s="60"/>
      <c r="AN1192" s="47" t="s">
        <v>47</v>
      </c>
      <c r="AO1192" s="60">
        <v>2336</v>
      </c>
      <c r="AP1192" s="60" t="s">
        <v>53</v>
      </c>
      <c r="AQ1192" s="2">
        <v>0</v>
      </c>
      <c r="AR1192" s="8"/>
      <c r="AS1192" s="8"/>
      <c r="AT1192" s="8"/>
      <c r="AU1192" s="8"/>
      <c r="AV1192" s="8"/>
      <c r="AW1192" s="8"/>
      <c r="AX1192" s="8"/>
      <c r="AY1192" s="8"/>
      <c r="AZ1192" s="8"/>
      <c r="BA1192" s="8"/>
      <c r="BB1192" s="8"/>
      <c r="BC1192" s="8"/>
      <c r="BD1192" s="8"/>
      <c r="BE1192" s="8"/>
      <c r="BF1192" s="8"/>
      <c r="BG1192" s="8"/>
      <c r="BH1192" s="8"/>
      <c r="BI1192" s="8"/>
      <c r="BJ1192" s="8"/>
      <c r="BK1192" s="8"/>
      <c r="BL1192" s="8"/>
      <c r="BM1192" s="8"/>
      <c r="BN1192" s="8"/>
      <c r="BO1192" s="8"/>
      <c r="BP1192" s="8"/>
      <c r="BQ1192" s="8"/>
      <c r="BR1192" s="8"/>
      <c r="BS1192" s="8"/>
      <c r="BT1192" s="8"/>
      <c r="BU1192" s="8"/>
      <c r="BV1192" s="8"/>
      <c r="BW1192" s="8"/>
      <c r="BX1192" s="8"/>
      <c r="BY1192" s="8"/>
      <c r="BZ1192" s="8"/>
      <c r="CA1192" s="8"/>
      <c r="CB1192" s="8"/>
      <c r="CC1192" s="8"/>
      <c r="CD1192" s="8"/>
      <c r="CE1192" s="8"/>
      <c r="CF1192" s="8"/>
      <c r="CG1192" s="8"/>
      <c r="CH1192" s="8"/>
      <c r="CI1192" s="8"/>
      <c r="CJ1192" s="8"/>
      <c r="CK1192" s="8"/>
      <c r="CL1192" s="8"/>
      <c r="CM1192" s="8"/>
      <c r="CN1192" s="8"/>
      <c r="CO1192" s="8"/>
      <c r="CP1192" s="8"/>
      <c r="CQ1192" s="8"/>
      <c r="CR1192" s="8"/>
      <c r="CS1192" s="8"/>
      <c r="CT1192" s="8"/>
      <c r="CU1192" s="8"/>
      <c r="CV1192" s="8"/>
      <c r="CW1192" s="8"/>
      <c r="CX1192" s="8"/>
      <c r="CY1192" s="8"/>
      <c r="CZ1192" s="8"/>
      <c r="DA1192" s="8"/>
      <c r="DB1192" s="8"/>
      <c r="DC1192" s="8"/>
      <c r="DD1192" s="8"/>
      <c r="DE1192" s="8"/>
      <c r="DF1192" s="8"/>
      <c r="DG1192" s="8"/>
      <c r="DH1192" s="8"/>
      <c r="DI1192" s="8"/>
      <c r="DJ1192" s="8"/>
      <c r="DK1192" s="8"/>
      <c r="DL1192" s="8"/>
      <c r="DM1192" s="8"/>
      <c r="DN1192" s="8"/>
      <c r="DO1192" s="8"/>
      <c r="DP1192" s="8"/>
      <c r="DQ1192" s="8"/>
      <c r="DR1192" s="8"/>
      <c r="DS1192" s="8"/>
      <c r="DT1192" s="8"/>
      <c r="DU1192" s="3"/>
      <c r="DV1192" s="3"/>
      <c r="DW1192" s="3"/>
      <c r="DX1192" s="3"/>
    </row>
    <row r="1193" s="7" customFormat="1" ht="12.75" spans="1:43">
      <c r="A1193" s="11">
        <v>170107</v>
      </c>
      <c r="B1193" s="68" t="s">
        <v>1393</v>
      </c>
      <c r="C1193" s="44"/>
      <c r="D1193" s="44"/>
      <c r="E1193" s="44"/>
      <c r="F1193" s="44">
        <v>0</v>
      </c>
      <c r="G1193" s="44" t="s">
        <v>47</v>
      </c>
      <c r="H1193" s="185" t="s">
        <v>45</v>
      </c>
      <c r="I1193" s="44" t="s">
        <v>45</v>
      </c>
      <c r="J1193" s="44">
        <v>1</v>
      </c>
      <c r="K1193" s="44" t="s">
        <v>46</v>
      </c>
      <c r="L1193" s="47" t="s">
        <v>47</v>
      </c>
      <c r="M1193" s="196">
        <v>1050101</v>
      </c>
      <c r="N1193" s="44">
        <v>0</v>
      </c>
      <c r="O1193" s="47" t="s">
        <v>48</v>
      </c>
      <c r="P1193" s="44">
        <v>1615</v>
      </c>
      <c r="Q1193" s="44">
        <v>2688</v>
      </c>
      <c r="R1193" s="44">
        <v>950</v>
      </c>
      <c r="S1193" s="44">
        <v>239</v>
      </c>
      <c r="T1193" s="44">
        <v>199</v>
      </c>
      <c r="U1193" s="44">
        <v>3</v>
      </c>
      <c r="V1193" s="44"/>
      <c r="W1193" s="47" t="s">
        <v>47</v>
      </c>
      <c r="X1193" s="47" t="s">
        <v>227</v>
      </c>
      <c r="Y1193" s="47" t="str">
        <f t="shared" ref="Y1193:Y1197" si="414">B1193</f>
        <v>坐骑商城</v>
      </c>
      <c r="Z1193" s="68"/>
      <c r="AA1193" s="44"/>
      <c r="AB1193" s="44" t="s">
        <v>471</v>
      </c>
      <c r="AC1193" s="11">
        <v>2040</v>
      </c>
      <c r="AD1193" s="11">
        <v>2041</v>
      </c>
      <c r="AE1193" s="11">
        <v>2042</v>
      </c>
      <c r="AF1193" s="11">
        <v>2043</v>
      </c>
      <c r="AG1193" s="11"/>
      <c r="AH1193" s="47" t="s">
        <v>52</v>
      </c>
      <c r="AI1193" s="11" t="s">
        <v>47</v>
      </c>
      <c r="AJ1193" s="11" t="s">
        <v>90</v>
      </c>
      <c r="AK1193" s="11" t="s">
        <v>228</v>
      </c>
      <c r="AL1193" s="11" t="s">
        <v>91</v>
      </c>
      <c r="AM1193" s="11" t="s">
        <v>93</v>
      </c>
      <c r="AN1193" s="47" t="s">
        <v>47</v>
      </c>
      <c r="AO1193" s="44"/>
      <c r="AP1193" s="44" t="s">
        <v>53</v>
      </c>
      <c r="AQ1193" s="2">
        <v>0</v>
      </c>
    </row>
    <row r="1194" s="7" customFormat="1" ht="12.75" spans="1:43">
      <c r="A1194" s="11">
        <v>170108</v>
      </c>
      <c r="B1194" s="68" t="s">
        <v>1394</v>
      </c>
      <c r="C1194" s="44"/>
      <c r="D1194" s="44"/>
      <c r="E1194" s="44"/>
      <c r="F1194" s="44">
        <v>0</v>
      </c>
      <c r="G1194" s="44" t="s">
        <v>47</v>
      </c>
      <c r="H1194" s="185" t="s">
        <v>45</v>
      </c>
      <c r="I1194" s="44" t="s">
        <v>45</v>
      </c>
      <c r="J1194" s="44">
        <v>1</v>
      </c>
      <c r="K1194" s="44" t="s">
        <v>46</v>
      </c>
      <c r="L1194" s="47" t="s">
        <v>47</v>
      </c>
      <c r="M1194" s="50">
        <v>1020128</v>
      </c>
      <c r="N1194" s="44">
        <v>0</v>
      </c>
      <c r="O1194" s="47" t="s">
        <v>48</v>
      </c>
      <c r="P1194" s="44">
        <v>1615</v>
      </c>
      <c r="Q1194" s="44">
        <v>2688</v>
      </c>
      <c r="R1194" s="44">
        <v>950</v>
      </c>
      <c r="S1194" s="44">
        <v>256</v>
      </c>
      <c r="T1194" s="44">
        <v>186</v>
      </c>
      <c r="U1194" s="44">
        <v>3</v>
      </c>
      <c r="V1194" s="44"/>
      <c r="W1194" s="47" t="s">
        <v>47</v>
      </c>
      <c r="X1194" s="47" t="s">
        <v>227</v>
      </c>
      <c r="Y1194" s="47" t="str">
        <f t="shared" si="414"/>
        <v>兽决商城</v>
      </c>
      <c r="Z1194" s="68"/>
      <c r="AA1194" s="44"/>
      <c r="AB1194" s="44" t="s">
        <v>471</v>
      </c>
      <c r="AC1194" s="11">
        <v>2040</v>
      </c>
      <c r="AD1194" s="11">
        <v>2041</v>
      </c>
      <c r="AE1194" s="11">
        <v>2042</v>
      </c>
      <c r="AF1194" s="11">
        <v>2043</v>
      </c>
      <c r="AG1194" s="11"/>
      <c r="AH1194" s="47" t="s">
        <v>52</v>
      </c>
      <c r="AI1194" s="11" t="s">
        <v>47</v>
      </c>
      <c r="AJ1194" s="11" t="s">
        <v>90</v>
      </c>
      <c r="AK1194" s="11" t="s">
        <v>228</v>
      </c>
      <c r="AL1194" s="11" t="s">
        <v>91</v>
      </c>
      <c r="AM1194" s="11" t="s">
        <v>93</v>
      </c>
      <c r="AN1194" s="47" t="s">
        <v>47</v>
      </c>
      <c r="AO1194" s="44"/>
      <c r="AP1194" s="44" t="s">
        <v>53</v>
      </c>
      <c r="AQ1194" s="2">
        <v>0</v>
      </c>
    </row>
    <row r="1195" s="7" customFormat="1" ht="12.75" spans="1:43">
      <c r="A1195" s="11">
        <v>170109</v>
      </c>
      <c r="B1195" s="68" t="s">
        <v>1395</v>
      </c>
      <c r="C1195" s="44"/>
      <c r="D1195" s="44"/>
      <c r="E1195" s="44"/>
      <c r="F1195" s="44">
        <v>0</v>
      </c>
      <c r="G1195" s="44" t="s">
        <v>47</v>
      </c>
      <c r="H1195" s="63" t="s">
        <v>45</v>
      </c>
      <c r="I1195" s="44" t="s">
        <v>45</v>
      </c>
      <c r="J1195" s="44">
        <v>1</v>
      </c>
      <c r="K1195" s="44" t="s">
        <v>46</v>
      </c>
      <c r="L1195" s="47" t="s">
        <v>47</v>
      </c>
      <c r="M1195" s="50">
        <v>1020129</v>
      </c>
      <c r="N1195" s="44">
        <v>0</v>
      </c>
      <c r="O1195" s="47" t="s">
        <v>48</v>
      </c>
      <c r="P1195" s="44">
        <v>1615</v>
      </c>
      <c r="Q1195" s="44">
        <v>2688</v>
      </c>
      <c r="R1195" s="44">
        <v>950</v>
      </c>
      <c r="S1195" s="44">
        <v>139</v>
      </c>
      <c r="T1195" s="44">
        <v>142</v>
      </c>
      <c r="U1195" s="44">
        <v>3</v>
      </c>
      <c r="V1195" s="44"/>
      <c r="W1195" s="47" t="s">
        <v>47</v>
      </c>
      <c r="X1195" s="47" t="s">
        <v>227</v>
      </c>
      <c r="Y1195" s="47" t="str">
        <f t="shared" si="414"/>
        <v>灵饰商城</v>
      </c>
      <c r="Z1195" s="68"/>
      <c r="AA1195" s="44"/>
      <c r="AB1195" s="44" t="s">
        <v>471</v>
      </c>
      <c r="AC1195" s="11">
        <v>2040</v>
      </c>
      <c r="AD1195" s="11">
        <v>2041</v>
      </c>
      <c r="AE1195" s="11">
        <v>2042</v>
      </c>
      <c r="AF1195" s="11">
        <v>2043</v>
      </c>
      <c r="AG1195" s="11"/>
      <c r="AH1195" s="47" t="s">
        <v>52</v>
      </c>
      <c r="AI1195" s="11" t="s">
        <v>47</v>
      </c>
      <c r="AJ1195" s="11" t="s">
        <v>90</v>
      </c>
      <c r="AK1195" s="11" t="s">
        <v>228</v>
      </c>
      <c r="AL1195" s="11" t="s">
        <v>91</v>
      </c>
      <c r="AM1195" s="11" t="s">
        <v>93</v>
      </c>
      <c r="AN1195" s="47" t="s">
        <v>47</v>
      </c>
      <c r="AO1195" s="44"/>
      <c r="AP1195" s="44" t="s">
        <v>53</v>
      </c>
      <c r="AQ1195" s="2">
        <v>0</v>
      </c>
    </row>
    <row r="1196" s="7" customFormat="1" ht="12.75" spans="1:43">
      <c r="A1196" s="11">
        <v>170110</v>
      </c>
      <c r="B1196" s="68" t="s">
        <v>1396</v>
      </c>
      <c r="C1196" s="44"/>
      <c r="D1196" s="44"/>
      <c r="E1196" s="44"/>
      <c r="F1196" s="44">
        <v>0</v>
      </c>
      <c r="G1196" s="44" t="s">
        <v>47</v>
      </c>
      <c r="H1196" s="63" t="s">
        <v>45</v>
      </c>
      <c r="I1196" s="44" t="s">
        <v>45</v>
      </c>
      <c r="J1196" s="44">
        <v>1</v>
      </c>
      <c r="K1196" s="44" t="s">
        <v>46</v>
      </c>
      <c r="L1196" s="47" t="s">
        <v>47</v>
      </c>
      <c r="M1196" s="50">
        <v>1020130</v>
      </c>
      <c r="N1196" s="44">
        <v>0</v>
      </c>
      <c r="O1196" s="47" t="s">
        <v>48</v>
      </c>
      <c r="P1196" s="44">
        <v>1615</v>
      </c>
      <c r="Q1196" s="44">
        <v>2688</v>
      </c>
      <c r="R1196" s="44">
        <v>950</v>
      </c>
      <c r="S1196" s="44">
        <v>139</v>
      </c>
      <c r="T1196" s="44">
        <v>142</v>
      </c>
      <c r="U1196" s="44">
        <v>3</v>
      </c>
      <c r="V1196" s="44"/>
      <c r="W1196" s="47" t="s">
        <v>47</v>
      </c>
      <c r="X1196" s="47" t="s">
        <v>227</v>
      </c>
      <c r="Y1196" s="47" t="str">
        <f t="shared" si="414"/>
        <v>灵兽商店</v>
      </c>
      <c r="Z1196" s="68"/>
      <c r="AA1196" s="44"/>
      <c r="AB1196" s="44" t="s">
        <v>471</v>
      </c>
      <c r="AC1196" s="11">
        <v>2040</v>
      </c>
      <c r="AD1196" s="11">
        <v>2041</v>
      </c>
      <c r="AE1196" s="11">
        <v>2042</v>
      </c>
      <c r="AF1196" s="11">
        <v>2043</v>
      </c>
      <c r="AG1196" s="11"/>
      <c r="AH1196" s="47" t="s">
        <v>52</v>
      </c>
      <c r="AI1196" s="11" t="s">
        <v>47</v>
      </c>
      <c r="AJ1196" s="11" t="s">
        <v>90</v>
      </c>
      <c r="AK1196" s="11" t="s">
        <v>228</v>
      </c>
      <c r="AL1196" s="11" t="s">
        <v>91</v>
      </c>
      <c r="AM1196" s="11" t="s">
        <v>93</v>
      </c>
      <c r="AN1196" s="47" t="s">
        <v>47</v>
      </c>
      <c r="AO1196" s="44"/>
      <c r="AP1196" s="44" t="s">
        <v>53</v>
      </c>
      <c r="AQ1196" s="2">
        <v>0</v>
      </c>
    </row>
    <row r="1197" s="7" customFormat="1" spans="1:43">
      <c r="A1197">
        <v>170112</v>
      </c>
      <c r="B1197" s="68" t="s">
        <v>1397</v>
      </c>
      <c r="C1197" s="44"/>
      <c r="D1197" s="44"/>
      <c r="E1197" s="44"/>
      <c r="F1197" s="44">
        <v>0</v>
      </c>
      <c r="G1197" s="44" t="s">
        <v>47</v>
      </c>
      <c r="H1197" s="63" t="s">
        <v>45</v>
      </c>
      <c r="I1197" s="44" t="s">
        <v>45</v>
      </c>
      <c r="J1197" s="44">
        <v>1</v>
      </c>
      <c r="K1197" s="44" t="s">
        <v>46</v>
      </c>
      <c r="L1197" s="47" t="s">
        <v>47</v>
      </c>
      <c r="M1197" s="197">
        <v>1030018</v>
      </c>
      <c r="N1197" s="44">
        <v>0</v>
      </c>
      <c r="O1197" s="47" t="s">
        <v>48</v>
      </c>
      <c r="P1197" s="44">
        <v>1615</v>
      </c>
      <c r="Q1197" s="44">
        <v>2688</v>
      </c>
      <c r="R1197" s="44">
        <v>950</v>
      </c>
      <c r="S1197" s="44">
        <v>139</v>
      </c>
      <c r="T1197" s="44">
        <v>142</v>
      </c>
      <c r="U1197" s="44">
        <v>3</v>
      </c>
      <c r="V1197" s="44"/>
      <c r="W1197" s="47" t="s">
        <v>47</v>
      </c>
      <c r="X1197" s="47" t="s">
        <v>227</v>
      </c>
      <c r="Y1197" s="47" t="str">
        <f t="shared" si="414"/>
        <v>宠物商店</v>
      </c>
      <c r="Z1197" s="68"/>
      <c r="AA1197" s="44"/>
      <c r="AB1197" s="44" t="s">
        <v>471</v>
      </c>
      <c r="AC1197" s="11">
        <v>2040</v>
      </c>
      <c r="AD1197" s="11">
        <v>2041</v>
      </c>
      <c r="AE1197" s="11">
        <v>2042</v>
      </c>
      <c r="AF1197" s="11">
        <v>2043</v>
      </c>
      <c r="AG1197" s="11"/>
      <c r="AH1197" s="47" t="s">
        <v>52</v>
      </c>
      <c r="AI1197" s="11" t="s">
        <v>47</v>
      </c>
      <c r="AJ1197" s="11" t="s">
        <v>90</v>
      </c>
      <c r="AK1197" s="11" t="s">
        <v>228</v>
      </c>
      <c r="AL1197" s="11" t="s">
        <v>91</v>
      </c>
      <c r="AM1197" s="11" t="s">
        <v>93</v>
      </c>
      <c r="AN1197" s="47" t="s">
        <v>47</v>
      </c>
      <c r="AO1197" s="44"/>
      <c r="AP1197" s="44" t="s">
        <v>53</v>
      </c>
      <c r="AQ1197" s="2">
        <v>0</v>
      </c>
    </row>
    <row r="1198" s="30" customFormat="1" spans="1:43">
      <c r="A1198">
        <v>170113</v>
      </c>
      <c r="B1198" s="190" t="s">
        <v>1398</v>
      </c>
      <c r="C1198" s="191"/>
      <c r="D1198" s="191"/>
      <c r="E1198" s="191"/>
      <c r="F1198" s="192">
        <v>0</v>
      </c>
      <c r="G1198" s="191">
        <v>0</v>
      </c>
      <c r="H1198" s="44" t="s">
        <v>45</v>
      </c>
      <c r="I1198" s="44" t="s">
        <v>45</v>
      </c>
      <c r="J1198" s="44">
        <v>1</v>
      </c>
      <c r="K1198" s="198" t="s">
        <v>295</v>
      </c>
      <c r="L1198" s="191" t="s">
        <v>47</v>
      </c>
      <c r="M1198" s="44">
        <v>1020131</v>
      </c>
      <c r="N1198" s="191">
        <v>0</v>
      </c>
      <c r="O1198" s="191" t="s">
        <v>48</v>
      </c>
      <c r="P1198" s="44">
        <v>1615</v>
      </c>
      <c r="Q1198" s="44">
        <v>2688</v>
      </c>
      <c r="R1198" s="44">
        <v>950</v>
      </c>
      <c r="S1198" s="44">
        <v>139</v>
      </c>
      <c r="T1198" s="44">
        <v>142</v>
      </c>
      <c r="U1198" s="191">
        <v>3</v>
      </c>
      <c r="V1198" s="191"/>
      <c r="W1198" s="191" t="s">
        <v>47</v>
      </c>
      <c r="X1198" s="47" t="s">
        <v>227</v>
      </c>
      <c r="Y1198" s="191"/>
      <c r="Z1198" s="190" t="s">
        <v>1399</v>
      </c>
      <c r="AA1198" s="191"/>
      <c r="AB1198" s="44" t="s">
        <v>471</v>
      </c>
      <c r="AC1198" s="11">
        <v>2789</v>
      </c>
      <c r="AD1198" s="11">
        <v>2792</v>
      </c>
      <c r="AE1198" s="11"/>
      <c r="AF1198" s="11"/>
      <c r="AG1198" s="191"/>
      <c r="AH1198" s="191" t="s">
        <v>52</v>
      </c>
      <c r="AI1198" s="191">
        <v>0</v>
      </c>
      <c r="AJ1198" s="11" t="s">
        <v>90</v>
      </c>
      <c r="AK1198" s="11" t="s">
        <v>228</v>
      </c>
      <c r="AL1198" s="11" t="s">
        <v>91</v>
      </c>
      <c r="AM1198" s="11" t="s">
        <v>93</v>
      </c>
      <c r="AN1198" s="191" t="s">
        <v>47</v>
      </c>
      <c r="AO1198" s="215"/>
      <c r="AP1198" s="191" t="s">
        <v>53</v>
      </c>
      <c r="AQ1198" s="30">
        <v>0</v>
      </c>
    </row>
    <row r="1199" s="30" customFormat="1" spans="1:43">
      <c r="A1199">
        <v>170114</v>
      </c>
      <c r="B1199" s="190" t="s">
        <v>1400</v>
      </c>
      <c r="C1199" s="191"/>
      <c r="D1199" s="191"/>
      <c r="E1199" s="191"/>
      <c r="F1199" s="192">
        <v>0</v>
      </c>
      <c r="G1199" s="191">
        <v>0</v>
      </c>
      <c r="H1199" s="44" t="s">
        <v>45</v>
      </c>
      <c r="I1199" s="44" t="s">
        <v>45</v>
      </c>
      <c r="J1199" s="44">
        <v>1</v>
      </c>
      <c r="K1199" s="198" t="s">
        <v>295</v>
      </c>
      <c r="L1199" s="191" t="s">
        <v>47</v>
      </c>
      <c r="M1199" s="71">
        <v>540015</v>
      </c>
      <c r="N1199" s="191">
        <v>0</v>
      </c>
      <c r="O1199" s="191" t="s">
        <v>48</v>
      </c>
      <c r="P1199" s="44">
        <v>1615</v>
      </c>
      <c r="Q1199" s="44">
        <v>2688</v>
      </c>
      <c r="R1199" s="44">
        <v>950</v>
      </c>
      <c r="S1199" s="44">
        <v>139</v>
      </c>
      <c r="T1199" s="44">
        <v>142</v>
      </c>
      <c r="U1199" s="191">
        <v>3</v>
      </c>
      <c r="V1199" s="191"/>
      <c r="W1199" s="191" t="s">
        <v>47</v>
      </c>
      <c r="X1199" s="47" t="s">
        <v>227</v>
      </c>
      <c r="Y1199" s="191"/>
      <c r="Z1199" s="191"/>
      <c r="AA1199" s="191"/>
      <c r="AB1199" s="44" t="s">
        <v>471</v>
      </c>
      <c r="AC1199" s="11">
        <v>2788</v>
      </c>
      <c r="AD1199" s="11"/>
      <c r="AE1199" s="11"/>
      <c r="AF1199" s="11"/>
      <c r="AG1199" s="191"/>
      <c r="AH1199" s="191" t="s">
        <v>52</v>
      </c>
      <c r="AI1199" s="191">
        <v>0</v>
      </c>
      <c r="AJ1199" s="11" t="s">
        <v>90</v>
      </c>
      <c r="AK1199" s="11" t="s">
        <v>228</v>
      </c>
      <c r="AL1199" s="11" t="s">
        <v>91</v>
      </c>
      <c r="AM1199" s="11" t="s">
        <v>93</v>
      </c>
      <c r="AN1199" s="191" t="s">
        <v>47</v>
      </c>
      <c r="AO1199" s="215"/>
      <c r="AP1199" s="191" t="s">
        <v>53</v>
      </c>
      <c r="AQ1199" s="30">
        <v>0</v>
      </c>
    </row>
    <row r="1200" s="30" customFormat="1" spans="1:43">
      <c r="A1200">
        <v>170115</v>
      </c>
      <c r="B1200" s="190" t="s">
        <v>523</v>
      </c>
      <c r="C1200" s="191"/>
      <c r="D1200" s="191"/>
      <c r="E1200" s="191"/>
      <c r="F1200" s="192">
        <v>0</v>
      </c>
      <c r="G1200" s="191">
        <v>0</v>
      </c>
      <c r="H1200" s="44" t="s">
        <v>45</v>
      </c>
      <c r="I1200" s="44" t="s">
        <v>45</v>
      </c>
      <c r="J1200" s="44">
        <v>1</v>
      </c>
      <c r="K1200" s="198" t="s">
        <v>295</v>
      </c>
      <c r="L1200" s="191" t="s">
        <v>47</v>
      </c>
      <c r="M1200" s="71">
        <v>1010159</v>
      </c>
      <c r="N1200" s="191">
        <v>0</v>
      </c>
      <c r="O1200" s="191" t="s">
        <v>48</v>
      </c>
      <c r="P1200" s="44">
        <v>1615</v>
      </c>
      <c r="Q1200" s="44">
        <v>2688</v>
      </c>
      <c r="R1200" s="44">
        <v>950</v>
      </c>
      <c r="S1200" s="44">
        <v>139</v>
      </c>
      <c r="T1200" s="44">
        <v>142</v>
      </c>
      <c r="U1200" s="191">
        <v>3</v>
      </c>
      <c r="V1200" s="191"/>
      <c r="W1200" s="191" t="s">
        <v>47</v>
      </c>
      <c r="X1200" s="47" t="s">
        <v>227</v>
      </c>
      <c r="Y1200" s="190" t="s">
        <v>523</v>
      </c>
      <c r="Z1200" s="191"/>
      <c r="AA1200" s="191"/>
      <c r="AB1200" s="44" t="s">
        <v>471</v>
      </c>
      <c r="AC1200" s="11">
        <v>2040</v>
      </c>
      <c r="AD1200" s="11">
        <v>2041</v>
      </c>
      <c r="AE1200" s="11">
        <v>2042</v>
      </c>
      <c r="AF1200" s="11">
        <v>2043</v>
      </c>
      <c r="AG1200" s="191"/>
      <c r="AH1200" s="191" t="s">
        <v>52</v>
      </c>
      <c r="AI1200" s="191">
        <v>0</v>
      </c>
      <c r="AJ1200" s="11" t="s">
        <v>90</v>
      </c>
      <c r="AK1200" s="11" t="s">
        <v>228</v>
      </c>
      <c r="AL1200" s="11" t="s">
        <v>91</v>
      </c>
      <c r="AM1200" s="11" t="s">
        <v>93</v>
      </c>
      <c r="AN1200" s="191" t="s">
        <v>47</v>
      </c>
      <c r="AO1200" s="215"/>
      <c r="AP1200" s="191" t="s">
        <v>53</v>
      </c>
      <c r="AQ1200" s="30">
        <v>0</v>
      </c>
    </row>
    <row r="1201" s="30" customFormat="1" spans="1:43">
      <c r="A1201">
        <v>170116</v>
      </c>
      <c r="B1201" s="190" t="s">
        <v>1401</v>
      </c>
      <c r="C1201" s="191"/>
      <c r="D1201" s="191"/>
      <c r="E1201" s="191"/>
      <c r="F1201" s="192">
        <v>0</v>
      </c>
      <c r="G1201" s="191">
        <v>0</v>
      </c>
      <c r="H1201" s="44">
        <v>1.5</v>
      </c>
      <c r="I1201" s="44" t="s">
        <v>45</v>
      </c>
      <c r="J1201" s="44">
        <v>1</v>
      </c>
      <c r="K1201" s="198" t="s">
        <v>295</v>
      </c>
      <c r="L1201" s="191" t="s">
        <v>47</v>
      </c>
      <c r="M1201" s="71">
        <v>1010177</v>
      </c>
      <c r="N1201" s="191">
        <v>0</v>
      </c>
      <c r="O1201" s="191" t="s">
        <v>48</v>
      </c>
      <c r="P1201" s="44">
        <v>2300</v>
      </c>
      <c r="Q1201" s="44">
        <v>2688</v>
      </c>
      <c r="R1201" s="44">
        <v>950</v>
      </c>
      <c r="S1201" s="44">
        <v>139</v>
      </c>
      <c r="T1201" s="44">
        <v>142</v>
      </c>
      <c r="U1201" s="191">
        <v>3</v>
      </c>
      <c r="V1201" s="191"/>
      <c r="W1201" s="191" t="s">
        <v>47</v>
      </c>
      <c r="X1201" s="47" t="s">
        <v>227</v>
      </c>
      <c r="Y1201" s="190" t="s">
        <v>756</v>
      </c>
      <c r="Z1201" s="191" t="s">
        <v>756</v>
      </c>
      <c r="AA1201" s="191"/>
      <c r="AB1201" s="44" t="s">
        <v>471</v>
      </c>
      <c r="AC1201" s="11"/>
      <c r="AD1201" s="11"/>
      <c r="AE1201" s="11"/>
      <c r="AF1201" s="11"/>
      <c r="AG1201" s="191"/>
      <c r="AH1201" s="191" t="s">
        <v>52</v>
      </c>
      <c r="AI1201" s="191">
        <v>0</v>
      </c>
      <c r="AJ1201" s="11" t="s">
        <v>90</v>
      </c>
      <c r="AK1201" s="11" t="s">
        <v>228</v>
      </c>
      <c r="AL1201" s="11" t="s">
        <v>91</v>
      </c>
      <c r="AM1201" s="11" t="s">
        <v>93</v>
      </c>
      <c r="AN1201" s="191" t="s">
        <v>47</v>
      </c>
      <c r="AO1201" s="215">
        <v>3199</v>
      </c>
      <c r="AP1201" s="191" t="s">
        <v>53</v>
      </c>
      <c r="AQ1201" s="30">
        <v>0</v>
      </c>
    </row>
    <row r="1202" s="30" customFormat="1" spans="1:43">
      <c r="A1202">
        <v>170117</v>
      </c>
      <c r="B1202" s="190" t="s">
        <v>433</v>
      </c>
      <c r="C1202" s="191"/>
      <c r="D1202" s="191"/>
      <c r="E1202" s="191"/>
      <c r="F1202" s="192">
        <v>0</v>
      </c>
      <c r="G1202" s="191">
        <v>0</v>
      </c>
      <c r="H1202" s="44" t="s">
        <v>45</v>
      </c>
      <c r="I1202" s="44" t="s">
        <v>45</v>
      </c>
      <c r="J1202" s="44">
        <v>1</v>
      </c>
      <c r="K1202" s="198" t="s">
        <v>295</v>
      </c>
      <c r="L1202" s="191" t="s">
        <v>47</v>
      </c>
      <c r="M1202" s="199">
        <v>1060103</v>
      </c>
      <c r="N1202" s="191">
        <v>0</v>
      </c>
      <c r="O1202" s="191" t="s">
        <v>48</v>
      </c>
      <c r="P1202" s="44">
        <v>1615</v>
      </c>
      <c r="Q1202" s="44">
        <v>2688</v>
      </c>
      <c r="R1202" s="44">
        <v>950</v>
      </c>
      <c r="S1202" s="44">
        <v>258</v>
      </c>
      <c r="T1202" s="44">
        <v>196</v>
      </c>
      <c r="U1202" s="191">
        <v>3</v>
      </c>
      <c r="V1202" s="191"/>
      <c r="W1202" s="191" t="s">
        <v>47</v>
      </c>
      <c r="X1202" s="47" t="s">
        <v>227</v>
      </c>
      <c r="Y1202" s="190" t="s">
        <v>433</v>
      </c>
      <c r="Z1202" s="191" t="s">
        <v>757</v>
      </c>
      <c r="AA1202" s="191"/>
      <c r="AB1202" s="44" t="s">
        <v>471</v>
      </c>
      <c r="AC1202" s="11"/>
      <c r="AD1202" s="11"/>
      <c r="AE1202" s="11"/>
      <c r="AF1202" s="11"/>
      <c r="AG1202" s="191"/>
      <c r="AH1202" s="191" t="s">
        <v>52</v>
      </c>
      <c r="AI1202" s="191">
        <v>0</v>
      </c>
      <c r="AJ1202" s="11" t="s">
        <v>90</v>
      </c>
      <c r="AK1202" s="11" t="s">
        <v>228</v>
      </c>
      <c r="AL1202" s="11" t="s">
        <v>91</v>
      </c>
      <c r="AM1202" s="11" t="s">
        <v>93</v>
      </c>
      <c r="AN1202" s="191" t="s">
        <v>47</v>
      </c>
      <c r="AO1202" s="215"/>
      <c r="AP1202" s="191" t="s">
        <v>53</v>
      </c>
      <c r="AQ1202" s="30">
        <v>0</v>
      </c>
    </row>
    <row r="1203" s="7" customFormat="1" spans="1:43">
      <c r="A1203">
        <v>170118</v>
      </c>
      <c r="B1203" s="68" t="s">
        <v>1402</v>
      </c>
      <c r="C1203" s="44"/>
      <c r="D1203" s="44"/>
      <c r="E1203" s="44"/>
      <c r="F1203" s="44">
        <v>0</v>
      </c>
      <c r="G1203" s="44" t="s">
        <v>47</v>
      </c>
      <c r="H1203" s="63">
        <v>0.8</v>
      </c>
      <c r="I1203" s="44" t="s">
        <v>45</v>
      </c>
      <c r="J1203" s="44">
        <v>1</v>
      </c>
      <c r="K1203" s="44" t="s">
        <v>46</v>
      </c>
      <c r="L1203" s="47" t="s">
        <v>47</v>
      </c>
      <c r="M1203" s="44">
        <v>1020131</v>
      </c>
      <c r="N1203" s="44">
        <v>0</v>
      </c>
      <c r="O1203" s="47" t="s">
        <v>48</v>
      </c>
      <c r="P1203" s="44">
        <v>1615</v>
      </c>
      <c r="Q1203" s="44">
        <v>2688</v>
      </c>
      <c r="R1203" s="44">
        <v>950</v>
      </c>
      <c r="S1203" s="44">
        <v>139</v>
      </c>
      <c r="T1203" s="44">
        <v>142</v>
      </c>
      <c r="U1203" s="44">
        <v>3</v>
      </c>
      <c r="V1203" s="44"/>
      <c r="W1203" s="47" t="s">
        <v>47</v>
      </c>
      <c r="X1203" s="47" t="s">
        <v>227</v>
      </c>
      <c r="Y1203" s="47" t="str">
        <f>B1203</f>
        <v>打造商城</v>
      </c>
      <c r="Z1203" s="68"/>
      <c r="AA1203" s="44"/>
      <c r="AB1203" s="44" t="s">
        <v>471</v>
      </c>
      <c r="AC1203" s="11">
        <v>2040</v>
      </c>
      <c r="AD1203" s="11">
        <v>2041</v>
      </c>
      <c r="AE1203" s="11">
        <v>2042</v>
      </c>
      <c r="AF1203" s="11">
        <v>2043</v>
      </c>
      <c r="AG1203" s="11"/>
      <c r="AH1203" s="47" t="s">
        <v>52</v>
      </c>
      <c r="AI1203" s="11" t="s">
        <v>47</v>
      </c>
      <c r="AJ1203" s="11" t="s">
        <v>90</v>
      </c>
      <c r="AK1203" s="11" t="s">
        <v>228</v>
      </c>
      <c r="AL1203" s="11" t="s">
        <v>91</v>
      </c>
      <c r="AM1203" s="11" t="s">
        <v>93</v>
      </c>
      <c r="AN1203" s="47" t="s">
        <v>47</v>
      </c>
      <c r="AO1203" s="44"/>
      <c r="AP1203" s="44" t="s">
        <v>53</v>
      </c>
      <c r="AQ1203" s="2">
        <v>0</v>
      </c>
    </row>
    <row r="1204" s="30" customFormat="1" spans="1:43">
      <c r="A1204">
        <v>170119</v>
      </c>
      <c r="B1204" s="191" t="s">
        <v>1403</v>
      </c>
      <c r="C1204" s="191"/>
      <c r="D1204" s="191"/>
      <c r="E1204" s="191"/>
      <c r="F1204" s="192">
        <v>0</v>
      </c>
      <c r="G1204" s="191">
        <v>0</v>
      </c>
      <c r="H1204" s="44" t="s">
        <v>45</v>
      </c>
      <c r="I1204" s="44" t="s">
        <v>45</v>
      </c>
      <c r="J1204" s="44">
        <v>1</v>
      </c>
      <c r="K1204" s="198" t="s">
        <v>295</v>
      </c>
      <c r="L1204" s="191" t="s">
        <v>47</v>
      </c>
      <c r="M1204" s="44">
        <v>1020131</v>
      </c>
      <c r="N1204" s="191">
        <v>0</v>
      </c>
      <c r="O1204" s="191" t="s">
        <v>48</v>
      </c>
      <c r="P1204" s="44">
        <v>1615</v>
      </c>
      <c r="Q1204" s="44">
        <v>2688</v>
      </c>
      <c r="R1204" s="44">
        <v>950</v>
      </c>
      <c r="S1204" s="44">
        <v>258</v>
      </c>
      <c r="T1204" s="44">
        <v>196</v>
      </c>
      <c r="U1204" s="191">
        <v>3</v>
      </c>
      <c r="V1204" s="191"/>
      <c r="W1204" s="191" t="s">
        <v>47</v>
      </c>
      <c r="X1204" s="47" t="s">
        <v>227</v>
      </c>
      <c r="Y1204" s="190" t="s">
        <v>1404</v>
      </c>
      <c r="Z1204" s="191" t="s">
        <v>1403</v>
      </c>
      <c r="AA1204" s="191"/>
      <c r="AB1204" s="44" t="s">
        <v>471</v>
      </c>
      <c r="AC1204" s="11">
        <v>2790</v>
      </c>
      <c r="AD1204" s="209">
        <v>2793</v>
      </c>
      <c r="AE1204" s="11"/>
      <c r="AF1204" s="11"/>
      <c r="AG1204" s="191"/>
      <c r="AH1204" s="191" t="s">
        <v>52</v>
      </c>
      <c r="AI1204" s="191">
        <v>0</v>
      </c>
      <c r="AJ1204" s="11" t="s">
        <v>90</v>
      </c>
      <c r="AK1204" s="11" t="s">
        <v>228</v>
      </c>
      <c r="AL1204" s="11" t="s">
        <v>91</v>
      </c>
      <c r="AM1204" s="11" t="s">
        <v>93</v>
      </c>
      <c r="AN1204" s="191" t="s">
        <v>47</v>
      </c>
      <c r="AO1204" s="215"/>
      <c r="AP1204" s="191" t="s">
        <v>53</v>
      </c>
      <c r="AQ1204" s="30">
        <v>0</v>
      </c>
    </row>
    <row r="1205" s="30" customFormat="1" spans="1:43">
      <c r="A1205">
        <v>170120</v>
      </c>
      <c r="B1205" s="190" t="s">
        <v>1405</v>
      </c>
      <c r="C1205" s="191"/>
      <c r="D1205" s="191"/>
      <c r="E1205" s="191"/>
      <c r="F1205" s="192">
        <v>0</v>
      </c>
      <c r="G1205" s="191">
        <v>0</v>
      </c>
      <c r="H1205" s="44" t="s">
        <v>45</v>
      </c>
      <c r="I1205" s="44" t="s">
        <v>45</v>
      </c>
      <c r="J1205" s="44">
        <v>1</v>
      </c>
      <c r="K1205" s="198" t="s">
        <v>295</v>
      </c>
      <c r="L1205" s="191" t="s">
        <v>47</v>
      </c>
      <c r="M1205" s="196">
        <v>1050101</v>
      </c>
      <c r="N1205" s="191">
        <v>0</v>
      </c>
      <c r="O1205" s="191" t="s">
        <v>48</v>
      </c>
      <c r="P1205" s="44">
        <v>1615</v>
      </c>
      <c r="Q1205" s="44">
        <v>2688</v>
      </c>
      <c r="R1205" s="44">
        <v>950</v>
      </c>
      <c r="S1205" s="44">
        <v>258</v>
      </c>
      <c r="T1205" s="44">
        <v>196</v>
      </c>
      <c r="U1205" s="191">
        <v>3</v>
      </c>
      <c r="V1205" s="191"/>
      <c r="W1205" s="191" t="s">
        <v>47</v>
      </c>
      <c r="X1205" s="47" t="s">
        <v>227</v>
      </c>
      <c r="Y1205" s="190" t="s">
        <v>1406</v>
      </c>
      <c r="Z1205" s="191" t="s">
        <v>1406</v>
      </c>
      <c r="AA1205" s="191"/>
      <c r="AB1205" s="44" t="s">
        <v>471</v>
      </c>
      <c r="AC1205" s="11">
        <v>2791</v>
      </c>
      <c r="AD1205" s="11"/>
      <c r="AE1205" s="11"/>
      <c r="AF1205" s="11"/>
      <c r="AG1205" s="191"/>
      <c r="AH1205" s="191" t="s">
        <v>52</v>
      </c>
      <c r="AI1205" s="191">
        <v>0</v>
      </c>
      <c r="AJ1205" s="11" t="s">
        <v>90</v>
      </c>
      <c r="AK1205" s="11" t="s">
        <v>228</v>
      </c>
      <c r="AL1205" s="11" t="s">
        <v>91</v>
      </c>
      <c r="AM1205" s="11" t="s">
        <v>93</v>
      </c>
      <c r="AN1205" s="191" t="s">
        <v>47</v>
      </c>
      <c r="AO1205" s="215"/>
      <c r="AP1205" s="191" t="s">
        <v>53</v>
      </c>
      <c r="AQ1205" s="30">
        <v>0</v>
      </c>
    </row>
    <row r="1206" s="30" customFormat="1" spans="1:43">
      <c r="A1206">
        <v>170121</v>
      </c>
      <c r="B1206" s="190" t="s">
        <v>63</v>
      </c>
      <c r="C1206" s="191"/>
      <c r="D1206" s="191"/>
      <c r="E1206" s="191"/>
      <c r="F1206" s="192">
        <v>0</v>
      </c>
      <c r="G1206" s="191">
        <v>0</v>
      </c>
      <c r="H1206" s="44">
        <v>0.6</v>
      </c>
      <c r="I1206" s="44" t="s">
        <v>45</v>
      </c>
      <c r="J1206" s="44">
        <v>1</v>
      </c>
      <c r="K1206" s="198" t="s">
        <v>295</v>
      </c>
      <c r="L1206" s="191" t="s">
        <v>47</v>
      </c>
      <c r="M1206" s="71">
        <v>540028</v>
      </c>
      <c r="N1206" s="191">
        <v>0</v>
      </c>
      <c r="O1206" s="191" t="s">
        <v>48</v>
      </c>
      <c r="P1206" s="44">
        <v>2300</v>
      </c>
      <c r="Q1206" s="44">
        <v>2688</v>
      </c>
      <c r="R1206" s="44">
        <v>950</v>
      </c>
      <c r="S1206" s="44">
        <v>139</v>
      </c>
      <c r="T1206" s="44">
        <v>142</v>
      </c>
      <c r="U1206" s="191">
        <v>3</v>
      </c>
      <c r="V1206" s="191"/>
      <c r="W1206" s="191" t="s">
        <v>47</v>
      </c>
      <c r="X1206" s="47" t="s">
        <v>227</v>
      </c>
      <c r="Y1206" s="190" t="s">
        <v>1407</v>
      </c>
      <c r="Z1206" s="190" t="s">
        <v>1407</v>
      </c>
      <c r="AA1206" s="191"/>
      <c r="AB1206" s="44" t="s">
        <v>471</v>
      </c>
      <c r="AC1206" s="11"/>
      <c r="AD1206" s="11"/>
      <c r="AE1206" s="11"/>
      <c r="AF1206" s="11"/>
      <c r="AG1206" s="191"/>
      <c r="AH1206" s="191" t="s">
        <v>52</v>
      </c>
      <c r="AI1206" s="191">
        <v>0</v>
      </c>
      <c r="AJ1206" s="11" t="s">
        <v>90</v>
      </c>
      <c r="AK1206" s="11" t="s">
        <v>228</v>
      </c>
      <c r="AL1206" s="11" t="s">
        <v>91</v>
      </c>
      <c r="AM1206" s="11" t="s">
        <v>93</v>
      </c>
      <c r="AN1206" s="191" t="s">
        <v>47</v>
      </c>
      <c r="AO1206" s="215">
        <v>3199</v>
      </c>
      <c r="AP1206" s="191" t="s">
        <v>53</v>
      </c>
      <c r="AQ1206" s="30">
        <v>0</v>
      </c>
    </row>
    <row r="1207" s="30" customFormat="1" spans="1:43">
      <c r="A1207">
        <v>170122</v>
      </c>
      <c r="B1207" s="190" t="s">
        <v>63</v>
      </c>
      <c r="C1207" s="191"/>
      <c r="D1207" s="191"/>
      <c r="E1207" s="191"/>
      <c r="F1207" s="192">
        <v>0</v>
      </c>
      <c r="G1207" s="191">
        <v>0</v>
      </c>
      <c r="H1207" s="44">
        <v>0.6</v>
      </c>
      <c r="I1207" s="44" t="s">
        <v>45</v>
      </c>
      <c r="J1207" s="44">
        <v>1</v>
      </c>
      <c r="K1207" s="198" t="s">
        <v>295</v>
      </c>
      <c r="L1207" s="191" t="s">
        <v>47</v>
      </c>
      <c r="M1207" s="71">
        <v>540029</v>
      </c>
      <c r="N1207" s="191">
        <v>0</v>
      </c>
      <c r="O1207" s="191" t="s">
        <v>48</v>
      </c>
      <c r="P1207" s="44">
        <v>2300</v>
      </c>
      <c r="Q1207" s="44">
        <v>2688</v>
      </c>
      <c r="R1207" s="44">
        <v>950</v>
      </c>
      <c r="S1207" s="44">
        <v>139</v>
      </c>
      <c r="T1207" s="44">
        <v>142</v>
      </c>
      <c r="U1207" s="191">
        <v>3</v>
      </c>
      <c r="V1207" s="191"/>
      <c r="W1207" s="191" t="s">
        <v>47</v>
      </c>
      <c r="X1207" s="47" t="s">
        <v>227</v>
      </c>
      <c r="Y1207" s="190" t="s">
        <v>1408</v>
      </c>
      <c r="Z1207" s="190" t="s">
        <v>1408</v>
      </c>
      <c r="AA1207" s="191"/>
      <c r="AB1207" s="44" t="s">
        <v>471</v>
      </c>
      <c r="AC1207" s="11"/>
      <c r="AD1207" s="11"/>
      <c r="AE1207" s="11"/>
      <c r="AF1207" s="11"/>
      <c r="AG1207" s="191"/>
      <c r="AH1207" s="191" t="s">
        <v>52</v>
      </c>
      <c r="AI1207" s="191">
        <v>0</v>
      </c>
      <c r="AJ1207" s="11" t="s">
        <v>90</v>
      </c>
      <c r="AK1207" s="11" t="s">
        <v>228</v>
      </c>
      <c r="AL1207" s="11" t="s">
        <v>91</v>
      </c>
      <c r="AM1207" s="11" t="s">
        <v>93</v>
      </c>
      <c r="AN1207" s="191" t="s">
        <v>47</v>
      </c>
      <c r="AO1207" s="215">
        <v>3199</v>
      </c>
      <c r="AP1207" s="191" t="s">
        <v>53</v>
      </c>
      <c r="AQ1207" s="30">
        <v>0</v>
      </c>
    </row>
    <row r="1208" s="30" customFormat="1" spans="1:43">
      <c r="A1208">
        <v>170123</v>
      </c>
      <c r="B1208" s="190" t="s">
        <v>63</v>
      </c>
      <c r="C1208" s="191"/>
      <c r="D1208" s="191"/>
      <c r="E1208" s="191"/>
      <c r="F1208" s="192">
        <v>0</v>
      </c>
      <c r="G1208" s="191">
        <v>0</v>
      </c>
      <c r="H1208" s="44">
        <v>0.6</v>
      </c>
      <c r="I1208" s="44" t="s">
        <v>45</v>
      </c>
      <c r="J1208" s="44">
        <v>1</v>
      </c>
      <c r="K1208" s="198" t="s">
        <v>295</v>
      </c>
      <c r="L1208" s="191" t="s">
        <v>47</v>
      </c>
      <c r="M1208" s="71">
        <v>540023</v>
      </c>
      <c r="N1208" s="191">
        <v>0</v>
      </c>
      <c r="O1208" s="191" t="s">
        <v>48</v>
      </c>
      <c r="P1208" s="44">
        <v>2300</v>
      </c>
      <c r="Q1208" s="44">
        <v>2688</v>
      </c>
      <c r="R1208" s="44">
        <v>950</v>
      </c>
      <c r="S1208" s="44">
        <v>139</v>
      </c>
      <c r="T1208" s="44">
        <v>142</v>
      </c>
      <c r="U1208" s="191">
        <v>3</v>
      </c>
      <c r="V1208" s="191"/>
      <c r="W1208" s="191" t="s">
        <v>47</v>
      </c>
      <c r="X1208" s="47" t="s">
        <v>227</v>
      </c>
      <c r="Y1208" s="190" t="s">
        <v>1409</v>
      </c>
      <c r="Z1208" s="190" t="s">
        <v>1409</v>
      </c>
      <c r="AA1208" s="191"/>
      <c r="AB1208" s="44" t="s">
        <v>471</v>
      </c>
      <c r="AC1208" s="11"/>
      <c r="AD1208" s="11"/>
      <c r="AE1208" s="11"/>
      <c r="AF1208" s="11"/>
      <c r="AG1208" s="191"/>
      <c r="AH1208" s="191" t="s">
        <v>52</v>
      </c>
      <c r="AI1208" s="191">
        <v>0</v>
      </c>
      <c r="AJ1208" s="11" t="s">
        <v>90</v>
      </c>
      <c r="AK1208" s="11" t="s">
        <v>228</v>
      </c>
      <c r="AL1208" s="11" t="s">
        <v>91</v>
      </c>
      <c r="AM1208" s="11" t="s">
        <v>93</v>
      </c>
      <c r="AN1208" s="191" t="s">
        <v>47</v>
      </c>
      <c r="AO1208" s="215">
        <v>3199</v>
      </c>
      <c r="AP1208" s="191" t="s">
        <v>53</v>
      </c>
      <c r="AQ1208" s="30">
        <v>0</v>
      </c>
    </row>
    <row r="1209" s="31" customFormat="1" spans="1:43">
      <c r="A1209" s="193">
        <v>170124</v>
      </c>
      <c r="B1209" s="194" t="s">
        <v>1410</v>
      </c>
      <c r="C1209" s="194"/>
      <c r="D1209" s="194"/>
      <c r="E1209" s="194"/>
      <c r="F1209" s="194">
        <v>0</v>
      </c>
      <c r="G1209" s="194" t="s">
        <v>47</v>
      </c>
      <c r="H1209" s="194">
        <v>1.2</v>
      </c>
      <c r="I1209" s="194" t="s">
        <v>45</v>
      </c>
      <c r="J1209" s="194">
        <v>1</v>
      </c>
      <c r="K1209" s="194" t="s">
        <v>46</v>
      </c>
      <c r="L1209" s="194" t="s">
        <v>47</v>
      </c>
      <c r="M1209" s="200">
        <v>1020108</v>
      </c>
      <c r="N1209" s="194">
        <v>0</v>
      </c>
      <c r="O1209" s="194" t="s">
        <v>48</v>
      </c>
      <c r="P1209" s="194">
        <v>1615</v>
      </c>
      <c r="Q1209" s="194">
        <v>1609</v>
      </c>
      <c r="R1209" s="194">
        <v>2120</v>
      </c>
      <c r="S1209" s="194">
        <v>260</v>
      </c>
      <c r="T1209" s="194">
        <v>197</v>
      </c>
      <c r="U1209" s="194">
        <v>3</v>
      </c>
      <c r="V1209" s="194"/>
      <c r="W1209" s="194" t="s">
        <v>47</v>
      </c>
      <c r="X1209" s="194" t="s">
        <v>444</v>
      </c>
      <c r="Y1209" s="194" t="str">
        <f>B1209</f>
        <v>每日任务领取</v>
      </c>
      <c r="Z1209" s="194"/>
      <c r="AA1209" s="194" t="s">
        <v>445</v>
      </c>
      <c r="AB1209" s="194" t="s">
        <v>446</v>
      </c>
      <c r="AC1209" s="194">
        <v>2140</v>
      </c>
      <c r="AD1209" s="194" t="s">
        <v>51</v>
      </c>
      <c r="AE1209" s="194" t="s">
        <v>51</v>
      </c>
      <c r="AF1209" s="194" t="s">
        <v>51</v>
      </c>
      <c r="AG1209" s="194"/>
      <c r="AH1209" s="194" t="s">
        <v>52</v>
      </c>
      <c r="AI1209" s="194" t="s">
        <v>47</v>
      </c>
      <c r="AJ1209" s="194" t="s">
        <v>223</v>
      </c>
      <c r="AK1209" s="194"/>
      <c r="AL1209" s="194" t="s">
        <v>237</v>
      </c>
      <c r="AM1209" s="194" t="s">
        <v>238</v>
      </c>
      <c r="AN1209" s="194" t="s">
        <v>47</v>
      </c>
      <c r="AO1209" s="194"/>
      <c r="AP1209" s="194" t="s">
        <v>53</v>
      </c>
      <c r="AQ1209" s="31">
        <v>0</v>
      </c>
    </row>
    <row r="1210" s="31" customFormat="1" spans="1:43">
      <c r="A1210" s="193">
        <v>170125</v>
      </c>
      <c r="B1210" s="194" t="s">
        <v>1411</v>
      </c>
      <c r="C1210" s="194"/>
      <c r="D1210" s="194"/>
      <c r="E1210" s="194"/>
      <c r="F1210" s="194">
        <v>0</v>
      </c>
      <c r="G1210" s="194" t="s">
        <v>47</v>
      </c>
      <c r="H1210" s="44">
        <v>0.6</v>
      </c>
      <c r="I1210" s="194" t="s">
        <v>45</v>
      </c>
      <c r="J1210" s="194">
        <v>1</v>
      </c>
      <c r="K1210" s="194" t="s">
        <v>46</v>
      </c>
      <c r="L1210" s="194" t="s">
        <v>47</v>
      </c>
      <c r="M1210" s="71">
        <v>540017</v>
      </c>
      <c r="N1210" s="194">
        <v>0</v>
      </c>
      <c r="O1210" s="194" t="s">
        <v>48</v>
      </c>
      <c r="P1210" s="194">
        <v>1615</v>
      </c>
      <c r="Q1210" s="194">
        <v>1609</v>
      </c>
      <c r="R1210" s="194">
        <v>2120</v>
      </c>
      <c r="S1210" s="194">
        <v>260</v>
      </c>
      <c r="T1210" s="194">
        <v>197</v>
      </c>
      <c r="U1210" s="194">
        <v>3</v>
      </c>
      <c r="V1210" s="194"/>
      <c r="W1210" s="194" t="s">
        <v>47</v>
      </c>
      <c r="X1210" s="194" t="s">
        <v>444</v>
      </c>
      <c r="Y1210" s="194" t="str">
        <f>B1210</f>
        <v>渡劫飞升</v>
      </c>
      <c r="Z1210" s="194"/>
      <c r="AA1210" s="194" t="s">
        <v>445</v>
      </c>
      <c r="AB1210" s="194" t="s">
        <v>446</v>
      </c>
      <c r="AC1210" s="194">
        <v>2140</v>
      </c>
      <c r="AD1210" s="194" t="s">
        <v>51</v>
      </c>
      <c r="AE1210" s="194" t="s">
        <v>51</v>
      </c>
      <c r="AF1210" s="194" t="s">
        <v>51</v>
      </c>
      <c r="AG1210" s="194"/>
      <c r="AH1210" s="194" t="s">
        <v>52</v>
      </c>
      <c r="AI1210" s="194" t="s">
        <v>47</v>
      </c>
      <c r="AJ1210" s="194" t="s">
        <v>223</v>
      </c>
      <c r="AK1210" s="194"/>
      <c r="AL1210" s="194" t="s">
        <v>237</v>
      </c>
      <c r="AM1210" s="194" t="s">
        <v>238</v>
      </c>
      <c r="AN1210" s="194" t="s">
        <v>47</v>
      </c>
      <c r="AO1210" s="194"/>
      <c r="AP1210" s="194" t="s">
        <v>53</v>
      </c>
      <c r="AQ1210" s="31">
        <v>0</v>
      </c>
    </row>
    <row r="1211" s="30" customFormat="1" ht="14" customHeight="1" spans="1:43">
      <c r="A1211" s="63">
        <v>168802</v>
      </c>
      <c r="B1211" s="190" t="s">
        <v>1412</v>
      </c>
      <c r="C1211" s="191"/>
      <c r="D1211" s="191"/>
      <c r="E1211" s="191"/>
      <c r="F1211" s="192">
        <v>0</v>
      </c>
      <c r="G1211" s="191">
        <v>0</v>
      </c>
      <c r="H1211" s="195">
        <v>1</v>
      </c>
      <c r="I1211" s="44">
        <v>7</v>
      </c>
      <c r="J1211" s="44">
        <v>1</v>
      </c>
      <c r="K1211" s="198" t="s">
        <v>295</v>
      </c>
      <c r="L1211" s="191" t="s">
        <v>47</v>
      </c>
      <c r="M1211" s="71">
        <v>540016</v>
      </c>
      <c r="N1211" s="191">
        <v>0</v>
      </c>
      <c r="O1211" s="191" t="s">
        <v>48</v>
      </c>
      <c r="P1211" s="77">
        <v>2300</v>
      </c>
      <c r="Q1211" s="191"/>
      <c r="R1211" s="191"/>
      <c r="S1211" s="191">
        <v>53</v>
      </c>
      <c r="T1211" s="191">
        <v>68</v>
      </c>
      <c r="U1211" s="191"/>
      <c r="V1211" s="191"/>
      <c r="W1211" s="191" t="s">
        <v>47</v>
      </c>
      <c r="X1211" s="191"/>
      <c r="Y1211" s="191"/>
      <c r="Z1211" s="191"/>
      <c r="AA1211" s="191"/>
      <c r="AB1211" s="191"/>
      <c r="AC1211" s="210">
        <v>2802</v>
      </c>
      <c r="AD1211" s="210">
        <v>2802</v>
      </c>
      <c r="AE1211" s="210">
        <v>2802</v>
      </c>
      <c r="AF1211" s="191" t="s">
        <v>51</v>
      </c>
      <c r="AG1211" s="191"/>
      <c r="AH1211" s="191" t="s">
        <v>52</v>
      </c>
      <c r="AI1211" s="191">
        <v>0</v>
      </c>
      <c r="AJ1211" s="191"/>
      <c r="AK1211" s="191"/>
      <c r="AL1211" s="191"/>
      <c r="AM1211" s="191"/>
      <c r="AN1211" s="191" t="s">
        <v>47</v>
      </c>
      <c r="AO1211" s="216">
        <v>3247</v>
      </c>
      <c r="AP1211" s="191" t="s">
        <v>53</v>
      </c>
      <c r="AQ1211" s="30">
        <v>0</v>
      </c>
    </row>
    <row r="1212" s="30" customFormat="1" ht="14" customHeight="1" spans="1:43">
      <c r="A1212" s="62">
        <v>169505</v>
      </c>
      <c r="B1212" s="190" t="s">
        <v>1413</v>
      </c>
      <c r="C1212" s="191"/>
      <c r="D1212" s="191"/>
      <c r="E1212" s="191"/>
      <c r="F1212" s="192">
        <v>0</v>
      </c>
      <c r="G1212" s="191">
        <v>0</v>
      </c>
      <c r="H1212" s="195">
        <v>1.5</v>
      </c>
      <c r="I1212" s="44">
        <v>7</v>
      </c>
      <c r="J1212" s="44">
        <v>1</v>
      </c>
      <c r="K1212" s="198" t="s">
        <v>295</v>
      </c>
      <c r="L1212" s="191" t="s">
        <v>47</v>
      </c>
      <c r="M1212" s="54">
        <v>1010177</v>
      </c>
      <c r="N1212" s="191">
        <v>0</v>
      </c>
      <c r="O1212" s="191" t="s">
        <v>48</v>
      </c>
      <c r="P1212" s="77">
        <v>2300</v>
      </c>
      <c r="Q1212" s="191"/>
      <c r="R1212" s="191"/>
      <c r="S1212" s="191">
        <v>62</v>
      </c>
      <c r="T1212" s="191">
        <v>57</v>
      </c>
      <c r="U1212" s="191"/>
      <c r="V1212" s="191"/>
      <c r="W1212" s="191" t="s">
        <v>47</v>
      </c>
      <c r="X1212" s="191"/>
      <c r="Y1212" s="191"/>
      <c r="Z1212" s="191"/>
      <c r="AA1212" s="191"/>
      <c r="AB1212" s="191"/>
      <c r="AC1212" s="210">
        <v>2802</v>
      </c>
      <c r="AD1212" s="210">
        <v>2802</v>
      </c>
      <c r="AE1212" s="210">
        <v>2802</v>
      </c>
      <c r="AF1212" s="191" t="s">
        <v>51</v>
      </c>
      <c r="AG1212" s="191"/>
      <c r="AH1212" s="191" t="s">
        <v>52</v>
      </c>
      <c r="AI1212" s="191">
        <v>0</v>
      </c>
      <c r="AJ1212" s="191"/>
      <c r="AK1212" s="191"/>
      <c r="AL1212" s="191"/>
      <c r="AM1212" s="191"/>
      <c r="AN1212" s="191" t="s">
        <v>47</v>
      </c>
      <c r="AO1212" s="216">
        <v>3248</v>
      </c>
      <c r="AP1212" s="191" t="s">
        <v>53</v>
      </c>
      <c r="AQ1212" s="30">
        <v>0</v>
      </c>
    </row>
    <row r="1213" s="23" customFormat="1" spans="1:43">
      <c r="A1213" s="118">
        <v>221001</v>
      </c>
      <c r="B1213" s="45" t="s">
        <v>1414</v>
      </c>
      <c r="C1213" s="118"/>
      <c r="D1213" s="118"/>
      <c r="E1213" s="118"/>
      <c r="F1213" s="118">
        <v>0</v>
      </c>
      <c r="G1213" s="118">
        <v>0</v>
      </c>
      <c r="H1213" s="83" t="s">
        <v>45</v>
      </c>
      <c r="I1213" s="118">
        <v>7</v>
      </c>
      <c r="J1213" s="118">
        <v>0</v>
      </c>
      <c r="K1213" s="145" t="s">
        <v>46</v>
      </c>
      <c r="L1213" s="117" t="s">
        <v>47</v>
      </c>
      <c r="M1213" s="118">
        <v>2010140</v>
      </c>
      <c r="N1213" s="118">
        <v>0</v>
      </c>
      <c r="O1213" s="117" t="s">
        <v>48</v>
      </c>
      <c r="P1213" s="118">
        <v>2210</v>
      </c>
      <c r="Q1213" s="118">
        <v>2150</v>
      </c>
      <c r="R1213" s="118">
        <v>270</v>
      </c>
      <c r="S1213" s="37">
        <v>132</v>
      </c>
      <c r="T1213" s="118">
        <v>17</v>
      </c>
      <c r="U1213" s="118"/>
      <c r="V1213" s="118"/>
      <c r="W1213" s="117" t="s">
        <v>47</v>
      </c>
      <c r="X1213" s="117"/>
      <c r="Y1213" s="117"/>
      <c r="Z1213" s="118"/>
      <c r="AA1213" s="118"/>
      <c r="AB1213" s="211" t="s">
        <v>1415</v>
      </c>
      <c r="AC1213" s="145">
        <v>2424</v>
      </c>
      <c r="AD1213" s="145" t="s">
        <v>51</v>
      </c>
      <c r="AE1213" s="145" t="s">
        <v>51</v>
      </c>
      <c r="AF1213" s="145" t="s">
        <v>51</v>
      </c>
      <c r="AG1213" s="145"/>
      <c r="AH1213" s="117" t="s">
        <v>52</v>
      </c>
      <c r="AI1213" s="118">
        <v>1</v>
      </c>
      <c r="AJ1213" s="118"/>
      <c r="AK1213" s="118"/>
      <c r="AL1213" s="118"/>
      <c r="AM1213" s="118"/>
      <c r="AN1213" s="212">
        <v>0</v>
      </c>
      <c r="AO1213" s="145"/>
      <c r="AP1213" s="118" t="s">
        <v>53</v>
      </c>
      <c r="AQ1213" s="2">
        <v>0</v>
      </c>
    </row>
    <row r="1214" s="23" customFormat="1" spans="1:43">
      <c r="A1214" s="118">
        <v>222001</v>
      </c>
      <c r="B1214" s="45" t="s">
        <v>1414</v>
      </c>
      <c r="C1214" s="118"/>
      <c r="D1214" s="118"/>
      <c r="E1214" s="118"/>
      <c r="F1214" s="118">
        <v>0</v>
      </c>
      <c r="G1214" s="118">
        <v>0</v>
      </c>
      <c r="H1214" s="83" t="s">
        <v>45</v>
      </c>
      <c r="I1214" s="118">
        <v>7</v>
      </c>
      <c r="J1214" s="118">
        <v>0</v>
      </c>
      <c r="K1214" s="145" t="s">
        <v>46</v>
      </c>
      <c r="L1214" s="117" t="s">
        <v>47</v>
      </c>
      <c r="M1214" s="118">
        <v>2010140</v>
      </c>
      <c r="N1214" s="118">
        <v>0</v>
      </c>
      <c r="O1214" s="117" t="s">
        <v>48</v>
      </c>
      <c r="P1214" s="118">
        <v>2210</v>
      </c>
      <c r="Q1214" s="118">
        <v>1713</v>
      </c>
      <c r="R1214" s="118">
        <v>287</v>
      </c>
      <c r="S1214" s="37">
        <v>108</v>
      </c>
      <c r="T1214" s="118">
        <v>17</v>
      </c>
      <c r="U1214" s="118"/>
      <c r="V1214" s="118"/>
      <c r="W1214" s="117" t="s">
        <v>47</v>
      </c>
      <c r="X1214" s="117"/>
      <c r="Y1214" s="117"/>
      <c r="Z1214" s="118"/>
      <c r="AA1214" s="118"/>
      <c r="AB1214" s="211" t="s">
        <v>1415</v>
      </c>
      <c r="AC1214" s="145">
        <v>2424</v>
      </c>
      <c r="AD1214" s="145" t="s">
        <v>51</v>
      </c>
      <c r="AE1214" s="145" t="s">
        <v>51</v>
      </c>
      <c r="AF1214" s="145" t="s">
        <v>51</v>
      </c>
      <c r="AG1214" s="145"/>
      <c r="AH1214" s="117" t="s">
        <v>52</v>
      </c>
      <c r="AI1214" s="118">
        <v>1</v>
      </c>
      <c r="AJ1214" s="118"/>
      <c r="AK1214" s="118"/>
      <c r="AL1214" s="118"/>
      <c r="AM1214" s="118"/>
      <c r="AN1214" s="212">
        <v>0</v>
      </c>
      <c r="AO1214" s="145"/>
      <c r="AP1214" s="118" t="s">
        <v>53</v>
      </c>
      <c r="AQ1214" s="2">
        <v>0</v>
      </c>
    </row>
    <row r="1215" s="23" customFormat="1" spans="1:43">
      <c r="A1215" s="118">
        <v>222002</v>
      </c>
      <c r="B1215" s="45" t="s">
        <v>1414</v>
      </c>
      <c r="C1215" s="118"/>
      <c r="D1215" s="118"/>
      <c r="E1215" s="118"/>
      <c r="F1215" s="118">
        <v>0</v>
      </c>
      <c r="G1215" s="118">
        <v>0</v>
      </c>
      <c r="H1215" s="83" t="s">
        <v>45</v>
      </c>
      <c r="I1215" s="118">
        <v>7</v>
      </c>
      <c r="J1215" s="118">
        <v>0</v>
      </c>
      <c r="K1215" s="145" t="s">
        <v>46</v>
      </c>
      <c r="L1215" s="117" t="s">
        <v>47</v>
      </c>
      <c r="M1215" s="118">
        <v>2010140</v>
      </c>
      <c r="N1215" s="118">
        <v>0</v>
      </c>
      <c r="O1215" s="117" t="s">
        <v>48</v>
      </c>
      <c r="P1215" s="118">
        <v>2210</v>
      </c>
      <c r="Q1215" s="118">
        <v>2125</v>
      </c>
      <c r="R1215" s="118">
        <v>903</v>
      </c>
      <c r="S1215" s="37">
        <v>132</v>
      </c>
      <c r="T1215" s="118">
        <v>56</v>
      </c>
      <c r="U1215" s="118"/>
      <c r="V1215" s="118"/>
      <c r="W1215" s="117" t="s">
        <v>47</v>
      </c>
      <c r="X1215" s="117"/>
      <c r="Y1215" s="117"/>
      <c r="Z1215" s="118"/>
      <c r="AA1215" s="118"/>
      <c r="AB1215" s="211" t="s">
        <v>1415</v>
      </c>
      <c r="AC1215" s="145">
        <v>2424</v>
      </c>
      <c r="AD1215" s="145" t="s">
        <v>51</v>
      </c>
      <c r="AE1215" s="145" t="s">
        <v>51</v>
      </c>
      <c r="AF1215" s="145" t="s">
        <v>51</v>
      </c>
      <c r="AG1215" s="145"/>
      <c r="AH1215" s="117" t="s">
        <v>52</v>
      </c>
      <c r="AI1215" s="118">
        <v>1</v>
      </c>
      <c r="AJ1215" s="118"/>
      <c r="AK1215" s="118"/>
      <c r="AL1215" s="118"/>
      <c r="AM1215" s="118"/>
      <c r="AN1215" s="212">
        <v>0</v>
      </c>
      <c r="AO1215" s="145"/>
      <c r="AP1215" s="118" t="s">
        <v>53</v>
      </c>
      <c r="AQ1215" s="2">
        <v>0</v>
      </c>
    </row>
    <row r="1216" s="23" customFormat="1" spans="1:43">
      <c r="A1216" s="118">
        <v>222003</v>
      </c>
      <c r="B1216" s="45" t="s">
        <v>1414</v>
      </c>
      <c r="C1216" s="118"/>
      <c r="D1216" s="118"/>
      <c r="E1216" s="118"/>
      <c r="F1216" s="118">
        <v>0</v>
      </c>
      <c r="G1216" s="118">
        <v>0</v>
      </c>
      <c r="H1216" s="83" t="s">
        <v>45</v>
      </c>
      <c r="I1216" s="118">
        <v>7</v>
      </c>
      <c r="J1216" s="118">
        <v>0</v>
      </c>
      <c r="K1216" s="145" t="s">
        <v>46</v>
      </c>
      <c r="L1216" s="117" t="s">
        <v>47</v>
      </c>
      <c r="M1216" s="118">
        <v>2010140</v>
      </c>
      <c r="N1216" s="118">
        <v>0</v>
      </c>
      <c r="O1216" s="117" t="s">
        <v>48</v>
      </c>
      <c r="P1216" s="118">
        <v>2210</v>
      </c>
      <c r="Q1216" s="118">
        <v>1383</v>
      </c>
      <c r="R1216" s="118">
        <v>511</v>
      </c>
      <c r="S1216" s="37">
        <v>87</v>
      </c>
      <c r="T1216" s="118">
        <v>31</v>
      </c>
      <c r="U1216" s="118"/>
      <c r="V1216" s="118"/>
      <c r="W1216" s="117" t="s">
        <v>47</v>
      </c>
      <c r="X1216" s="117"/>
      <c r="Y1216" s="117"/>
      <c r="Z1216" s="118"/>
      <c r="AA1216" s="118"/>
      <c r="AB1216" s="211" t="s">
        <v>1415</v>
      </c>
      <c r="AC1216" s="145">
        <v>2424</v>
      </c>
      <c r="AD1216" s="145" t="s">
        <v>51</v>
      </c>
      <c r="AE1216" s="145" t="s">
        <v>51</v>
      </c>
      <c r="AF1216" s="145" t="s">
        <v>51</v>
      </c>
      <c r="AG1216" s="145"/>
      <c r="AH1216" s="117" t="s">
        <v>52</v>
      </c>
      <c r="AI1216" s="118">
        <v>1</v>
      </c>
      <c r="AJ1216" s="118"/>
      <c r="AK1216" s="118"/>
      <c r="AL1216" s="118"/>
      <c r="AM1216" s="118"/>
      <c r="AN1216" s="212">
        <v>0</v>
      </c>
      <c r="AO1216" s="145"/>
      <c r="AP1216" s="118" t="s">
        <v>53</v>
      </c>
      <c r="AQ1216" s="2">
        <v>0</v>
      </c>
    </row>
    <row r="1217" s="23" customFormat="1" spans="1:43">
      <c r="A1217" s="118">
        <v>222004</v>
      </c>
      <c r="B1217" s="45" t="s">
        <v>1414</v>
      </c>
      <c r="C1217" s="118"/>
      <c r="D1217" s="118"/>
      <c r="E1217" s="118"/>
      <c r="F1217" s="118">
        <v>0</v>
      </c>
      <c r="G1217" s="118">
        <v>0</v>
      </c>
      <c r="H1217" s="83" t="s">
        <v>45</v>
      </c>
      <c r="I1217" s="118">
        <v>7</v>
      </c>
      <c r="J1217" s="118">
        <v>0</v>
      </c>
      <c r="K1217" s="145" t="s">
        <v>46</v>
      </c>
      <c r="L1217" s="117" t="s">
        <v>47</v>
      </c>
      <c r="M1217" s="118">
        <v>2010140</v>
      </c>
      <c r="N1217" s="118">
        <v>0</v>
      </c>
      <c r="O1217" s="117" t="s">
        <v>48</v>
      </c>
      <c r="P1217" s="118">
        <v>2210</v>
      </c>
      <c r="Q1217" s="118">
        <v>1102</v>
      </c>
      <c r="R1217" s="118">
        <v>337</v>
      </c>
      <c r="S1217" s="37">
        <v>69</v>
      </c>
      <c r="T1217" s="118">
        <v>21</v>
      </c>
      <c r="U1217" s="118"/>
      <c r="V1217" s="118"/>
      <c r="W1217" s="117" t="s">
        <v>47</v>
      </c>
      <c r="X1217" s="117"/>
      <c r="Y1217" s="117"/>
      <c r="Z1217" s="118"/>
      <c r="AA1217" s="118"/>
      <c r="AB1217" s="211" t="s">
        <v>1415</v>
      </c>
      <c r="AC1217" s="145">
        <v>2424</v>
      </c>
      <c r="AD1217" s="145" t="s">
        <v>51</v>
      </c>
      <c r="AE1217" s="145" t="s">
        <v>51</v>
      </c>
      <c r="AF1217" s="145" t="s">
        <v>51</v>
      </c>
      <c r="AG1217" s="145"/>
      <c r="AH1217" s="117" t="s">
        <v>52</v>
      </c>
      <c r="AI1217" s="118">
        <v>1</v>
      </c>
      <c r="AJ1217" s="118"/>
      <c r="AK1217" s="118"/>
      <c r="AL1217" s="118"/>
      <c r="AM1217" s="118"/>
      <c r="AN1217" s="212">
        <v>0</v>
      </c>
      <c r="AO1217" s="145"/>
      <c r="AP1217" s="118" t="s">
        <v>53</v>
      </c>
      <c r="AQ1217" s="2">
        <v>0</v>
      </c>
    </row>
    <row r="1218" s="23" customFormat="1" spans="1:43">
      <c r="A1218" s="118">
        <v>222005</v>
      </c>
      <c r="B1218" s="45" t="s">
        <v>1414</v>
      </c>
      <c r="C1218" s="118"/>
      <c r="D1218" s="118"/>
      <c r="E1218" s="118"/>
      <c r="F1218" s="118">
        <v>0</v>
      </c>
      <c r="G1218" s="118">
        <v>0</v>
      </c>
      <c r="H1218" s="83" t="s">
        <v>45</v>
      </c>
      <c r="I1218" s="118">
        <v>7</v>
      </c>
      <c r="J1218" s="118">
        <v>0</v>
      </c>
      <c r="K1218" s="145" t="s">
        <v>46</v>
      </c>
      <c r="L1218" s="117" t="s">
        <v>47</v>
      </c>
      <c r="M1218" s="118">
        <v>2010140</v>
      </c>
      <c r="N1218" s="118">
        <v>0</v>
      </c>
      <c r="O1218" s="117" t="s">
        <v>48</v>
      </c>
      <c r="P1218" s="118">
        <v>2210</v>
      </c>
      <c r="Q1218" s="118">
        <v>786</v>
      </c>
      <c r="R1218" s="118">
        <v>688</v>
      </c>
      <c r="S1218" s="37">
        <v>50</v>
      </c>
      <c r="T1218" s="118">
        <v>41</v>
      </c>
      <c r="U1218" s="118"/>
      <c r="V1218" s="118"/>
      <c r="W1218" s="117" t="s">
        <v>47</v>
      </c>
      <c r="X1218" s="117"/>
      <c r="Y1218" s="117"/>
      <c r="Z1218" s="118"/>
      <c r="AA1218" s="118"/>
      <c r="AB1218" s="211" t="s">
        <v>1415</v>
      </c>
      <c r="AC1218" s="145">
        <v>2424</v>
      </c>
      <c r="AD1218" s="145" t="s">
        <v>51</v>
      </c>
      <c r="AE1218" s="145" t="s">
        <v>51</v>
      </c>
      <c r="AF1218" s="145" t="s">
        <v>51</v>
      </c>
      <c r="AG1218" s="145"/>
      <c r="AH1218" s="117" t="s">
        <v>52</v>
      </c>
      <c r="AI1218" s="118">
        <v>1</v>
      </c>
      <c r="AJ1218" s="118"/>
      <c r="AK1218" s="118"/>
      <c r="AL1218" s="118"/>
      <c r="AM1218" s="118"/>
      <c r="AN1218" s="212">
        <v>0</v>
      </c>
      <c r="AO1218" s="145"/>
      <c r="AP1218" s="118" t="s">
        <v>53</v>
      </c>
      <c r="AQ1218" s="2">
        <v>0</v>
      </c>
    </row>
    <row r="1219" s="23" customFormat="1" spans="1:43">
      <c r="A1219" s="118">
        <v>222006</v>
      </c>
      <c r="B1219" s="45" t="s">
        <v>1414</v>
      </c>
      <c r="C1219" s="118"/>
      <c r="D1219" s="118"/>
      <c r="E1219" s="118"/>
      <c r="F1219" s="118">
        <v>0</v>
      </c>
      <c r="G1219" s="118">
        <v>0</v>
      </c>
      <c r="H1219" s="83" t="s">
        <v>45</v>
      </c>
      <c r="I1219" s="118">
        <v>7</v>
      </c>
      <c r="J1219" s="118">
        <v>0</v>
      </c>
      <c r="K1219" s="145" t="s">
        <v>46</v>
      </c>
      <c r="L1219" s="117" t="s">
        <v>47</v>
      </c>
      <c r="M1219" s="118">
        <v>2010140</v>
      </c>
      <c r="N1219" s="118">
        <v>0</v>
      </c>
      <c r="O1219" s="117" t="s">
        <v>48</v>
      </c>
      <c r="P1219" s="118">
        <v>2210</v>
      </c>
      <c r="Q1219" s="118">
        <v>390</v>
      </c>
      <c r="R1219" s="118">
        <v>564</v>
      </c>
      <c r="S1219" s="37">
        <v>24</v>
      </c>
      <c r="T1219" s="118">
        <v>36</v>
      </c>
      <c r="U1219" s="118"/>
      <c r="V1219" s="118"/>
      <c r="W1219" s="117" t="s">
        <v>47</v>
      </c>
      <c r="X1219" s="117"/>
      <c r="Y1219" s="117"/>
      <c r="Z1219" s="118"/>
      <c r="AA1219" s="118"/>
      <c r="AB1219" s="211" t="s">
        <v>1415</v>
      </c>
      <c r="AC1219" s="145">
        <v>2424</v>
      </c>
      <c r="AD1219" s="145" t="s">
        <v>51</v>
      </c>
      <c r="AE1219" s="145" t="s">
        <v>51</v>
      </c>
      <c r="AF1219" s="145" t="s">
        <v>51</v>
      </c>
      <c r="AG1219" s="145"/>
      <c r="AH1219" s="117" t="s">
        <v>52</v>
      </c>
      <c r="AI1219" s="118">
        <v>1</v>
      </c>
      <c r="AJ1219" s="118"/>
      <c r="AK1219" s="118"/>
      <c r="AL1219" s="118"/>
      <c r="AM1219" s="118"/>
      <c r="AN1219" s="212">
        <v>0</v>
      </c>
      <c r="AO1219" s="145"/>
      <c r="AP1219" s="118" t="s">
        <v>53</v>
      </c>
      <c r="AQ1219" s="2">
        <v>0</v>
      </c>
    </row>
    <row r="1220" s="23" customFormat="1" spans="1:43">
      <c r="A1220" s="118">
        <v>222007</v>
      </c>
      <c r="B1220" s="45" t="s">
        <v>1414</v>
      </c>
      <c r="C1220" s="118"/>
      <c r="D1220" s="118"/>
      <c r="E1220" s="118"/>
      <c r="F1220" s="118">
        <v>0</v>
      </c>
      <c r="G1220" s="118">
        <v>0</v>
      </c>
      <c r="H1220" s="83" t="s">
        <v>45</v>
      </c>
      <c r="I1220" s="118">
        <v>7</v>
      </c>
      <c r="J1220" s="118">
        <v>0</v>
      </c>
      <c r="K1220" s="145" t="s">
        <v>46</v>
      </c>
      <c r="L1220" s="117" t="s">
        <v>47</v>
      </c>
      <c r="M1220" s="118">
        <v>2010140</v>
      </c>
      <c r="N1220" s="118">
        <v>0</v>
      </c>
      <c r="O1220" s="117" t="s">
        <v>48</v>
      </c>
      <c r="P1220" s="118">
        <v>2210</v>
      </c>
      <c r="Q1220" s="118">
        <v>1545</v>
      </c>
      <c r="R1220" s="118">
        <v>1301</v>
      </c>
      <c r="S1220" s="37">
        <v>97</v>
      </c>
      <c r="T1220" s="118">
        <v>81</v>
      </c>
      <c r="U1220" s="118"/>
      <c r="V1220" s="118"/>
      <c r="W1220" s="117" t="s">
        <v>47</v>
      </c>
      <c r="X1220" s="117"/>
      <c r="Y1220" s="117"/>
      <c r="Z1220" s="118"/>
      <c r="AA1220" s="118"/>
      <c r="AB1220" s="211" t="s">
        <v>1415</v>
      </c>
      <c r="AC1220" s="145">
        <v>2424</v>
      </c>
      <c r="AD1220" s="145" t="s">
        <v>51</v>
      </c>
      <c r="AE1220" s="145" t="s">
        <v>51</v>
      </c>
      <c r="AF1220" s="145" t="s">
        <v>51</v>
      </c>
      <c r="AG1220" s="145"/>
      <c r="AH1220" s="117" t="s">
        <v>52</v>
      </c>
      <c r="AI1220" s="118">
        <v>1</v>
      </c>
      <c r="AJ1220" s="118"/>
      <c r="AK1220" s="118"/>
      <c r="AL1220" s="118"/>
      <c r="AM1220" s="118"/>
      <c r="AN1220" s="212">
        <v>0</v>
      </c>
      <c r="AO1220" s="145"/>
      <c r="AP1220" s="118" t="s">
        <v>53</v>
      </c>
      <c r="AQ1220" s="2">
        <v>0</v>
      </c>
    </row>
    <row r="1221" s="23" customFormat="1" spans="1:43">
      <c r="A1221" s="118">
        <v>222008</v>
      </c>
      <c r="B1221" s="45" t="s">
        <v>1414</v>
      </c>
      <c r="C1221" s="118"/>
      <c r="D1221" s="118"/>
      <c r="E1221" s="118"/>
      <c r="F1221" s="118">
        <v>0</v>
      </c>
      <c r="G1221" s="118">
        <v>0</v>
      </c>
      <c r="H1221" s="83" t="s">
        <v>45</v>
      </c>
      <c r="I1221" s="118">
        <v>7</v>
      </c>
      <c r="J1221" s="118">
        <v>0</v>
      </c>
      <c r="K1221" s="145" t="s">
        <v>46</v>
      </c>
      <c r="L1221" s="117" t="s">
        <v>47</v>
      </c>
      <c r="M1221" s="118">
        <v>2010140</v>
      </c>
      <c r="N1221" s="118">
        <v>0</v>
      </c>
      <c r="O1221" s="117" t="s">
        <v>48</v>
      </c>
      <c r="P1221" s="118">
        <v>2210</v>
      </c>
      <c r="Q1221" s="118">
        <v>1105</v>
      </c>
      <c r="R1221" s="118">
        <v>1007</v>
      </c>
      <c r="S1221" s="37">
        <v>69</v>
      </c>
      <c r="T1221" s="118">
        <v>61</v>
      </c>
      <c r="U1221" s="118"/>
      <c r="V1221" s="118"/>
      <c r="W1221" s="117" t="s">
        <v>47</v>
      </c>
      <c r="X1221" s="117"/>
      <c r="Y1221" s="117"/>
      <c r="Z1221" s="118"/>
      <c r="AA1221" s="118"/>
      <c r="AB1221" s="211" t="s">
        <v>1415</v>
      </c>
      <c r="AC1221" s="145">
        <v>2424</v>
      </c>
      <c r="AD1221" s="145" t="s">
        <v>51</v>
      </c>
      <c r="AE1221" s="145" t="s">
        <v>51</v>
      </c>
      <c r="AF1221" s="145" t="s">
        <v>51</v>
      </c>
      <c r="AG1221" s="145"/>
      <c r="AH1221" s="117" t="s">
        <v>52</v>
      </c>
      <c r="AI1221" s="118">
        <v>1</v>
      </c>
      <c r="AJ1221" s="118"/>
      <c r="AK1221" s="118"/>
      <c r="AL1221" s="118"/>
      <c r="AM1221" s="118"/>
      <c r="AN1221" s="212">
        <v>0</v>
      </c>
      <c r="AO1221" s="145"/>
      <c r="AP1221" s="118" t="s">
        <v>53</v>
      </c>
      <c r="AQ1221" s="2">
        <v>0</v>
      </c>
    </row>
    <row r="1222" s="23" customFormat="1" spans="1:43">
      <c r="A1222" s="118">
        <v>222009</v>
      </c>
      <c r="B1222" s="45" t="s">
        <v>1414</v>
      </c>
      <c r="C1222" s="118"/>
      <c r="D1222" s="118"/>
      <c r="E1222" s="118"/>
      <c r="F1222" s="118">
        <v>0</v>
      </c>
      <c r="G1222" s="118">
        <v>0</v>
      </c>
      <c r="H1222" s="83" t="s">
        <v>45</v>
      </c>
      <c r="I1222" s="118">
        <v>7</v>
      </c>
      <c r="J1222" s="118">
        <v>0</v>
      </c>
      <c r="K1222" s="145" t="s">
        <v>46</v>
      </c>
      <c r="L1222" s="117" t="s">
        <v>47</v>
      </c>
      <c r="M1222" s="118">
        <v>2010140</v>
      </c>
      <c r="N1222" s="118">
        <v>0</v>
      </c>
      <c r="O1222" s="117" t="s">
        <v>48</v>
      </c>
      <c r="P1222" s="118">
        <v>2210</v>
      </c>
      <c r="Q1222" s="118">
        <v>678</v>
      </c>
      <c r="R1222" s="118">
        <v>1051</v>
      </c>
      <c r="S1222" s="37">
        <v>42</v>
      </c>
      <c r="T1222" s="118">
        <v>65</v>
      </c>
      <c r="U1222" s="118"/>
      <c r="V1222" s="118"/>
      <c r="W1222" s="117" t="s">
        <v>47</v>
      </c>
      <c r="X1222" s="117"/>
      <c r="Y1222" s="117"/>
      <c r="Z1222" s="118"/>
      <c r="AA1222" s="118"/>
      <c r="AB1222" s="211" t="s">
        <v>1415</v>
      </c>
      <c r="AC1222" s="145">
        <v>2424</v>
      </c>
      <c r="AD1222" s="145" t="s">
        <v>51</v>
      </c>
      <c r="AE1222" s="145" t="s">
        <v>51</v>
      </c>
      <c r="AF1222" s="145" t="s">
        <v>51</v>
      </c>
      <c r="AG1222" s="145"/>
      <c r="AH1222" s="117" t="s">
        <v>52</v>
      </c>
      <c r="AI1222" s="118">
        <v>1</v>
      </c>
      <c r="AJ1222" s="118"/>
      <c r="AK1222" s="118"/>
      <c r="AL1222" s="118"/>
      <c r="AM1222" s="118"/>
      <c r="AN1222" s="212">
        <v>0</v>
      </c>
      <c r="AO1222" s="145"/>
      <c r="AP1222" s="118" t="s">
        <v>53</v>
      </c>
      <c r="AQ1222" s="2">
        <v>0</v>
      </c>
    </row>
    <row r="1223" s="23" customFormat="1" spans="1:43">
      <c r="A1223" s="118">
        <v>222010</v>
      </c>
      <c r="B1223" s="45" t="s">
        <v>1414</v>
      </c>
      <c r="C1223" s="118"/>
      <c r="D1223" s="118"/>
      <c r="E1223" s="118"/>
      <c r="F1223" s="118">
        <v>0</v>
      </c>
      <c r="G1223" s="118">
        <v>0</v>
      </c>
      <c r="H1223" s="83" t="s">
        <v>45</v>
      </c>
      <c r="I1223" s="118">
        <v>7</v>
      </c>
      <c r="J1223" s="118">
        <v>0</v>
      </c>
      <c r="K1223" s="145" t="s">
        <v>46</v>
      </c>
      <c r="L1223" s="117" t="s">
        <v>47</v>
      </c>
      <c r="M1223" s="118">
        <v>2010140</v>
      </c>
      <c r="N1223" s="118">
        <v>0</v>
      </c>
      <c r="O1223" s="117" t="s">
        <v>48</v>
      </c>
      <c r="P1223" s="118">
        <v>2210</v>
      </c>
      <c r="Q1223" s="118">
        <v>778</v>
      </c>
      <c r="R1223" s="118">
        <v>1378</v>
      </c>
      <c r="S1223" s="37">
        <v>48</v>
      </c>
      <c r="T1223" s="118">
        <v>85</v>
      </c>
      <c r="U1223" s="118"/>
      <c r="V1223" s="118"/>
      <c r="W1223" s="117" t="s">
        <v>47</v>
      </c>
      <c r="X1223" s="117"/>
      <c r="Y1223" s="117"/>
      <c r="Z1223" s="118"/>
      <c r="AA1223" s="118"/>
      <c r="AB1223" s="211" t="s">
        <v>1415</v>
      </c>
      <c r="AC1223" s="145">
        <v>2424</v>
      </c>
      <c r="AD1223" s="145" t="s">
        <v>51</v>
      </c>
      <c r="AE1223" s="145" t="s">
        <v>51</v>
      </c>
      <c r="AF1223" s="145" t="s">
        <v>51</v>
      </c>
      <c r="AG1223" s="145"/>
      <c r="AH1223" s="117" t="s">
        <v>52</v>
      </c>
      <c r="AI1223" s="118">
        <v>1</v>
      </c>
      <c r="AJ1223" s="118"/>
      <c r="AK1223" s="118"/>
      <c r="AL1223" s="118"/>
      <c r="AM1223" s="118"/>
      <c r="AN1223" s="212">
        <v>0</v>
      </c>
      <c r="AO1223" s="145"/>
      <c r="AP1223" s="118" t="s">
        <v>53</v>
      </c>
      <c r="AQ1223" s="2">
        <v>0</v>
      </c>
    </row>
    <row r="1224" s="23" customFormat="1" spans="1:43">
      <c r="A1224" s="118">
        <v>222011</v>
      </c>
      <c r="B1224" s="45" t="s">
        <v>1414</v>
      </c>
      <c r="C1224" s="118"/>
      <c r="D1224" s="118"/>
      <c r="E1224" s="118"/>
      <c r="F1224" s="118">
        <v>0</v>
      </c>
      <c r="G1224" s="118">
        <v>0</v>
      </c>
      <c r="H1224" s="83" t="s">
        <v>45</v>
      </c>
      <c r="I1224" s="118">
        <v>7</v>
      </c>
      <c r="J1224" s="118">
        <v>0</v>
      </c>
      <c r="K1224" s="145" t="s">
        <v>46</v>
      </c>
      <c r="L1224" s="117" t="s">
        <v>47</v>
      </c>
      <c r="M1224" s="118">
        <v>2010140</v>
      </c>
      <c r="N1224" s="118">
        <v>0</v>
      </c>
      <c r="O1224" s="117" t="s">
        <v>48</v>
      </c>
      <c r="P1224" s="118">
        <v>2210</v>
      </c>
      <c r="Q1224" s="118">
        <v>268</v>
      </c>
      <c r="R1224" s="118">
        <v>1753</v>
      </c>
      <c r="S1224" s="37">
        <v>18</v>
      </c>
      <c r="T1224" s="118">
        <v>108</v>
      </c>
      <c r="U1224" s="118"/>
      <c r="V1224" s="118"/>
      <c r="W1224" s="117" t="s">
        <v>47</v>
      </c>
      <c r="X1224" s="117"/>
      <c r="Y1224" s="117"/>
      <c r="Z1224" s="118"/>
      <c r="AA1224" s="118"/>
      <c r="AB1224" s="211" t="s">
        <v>1415</v>
      </c>
      <c r="AC1224" s="145">
        <v>2424</v>
      </c>
      <c r="AD1224" s="145" t="s">
        <v>51</v>
      </c>
      <c r="AE1224" s="145" t="s">
        <v>51</v>
      </c>
      <c r="AF1224" s="145" t="s">
        <v>51</v>
      </c>
      <c r="AG1224" s="145"/>
      <c r="AH1224" s="117" t="s">
        <v>52</v>
      </c>
      <c r="AI1224" s="118">
        <v>1</v>
      </c>
      <c r="AJ1224" s="118"/>
      <c r="AK1224" s="118"/>
      <c r="AL1224" s="118"/>
      <c r="AM1224" s="118"/>
      <c r="AN1224" s="212">
        <v>0</v>
      </c>
      <c r="AO1224" s="145"/>
      <c r="AP1224" s="118" t="s">
        <v>53</v>
      </c>
      <c r="AQ1224" s="2">
        <v>0</v>
      </c>
    </row>
    <row r="1225" s="23" customFormat="1" spans="1:43">
      <c r="A1225" s="118">
        <v>222012</v>
      </c>
      <c r="B1225" s="45" t="s">
        <v>1414</v>
      </c>
      <c r="C1225" s="118"/>
      <c r="D1225" s="118"/>
      <c r="E1225" s="118"/>
      <c r="F1225" s="118">
        <v>0</v>
      </c>
      <c r="G1225" s="118">
        <v>0</v>
      </c>
      <c r="H1225" s="83" t="s">
        <v>45</v>
      </c>
      <c r="I1225" s="118">
        <v>7</v>
      </c>
      <c r="J1225" s="118">
        <v>0</v>
      </c>
      <c r="K1225" s="145" t="s">
        <v>46</v>
      </c>
      <c r="L1225" s="117" t="s">
        <v>47</v>
      </c>
      <c r="M1225" s="118">
        <v>2010140</v>
      </c>
      <c r="N1225" s="118">
        <v>0</v>
      </c>
      <c r="O1225" s="117" t="s">
        <v>48</v>
      </c>
      <c r="P1225" s="118">
        <v>2210</v>
      </c>
      <c r="Q1225" s="118">
        <v>1132</v>
      </c>
      <c r="R1225" s="118">
        <v>1700</v>
      </c>
      <c r="S1225" s="37">
        <v>71</v>
      </c>
      <c r="T1225" s="118">
        <v>105</v>
      </c>
      <c r="U1225" s="118"/>
      <c r="V1225" s="118"/>
      <c r="W1225" s="117" t="s">
        <v>47</v>
      </c>
      <c r="X1225" s="117"/>
      <c r="Y1225" s="117"/>
      <c r="Z1225" s="118"/>
      <c r="AA1225" s="118"/>
      <c r="AB1225" s="211" t="s">
        <v>1415</v>
      </c>
      <c r="AC1225" s="145">
        <v>2424</v>
      </c>
      <c r="AD1225" s="145" t="s">
        <v>51</v>
      </c>
      <c r="AE1225" s="145" t="s">
        <v>51</v>
      </c>
      <c r="AF1225" s="145" t="s">
        <v>51</v>
      </c>
      <c r="AG1225" s="145"/>
      <c r="AH1225" s="117" t="s">
        <v>52</v>
      </c>
      <c r="AI1225" s="118">
        <v>1</v>
      </c>
      <c r="AJ1225" s="118"/>
      <c r="AK1225" s="118"/>
      <c r="AL1225" s="118"/>
      <c r="AM1225" s="118"/>
      <c r="AN1225" s="212">
        <v>0</v>
      </c>
      <c r="AO1225" s="145"/>
      <c r="AP1225" s="118" t="s">
        <v>53</v>
      </c>
      <c r="AQ1225" s="2">
        <v>0</v>
      </c>
    </row>
    <row r="1226" s="23" customFormat="1" spans="1:43">
      <c r="A1226" s="118">
        <v>222013</v>
      </c>
      <c r="B1226" s="45" t="s">
        <v>1414</v>
      </c>
      <c r="C1226" s="118"/>
      <c r="D1226" s="118"/>
      <c r="E1226" s="118"/>
      <c r="F1226" s="118">
        <v>0</v>
      </c>
      <c r="G1226" s="118">
        <v>0</v>
      </c>
      <c r="H1226" s="83" t="s">
        <v>45</v>
      </c>
      <c r="I1226" s="118">
        <v>7</v>
      </c>
      <c r="J1226" s="118">
        <v>0</v>
      </c>
      <c r="K1226" s="145" t="s">
        <v>46</v>
      </c>
      <c r="L1226" s="117" t="s">
        <v>47</v>
      </c>
      <c r="M1226" s="118">
        <v>2010140</v>
      </c>
      <c r="N1226" s="118">
        <v>0</v>
      </c>
      <c r="O1226" s="117" t="s">
        <v>48</v>
      </c>
      <c r="P1226" s="118">
        <v>2210</v>
      </c>
      <c r="Q1226" s="118">
        <v>1650</v>
      </c>
      <c r="R1226" s="118">
        <v>1661</v>
      </c>
      <c r="S1226" s="37">
        <v>102</v>
      </c>
      <c r="T1226" s="118">
        <v>102</v>
      </c>
      <c r="U1226" s="118"/>
      <c r="V1226" s="118"/>
      <c r="W1226" s="117" t="s">
        <v>47</v>
      </c>
      <c r="X1226" s="117"/>
      <c r="Y1226" s="117"/>
      <c r="Z1226" s="118"/>
      <c r="AA1226" s="118"/>
      <c r="AB1226" s="211" t="s">
        <v>1415</v>
      </c>
      <c r="AC1226" s="145">
        <v>2424</v>
      </c>
      <c r="AD1226" s="145" t="s">
        <v>51</v>
      </c>
      <c r="AE1226" s="145" t="s">
        <v>51</v>
      </c>
      <c r="AF1226" s="145" t="s">
        <v>51</v>
      </c>
      <c r="AG1226" s="145"/>
      <c r="AH1226" s="117" t="s">
        <v>52</v>
      </c>
      <c r="AI1226" s="118">
        <v>1</v>
      </c>
      <c r="AJ1226" s="118"/>
      <c r="AK1226" s="118"/>
      <c r="AL1226" s="118"/>
      <c r="AM1226" s="118"/>
      <c r="AN1226" s="212">
        <v>0</v>
      </c>
      <c r="AO1226" s="145"/>
      <c r="AP1226" s="118" t="s">
        <v>53</v>
      </c>
      <c r="AQ1226" s="2">
        <v>0</v>
      </c>
    </row>
    <row r="1227" s="23" customFormat="1" spans="1:43">
      <c r="A1227" s="118">
        <v>222014</v>
      </c>
      <c r="B1227" s="45" t="s">
        <v>1414</v>
      </c>
      <c r="C1227" s="118"/>
      <c r="D1227" s="118"/>
      <c r="E1227" s="118"/>
      <c r="F1227" s="118">
        <v>0</v>
      </c>
      <c r="G1227" s="118">
        <v>0</v>
      </c>
      <c r="H1227" s="83" t="s">
        <v>45</v>
      </c>
      <c r="I1227" s="118">
        <v>7</v>
      </c>
      <c r="J1227" s="118">
        <v>0</v>
      </c>
      <c r="K1227" s="145" t="s">
        <v>46</v>
      </c>
      <c r="L1227" s="117" t="s">
        <v>47</v>
      </c>
      <c r="M1227" s="118">
        <v>2010140</v>
      </c>
      <c r="N1227" s="118">
        <v>0</v>
      </c>
      <c r="O1227" s="117" t="s">
        <v>48</v>
      </c>
      <c r="P1227" s="118">
        <v>2210</v>
      </c>
      <c r="Q1227" s="118">
        <v>2194</v>
      </c>
      <c r="R1227" s="118">
        <v>1086</v>
      </c>
      <c r="S1227" s="37">
        <v>137</v>
      </c>
      <c r="T1227" s="118">
        <v>67</v>
      </c>
      <c r="U1227" s="118"/>
      <c r="V1227" s="118"/>
      <c r="W1227" s="117" t="s">
        <v>47</v>
      </c>
      <c r="X1227" s="117"/>
      <c r="Y1227" s="117"/>
      <c r="Z1227" s="118"/>
      <c r="AA1227" s="118"/>
      <c r="AB1227" s="211" t="s">
        <v>1415</v>
      </c>
      <c r="AC1227" s="145">
        <v>2424</v>
      </c>
      <c r="AD1227" s="145" t="s">
        <v>51</v>
      </c>
      <c r="AE1227" s="145" t="s">
        <v>51</v>
      </c>
      <c r="AF1227" s="145" t="s">
        <v>51</v>
      </c>
      <c r="AG1227" s="145"/>
      <c r="AH1227" s="117" t="s">
        <v>52</v>
      </c>
      <c r="AI1227" s="118">
        <v>1</v>
      </c>
      <c r="AJ1227" s="118"/>
      <c r="AK1227" s="118"/>
      <c r="AL1227" s="118"/>
      <c r="AM1227" s="118"/>
      <c r="AN1227" s="212">
        <v>0</v>
      </c>
      <c r="AO1227" s="145"/>
      <c r="AP1227" s="118" t="s">
        <v>53</v>
      </c>
      <c r="AQ1227" s="2">
        <v>0</v>
      </c>
    </row>
    <row r="1228" s="23" customFormat="1" spans="1:43">
      <c r="A1228" s="118">
        <v>221002</v>
      </c>
      <c r="B1228" s="45" t="s">
        <v>1416</v>
      </c>
      <c r="C1228" s="118"/>
      <c r="D1228" s="118"/>
      <c r="E1228" s="118"/>
      <c r="F1228" s="118">
        <v>0</v>
      </c>
      <c r="G1228" s="118">
        <v>0</v>
      </c>
      <c r="H1228" s="83" t="s">
        <v>45</v>
      </c>
      <c r="I1228" s="118">
        <v>7</v>
      </c>
      <c r="J1228" s="118">
        <v>0</v>
      </c>
      <c r="K1228" s="145" t="s">
        <v>46</v>
      </c>
      <c r="L1228" s="117" t="s">
        <v>47</v>
      </c>
      <c r="M1228" s="118">
        <v>2010160</v>
      </c>
      <c r="N1228" s="118">
        <v>0</v>
      </c>
      <c r="O1228" s="117" t="s">
        <v>48</v>
      </c>
      <c r="P1228" s="118">
        <v>2210</v>
      </c>
      <c r="Q1228" s="118">
        <v>1862</v>
      </c>
      <c r="R1228" s="118">
        <v>1520</v>
      </c>
      <c r="S1228" s="37">
        <v>118</v>
      </c>
      <c r="T1228" s="118">
        <v>93</v>
      </c>
      <c r="U1228" s="118"/>
      <c r="V1228" s="118"/>
      <c r="W1228" s="117" t="s">
        <v>47</v>
      </c>
      <c r="X1228" s="117"/>
      <c r="Y1228" s="117"/>
      <c r="Z1228" s="118"/>
      <c r="AA1228" s="118"/>
      <c r="AB1228" s="211" t="s">
        <v>1415</v>
      </c>
      <c r="AC1228" s="145">
        <v>2425</v>
      </c>
      <c r="AD1228" s="145" t="s">
        <v>51</v>
      </c>
      <c r="AE1228" s="145" t="s">
        <v>51</v>
      </c>
      <c r="AF1228" s="145" t="s">
        <v>51</v>
      </c>
      <c r="AG1228" s="145"/>
      <c r="AH1228" s="117" t="s">
        <v>52</v>
      </c>
      <c r="AI1228" s="118">
        <v>1</v>
      </c>
      <c r="AJ1228" s="118"/>
      <c r="AK1228" s="118"/>
      <c r="AL1228" s="118"/>
      <c r="AM1228" s="118"/>
      <c r="AN1228" s="212">
        <v>0</v>
      </c>
      <c r="AO1228" s="145"/>
      <c r="AP1228" s="118" t="s">
        <v>53</v>
      </c>
      <c r="AQ1228" s="2">
        <v>0</v>
      </c>
    </row>
    <row r="1229" s="23" customFormat="1" spans="1:43">
      <c r="A1229" s="118">
        <v>223002</v>
      </c>
      <c r="B1229" s="45" t="s">
        <v>1416</v>
      </c>
      <c r="C1229" s="118"/>
      <c r="D1229" s="118"/>
      <c r="E1229" s="118"/>
      <c r="F1229" s="118">
        <v>0</v>
      </c>
      <c r="G1229" s="118">
        <v>0</v>
      </c>
      <c r="H1229" s="83" t="s">
        <v>45</v>
      </c>
      <c r="I1229" s="118">
        <v>7</v>
      </c>
      <c r="J1229" s="118">
        <v>0</v>
      </c>
      <c r="K1229" s="145" t="s">
        <v>46</v>
      </c>
      <c r="L1229" s="117" t="s">
        <v>47</v>
      </c>
      <c r="M1229" s="118">
        <v>2010160</v>
      </c>
      <c r="N1229" s="118">
        <v>0</v>
      </c>
      <c r="O1229" s="117" t="s">
        <v>48</v>
      </c>
      <c r="P1229" s="118">
        <v>2210</v>
      </c>
      <c r="Q1229" s="118">
        <v>1558</v>
      </c>
      <c r="R1229" s="118">
        <v>1680</v>
      </c>
      <c r="S1229" s="37">
        <v>98</v>
      </c>
      <c r="T1229" s="118">
        <v>103</v>
      </c>
      <c r="U1229" s="118"/>
      <c r="V1229" s="118"/>
      <c r="W1229" s="117" t="s">
        <v>47</v>
      </c>
      <c r="X1229" s="117"/>
      <c r="Y1229" s="117"/>
      <c r="Z1229" s="118"/>
      <c r="AA1229" s="118"/>
      <c r="AB1229" s="211" t="s">
        <v>1415</v>
      </c>
      <c r="AC1229" s="145">
        <v>2425</v>
      </c>
      <c r="AD1229" s="145" t="s">
        <v>51</v>
      </c>
      <c r="AE1229" s="145" t="s">
        <v>51</v>
      </c>
      <c r="AF1229" s="145" t="s">
        <v>51</v>
      </c>
      <c r="AG1229" s="145"/>
      <c r="AH1229" s="117" t="s">
        <v>52</v>
      </c>
      <c r="AI1229" s="118">
        <v>1</v>
      </c>
      <c r="AJ1229" s="118"/>
      <c r="AK1229" s="118"/>
      <c r="AL1229" s="118"/>
      <c r="AM1229" s="118"/>
      <c r="AN1229" s="212">
        <v>0</v>
      </c>
      <c r="AO1229" s="145"/>
      <c r="AP1229" s="118" t="s">
        <v>53</v>
      </c>
      <c r="AQ1229" s="2">
        <v>0</v>
      </c>
    </row>
    <row r="1230" s="23" customFormat="1" spans="1:43">
      <c r="A1230" s="118">
        <v>223003</v>
      </c>
      <c r="B1230" s="45" t="s">
        <v>1416</v>
      </c>
      <c r="C1230" s="118"/>
      <c r="D1230" s="118"/>
      <c r="E1230" s="118"/>
      <c r="F1230" s="118">
        <v>0</v>
      </c>
      <c r="G1230" s="118">
        <v>0</v>
      </c>
      <c r="H1230" s="83" t="s">
        <v>45</v>
      </c>
      <c r="I1230" s="118">
        <v>7</v>
      </c>
      <c r="J1230" s="118">
        <v>0</v>
      </c>
      <c r="K1230" s="145" t="s">
        <v>46</v>
      </c>
      <c r="L1230" s="117" t="s">
        <v>47</v>
      </c>
      <c r="M1230" s="118">
        <v>2010160</v>
      </c>
      <c r="N1230" s="118">
        <v>0</v>
      </c>
      <c r="O1230" s="117" t="s">
        <v>48</v>
      </c>
      <c r="P1230" s="118">
        <v>2210</v>
      </c>
      <c r="Q1230" s="118">
        <v>1174</v>
      </c>
      <c r="R1230" s="118">
        <v>1819</v>
      </c>
      <c r="S1230" s="37">
        <v>73</v>
      </c>
      <c r="T1230" s="118">
        <v>114</v>
      </c>
      <c r="U1230" s="118"/>
      <c r="V1230" s="118"/>
      <c r="W1230" s="117" t="s">
        <v>47</v>
      </c>
      <c r="X1230" s="117"/>
      <c r="Y1230" s="117"/>
      <c r="Z1230" s="118"/>
      <c r="AA1230" s="118"/>
      <c r="AB1230" s="211" t="s">
        <v>1415</v>
      </c>
      <c r="AC1230" s="145">
        <v>2425</v>
      </c>
      <c r="AD1230" s="145" t="s">
        <v>51</v>
      </c>
      <c r="AE1230" s="145" t="s">
        <v>51</v>
      </c>
      <c r="AF1230" s="145" t="s">
        <v>51</v>
      </c>
      <c r="AG1230" s="145"/>
      <c r="AH1230" s="117" t="s">
        <v>52</v>
      </c>
      <c r="AI1230" s="118">
        <v>1</v>
      </c>
      <c r="AJ1230" s="118"/>
      <c r="AK1230" s="118"/>
      <c r="AL1230" s="118"/>
      <c r="AM1230" s="118"/>
      <c r="AN1230" s="212">
        <v>0</v>
      </c>
      <c r="AO1230" s="145"/>
      <c r="AP1230" s="118" t="s">
        <v>53</v>
      </c>
      <c r="AQ1230" s="2">
        <v>0</v>
      </c>
    </row>
    <row r="1231" s="23" customFormat="1" spans="1:43">
      <c r="A1231" s="118">
        <v>223004</v>
      </c>
      <c r="B1231" s="45" t="s">
        <v>1416</v>
      </c>
      <c r="C1231" s="118"/>
      <c r="D1231" s="118"/>
      <c r="E1231" s="118"/>
      <c r="F1231" s="118">
        <v>0</v>
      </c>
      <c r="G1231" s="118">
        <v>0</v>
      </c>
      <c r="H1231" s="83" t="s">
        <v>45</v>
      </c>
      <c r="I1231" s="118">
        <v>7</v>
      </c>
      <c r="J1231" s="118">
        <v>0</v>
      </c>
      <c r="K1231" s="145" t="s">
        <v>46</v>
      </c>
      <c r="L1231" s="117" t="s">
        <v>47</v>
      </c>
      <c r="M1231" s="118">
        <v>2010160</v>
      </c>
      <c r="N1231" s="118">
        <v>0</v>
      </c>
      <c r="O1231" s="117" t="s">
        <v>48</v>
      </c>
      <c r="P1231" s="118">
        <v>2210</v>
      </c>
      <c r="Q1231" s="118">
        <v>647</v>
      </c>
      <c r="R1231" s="118">
        <v>2171</v>
      </c>
      <c r="S1231" s="37">
        <v>40</v>
      </c>
      <c r="T1231" s="118">
        <v>134</v>
      </c>
      <c r="U1231" s="118"/>
      <c r="V1231" s="118"/>
      <c r="W1231" s="117" t="s">
        <v>47</v>
      </c>
      <c r="X1231" s="117"/>
      <c r="Y1231" s="117"/>
      <c r="Z1231" s="118"/>
      <c r="AA1231" s="118"/>
      <c r="AB1231" s="211" t="s">
        <v>1415</v>
      </c>
      <c r="AC1231" s="145">
        <v>2425</v>
      </c>
      <c r="AD1231" s="145" t="s">
        <v>51</v>
      </c>
      <c r="AE1231" s="145" t="s">
        <v>51</v>
      </c>
      <c r="AF1231" s="145" t="s">
        <v>51</v>
      </c>
      <c r="AG1231" s="145"/>
      <c r="AH1231" s="117" t="s">
        <v>52</v>
      </c>
      <c r="AI1231" s="118">
        <v>1</v>
      </c>
      <c r="AJ1231" s="118"/>
      <c r="AK1231" s="118"/>
      <c r="AL1231" s="118"/>
      <c r="AM1231" s="118"/>
      <c r="AN1231" s="212">
        <v>0</v>
      </c>
      <c r="AO1231" s="145"/>
      <c r="AP1231" s="118" t="s">
        <v>53</v>
      </c>
      <c r="AQ1231" s="2">
        <v>0</v>
      </c>
    </row>
    <row r="1232" s="23" customFormat="1" spans="1:43">
      <c r="A1232" s="118">
        <v>223005</v>
      </c>
      <c r="B1232" s="45" t="s">
        <v>1416</v>
      </c>
      <c r="C1232" s="118"/>
      <c r="D1232" s="118"/>
      <c r="E1232" s="118"/>
      <c r="F1232" s="118">
        <v>0</v>
      </c>
      <c r="G1232" s="118">
        <v>0</v>
      </c>
      <c r="H1232" s="83" t="s">
        <v>45</v>
      </c>
      <c r="I1232" s="118">
        <v>7</v>
      </c>
      <c r="J1232" s="118">
        <v>0</v>
      </c>
      <c r="K1232" s="145" t="s">
        <v>46</v>
      </c>
      <c r="L1232" s="117" t="s">
        <v>47</v>
      </c>
      <c r="M1232" s="118">
        <v>2010160</v>
      </c>
      <c r="N1232" s="118">
        <v>0</v>
      </c>
      <c r="O1232" s="117" t="s">
        <v>48</v>
      </c>
      <c r="P1232" s="118">
        <v>2210</v>
      </c>
      <c r="Q1232" s="118">
        <v>454</v>
      </c>
      <c r="R1232" s="118">
        <v>2575</v>
      </c>
      <c r="S1232" s="37">
        <v>27</v>
      </c>
      <c r="T1232" s="118">
        <v>160</v>
      </c>
      <c r="U1232" s="118"/>
      <c r="V1232" s="118"/>
      <c r="W1232" s="117" t="s">
        <v>47</v>
      </c>
      <c r="X1232" s="117"/>
      <c r="Y1232" s="117"/>
      <c r="Z1232" s="118"/>
      <c r="AA1232" s="118"/>
      <c r="AB1232" s="211" t="s">
        <v>1415</v>
      </c>
      <c r="AC1232" s="145">
        <v>2425</v>
      </c>
      <c r="AD1232" s="145" t="s">
        <v>51</v>
      </c>
      <c r="AE1232" s="145" t="s">
        <v>51</v>
      </c>
      <c r="AF1232" s="145" t="s">
        <v>51</v>
      </c>
      <c r="AG1232" s="145"/>
      <c r="AH1232" s="117" t="s">
        <v>52</v>
      </c>
      <c r="AI1232" s="118">
        <v>1</v>
      </c>
      <c r="AJ1232" s="118"/>
      <c r="AK1232" s="118"/>
      <c r="AL1232" s="118"/>
      <c r="AM1232" s="118"/>
      <c r="AN1232" s="212">
        <v>0</v>
      </c>
      <c r="AO1232" s="145"/>
      <c r="AP1232" s="118" t="s">
        <v>53</v>
      </c>
      <c r="AQ1232" s="2">
        <v>0</v>
      </c>
    </row>
    <row r="1233" s="23" customFormat="1" spans="1:43">
      <c r="A1233" s="118">
        <v>223006</v>
      </c>
      <c r="B1233" s="45" t="s">
        <v>1416</v>
      </c>
      <c r="C1233" s="118"/>
      <c r="D1233" s="118"/>
      <c r="E1233" s="118"/>
      <c r="F1233" s="118">
        <v>0</v>
      </c>
      <c r="G1233" s="118">
        <v>0</v>
      </c>
      <c r="H1233" s="83" t="s">
        <v>45</v>
      </c>
      <c r="I1233" s="118">
        <v>7</v>
      </c>
      <c r="J1233" s="118">
        <v>0</v>
      </c>
      <c r="K1233" s="145" t="s">
        <v>46</v>
      </c>
      <c r="L1233" s="117" t="s">
        <v>47</v>
      </c>
      <c r="M1233" s="118">
        <v>2010160</v>
      </c>
      <c r="N1233" s="118">
        <v>0</v>
      </c>
      <c r="O1233" s="117" t="s">
        <v>48</v>
      </c>
      <c r="P1233" s="118">
        <v>2210</v>
      </c>
      <c r="Q1233" s="118">
        <v>878</v>
      </c>
      <c r="R1233" s="118">
        <v>2558</v>
      </c>
      <c r="S1233" s="37">
        <v>55</v>
      </c>
      <c r="T1233" s="118">
        <v>158</v>
      </c>
      <c r="U1233" s="118"/>
      <c r="V1233" s="118"/>
      <c r="W1233" s="117" t="s">
        <v>47</v>
      </c>
      <c r="X1233" s="117"/>
      <c r="Y1233" s="117"/>
      <c r="Z1233" s="118"/>
      <c r="AA1233" s="118"/>
      <c r="AB1233" s="211" t="s">
        <v>1415</v>
      </c>
      <c r="AC1233" s="145">
        <v>2425</v>
      </c>
      <c r="AD1233" s="145" t="s">
        <v>51</v>
      </c>
      <c r="AE1233" s="145" t="s">
        <v>51</v>
      </c>
      <c r="AF1233" s="145" t="s">
        <v>51</v>
      </c>
      <c r="AG1233" s="145"/>
      <c r="AH1233" s="117" t="s">
        <v>52</v>
      </c>
      <c r="AI1233" s="118">
        <v>1</v>
      </c>
      <c r="AJ1233" s="118"/>
      <c r="AK1233" s="118"/>
      <c r="AL1233" s="118"/>
      <c r="AM1233" s="118"/>
      <c r="AN1233" s="212">
        <v>0</v>
      </c>
      <c r="AO1233" s="145"/>
      <c r="AP1233" s="118" t="s">
        <v>53</v>
      </c>
      <c r="AQ1233" s="2">
        <v>0</v>
      </c>
    </row>
    <row r="1234" s="23" customFormat="1" spans="1:43">
      <c r="A1234" s="118">
        <v>223007</v>
      </c>
      <c r="B1234" s="45" t="s">
        <v>1416</v>
      </c>
      <c r="C1234" s="118"/>
      <c r="D1234" s="118"/>
      <c r="E1234" s="118"/>
      <c r="F1234" s="118">
        <v>0</v>
      </c>
      <c r="G1234" s="118">
        <v>0</v>
      </c>
      <c r="H1234" s="83" t="s">
        <v>45</v>
      </c>
      <c r="I1234" s="118">
        <v>7</v>
      </c>
      <c r="J1234" s="118">
        <v>0</v>
      </c>
      <c r="K1234" s="145" t="s">
        <v>46</v>
      </c>
      <c r="L1234" s="117" t="s">
        <v>47</v>
      </c>
      <c r="M1234" s="118">
        <v>2010160</v>
      </c>
      <c r="N1234" s="118">
        <v>0</v>
      </c>
      <c r="O1234" s="117" t="s">
        <v>48</v>
      </c>
      <c r="P1234" s="118">
        <v>2210</v>
      </c>
      <c r="Q1234" s="118">
        <v>1320</v>
      </c>
      <c r="R1234" s="118">
        <v>2474</v>
      </c>
      <c r="S1234" s="37">
        <v>81</v>
      </c>
      <c r="T1234" s="118">
        <v>154</v>
      </c>
      <c r="U1234" s="118"/>
      <c r="V1234" s="118"/>
      <c r="W1234" s="117" t="s">
        <v>47</v>
      </c>
      <c r="X1234" s="117"/>
      <c r="Y1234" s="117"/>
      <c r="Z1234" s="118"/>
      <c r="AA1234" s="118"/>
      <c r="AB1234" s="211" t="s">
        <v>1415</v>
      </c>
      <c r="AC1234" s="145">
        <v>2425</v>
      </c>
      <c r="AD1234" s="145" t="s">
        <v>51</v>
      </c>
      <c r="AE1234" s="145" t="s">
        <v>51</v>
      </c>
      <c r="AF1234" s="145" t="s">
        <v>51</v>
      </c>
      <c r="AG1234" s="145"/>
      <c r="AH1234" s="117" t="s">
        <v>52</v>
      </c>
      <c r="AI1234" s="118">
        <v>1</v>
      </c>
      <c r="AJ1234" s="118"/>
      <c r="AK1234" s="118"/>
      <c r="AL1234" s="118"/>
      <c r="AM1234" s="118"/>
      <c r="AN1234" s="212">
        <v>0</v>
      </c>
      <c r="AO1234" s="145"/>
      <c r="AP1234" s="118" t="s">
        <v>53</v>
      </c>
      <c r="AQ1234" s="2">
        <v>0</v>
      </c>
    </row>
    <row r="1235" s="23" customFormat="1" spans="1:43">
      <c r="A1235" s="118">
        <v>223008</v>
      </c>
      <c r="B1235" s="45" t="s">
        <v>1416</v>
      </c>
      <c r="C1235" s="118"/>
      <c r="D1235" s="118"/>
      <c r="E1235" s="118"/>
      <c r="F1235" s="118">
        <v>0</v>
      </c>
      <c r="G1235" s="118">
        <v>0</v>
      </c>
      <c r="H1235" s="83" t="s">
        <v>45</v>
      </c>
      <c r="I1235" s="118">
        <v>7</v>
      </c>
      <c r="J1235" s="118">
        <v>0</v>
      </c>
      <c r="K1235" s="145" t="s">
        <v>46</v>
      </c>
      <c r="L1235" s="117" t="s">
        <v>47</v>
      </c>
      <c r="M1235" s="118">
        <v>2010160</v>
      </c>
      <c r="N1235" s="118">
        <v>0</v>
      </c>
      <c r="O1235" s="117" t="s">
        <v>48</v>
      </c>
      <c r="P1235" s="118">
        <v>2210</v>
      </c>
      <c r="Q1235" s="118">
        <v>1620</v>
      </c>
      <c r="R1235" s="118">
        <v>2433</v>
      </c>
      <c r="S1235" s="37">
        <v>99</v>
      </c>
      <c r="T1235" s="118">
        <v>152</v>
      </c>
      <c r="U1235" s="118"/>
      <c r="V1235" s="118"/>
      <c r="W1235" s="117" t="s">
        <v>47</v>
      </c>
      <c r="X1235" s="117"/>
      <c r="Y1235" s="117"/>
      <c r="Z1235" s="118"/>
      <c r="AA1235" s="118"/>
      <c r="AB1235" s="211" t="s">
        <v>1415</v>
      </c>
      <c r="AC1235" s="145">
        <v>2425</v>
      </c>
      <c r="AD1235" s="145" t="s">
        <v>51</v>
      </c>
      <c r="AE1235" s="145" t="s">
        <v>51</v>
      </c>
      <c r="AF1235" s="145" t="s">
        <v>51</v>
      </c>
      <c r="AG1235" s="145"/>
      <c r="AH1235" s="117" t="s">
        <v>52</v>
      </c>
      <c r="AI1235" s="118">
        <v>1</v>
      </c>
      <c r="AJ1235" s="118"/>
      <c r="AK1235" s="118"/>
      <c r="AL1235" s="118"/>
      <c r="AM1235" s="118"/>
      <c r="AN1235" s="212">
        <v>0</v>
      </c>
      <c r="AO1235" s="145"/>
      <c r="AP1235" s="118" t="s">
        <v>53</v>
      </c>
      <c r="AQ1235" s="2">
        <v>0</v>
      </c>
    </row>
    <row r="1236" s="23" customFormat="1" spans="1:43">
      <c r="A1236" s="118">
        <v>223009</v>
      </c>
      <c r="B1236" s="45" t="s">
        <v>1416</v>
      </c>
      <c r="C1236" s="118"/>
      <c r="D1236" s="118"/>
      <c r="E1236" s="118"/>
      <c r="F1236" s="118">
        <v>0</v>
      </c>
      <c r="G1236" s="118">
        <v>0</v>
      </c>
      <c r="H1236" s="83" t="s">
        <v>45</v>
      </c>
      <c r="I1236" s="118">
        <v>7</v>
      </c>
      <c r="J1236" s="118">
        <v>0</v>
      </c>
      <c r="K1236" s="145" t="s">
        <v>46</v>
      </c>
      <c r="L1236" s="117" t="s">
        <v>47</v>
      </c>
      <c r="M1236" s="118">
        <v>2010160</v>
      </c>
      <c r="N1236" s="118">
        <v>0</v>
      </c>
      <c r="O1236" s="117" t="s">
        <v>48</v>
      </c>
      <c r="P1236" s="118">
        <v>2210</v>
      </c>
      <c r="Q1236" s="118">
        <v>2164</v>
      </c>
      <c r="R1236" s="118">
        <v>2406</v>
      </c>
      <c r="S1236" s="37">
        <v>134</v>
      </c>
      <c r="T1236" s="118">
        <v>149</v>
      </c>
      <c r="U1236" s="118"/>
      <c r="V1236" s="118"/>
      <c r="W1236" s="117" t="s">
        <v>47</v>
      </c>
      <c r="X1236" s="117"/>
      <c r="Y1236" s="117"/>
      <c r="Z1236" s="118"/>
      <c r="AA1236" s="118"/>
      <c r="AB1236" s="211" t="s">
        <v>1415</v>
      </c>
      <c r="AC1236" s="145">
        <v>2425</v>
      </c>
      <c r="AD1236" s="145" t="s">
        <v>51</v>
      </c>
      <c r="AE1236" s="145" t="s">
        <v>51</v>
      </c>
      <c r="AF1236" s="145" t="s">
        <v>51</v>
      </c>
      <c r="AG1236" s="145"/>
      <c r="AH1236" s="117" t="s">
        <v>52</v>
      </c>
      <c r="AI1236" s="118">
        <v>1</v>
      </c>
      <c r="AJ1236" s="118"/>
      <c r="AK1236" s="118"/>
      <c r="AL1236" s="118"/>
      <c r="AM1236" s="118"/>
      <c r="AN1236" s="212">
        <v>0</v>
      </c>
      <c r="AO1236" s="145"/>
      <c r="AP1236" s="118" t="s">
        <v>53</v>
      </c>
      <c r="AQ1236" s="2">
        <v>0</v>
      </c>
    </row>
    <row r="1237" s="23" customFormat="1" spans="1:43">
      <c r="A1237" s="118">
        <v>223010</v>
      </c>
      <c r="B1237" s="45" t="s">
        <v>1416</v>
      </c>
      <c r="C1237" s="118"/>
      <c r="D1237" s="118"/>
      <c r="E1237" s="118"/>
      <c r="F1237" s="118">
        <v>0</v>
      </c>
      <c r="G1237" s="118">
        <v>0</v>
      </c>
      <c r="H1237" s="83" t="s">
        <v>45</v>
      </c>
      <c r="I1237" s="118">
        <v>7</v>
      </c>
      <c r="J1237" s="118">
        <v>0</v>
      </c>
      <c r="K1237" s="145" t="s">
        <v>46</v>
      </c>
      <c r="L1237" s="117" t="s">
        <v>47</v>
      </c>
      <c r="M1237" s="118">
        <v>2010160</v>
      </c>
      <c r="N1237" s="118">
        <v>0</v>
      </c>
      <c r="O1237" s="117" t="s">
        <v>48</v>
      </c>
      <c r="P1237" s="118">
        <v>2210</v>
      </c>
      <c r="Q1237" s="118">
        <v>1933</v>
      </c>
      <c r="R1237" s="118">
        <v>2085</v>
      </c>
      <c r="S1237" s="37">
        <v>120</v>
      </c>
      <c r="T1237" s="118">
        <v>129</v>
      </c>
      <c r="U1237" s="118"/>
      <c r="V1237" s="118"/>
      <c r="W1237" s="117" t="s">
        <v>47</v>
      </c>
      <c r="X1237" s="117"/>
      <c r="Y1237" s="117"/>
      <c r="Z1237" s="118"/>
      <c r="AA1237" s="118"/>
      <c r="AB1237" s="211" t="s">
        <v>1415</v>
      </c>
      <c r="AC1237" s="145">
        <v>2425</v>
      </c>
      <c r="AD1237" s="145" t="s">
        <v>51</v>
      </c>
      <c r="AE1237" s="145" t="s">
        <v>51</v>
      </c>
      <c r="AF1237" s="145" t="s">
        <v>51</v>
      </c>
      <c r="AG1237" s="145"/>
      <c r="AH1237" s="117" t="s">
        <v>52</v>
      </c>
      <c r="AI1237" s="118">
        <v>1</v>
      </c>
      <c r="AJ1237" s="118"/>
      <c r="AK1237" s="118"/>
      <c r="AL1237" s="118"/>
      <c r="AM1237" s="118"/>
      <c r="AN1237" s="212">
        <v>0</v>
      </c>
      <c r="AO1237" s="145"/>
      <c r="AP1237" s="118" t="s">
        <v>53</v>
      </c>
      <c r="AQ1237" s="2">
        <v>0</v>
      </c>
    </row>
    <row r="1238" s="18" customFormat="1" spans="1:43">
      <c r="A1238" s="118">
        <v>221003</v>
      </c>
      <c r="B1238" s="45" t="s">
        <v>1417</v>
      </c>
      <c r="C1238" s="83"/>
      <c r="D1238" s="83"/>
      <c r="E1238" s="83"/>
      <c r="F1238" s="83">
        <v>0</v>
      </c>
      <c r="G1238" s="83" t="s">
        <v>47</v>
      </c>
      <c r="H1238" s="83" t="s">
        <v>45</v>
      </c>
      <c r="I1238" s="83" t="s">
        <v>45</v>
      </c>
      <c r="J1238" s="83">
        <v>1</v>
      </c>
      <c r="K1238" s="83" t="s">
        <v>295</v>
      </c>
      <c r="L1238" s="83" t="s">
        <v>47</v>
      </c>
      <c r="M1238" s="83">
        <v>1030009</v>
      </c>
      <c r="N1238" s="83">
        <v>0</v>
      </c>
      <c r="O1238" s="83" t="s">
        <v>48</v>
      </c>
      <c r="P1238" s="83">
        <v>2210</v>
      </c>
      <c r="Q1238" s="83">
        <v>2086</v>
      </c>
      <c r="R1238" s="83">
        <v>1938</v>
      </c>
      <c r="S1238" s="37">
        <v>123</v>
      </c>
      <c r="T1238" s="83">
        <v>72</v>
      </c>
      <c r="U1238" s="83">
        <v>3</v>
      </c>
      <c r="V1238" s="83"/>
      <c r="W1238" s="83" t="s">
        <v>47</v>
      </c>
      <c r="X1238" s="83" t="s">
        <v>1418</v>
      </c>
      <c r="Y1238" s="83" t="s">
        <v>1417</v>
      </c>
      <c r="Z1238" s="83" t="s">
        <v>1417</v>
      </c>
      <c r="AA1238" s="83"/>
      <c r="AB1238" s="83" t="s">
        <v>1417</v>
      </c>
      <c r="AC1238" s="83">
        <v>2799</v>
      </c>
      <c r="AD1238" s="83"/>
      <c r="AE1238" s="83"/>
      <c r="AF1238" s="83"/>
      <c r="AG1238" s="83"/>
      <c r="AH1238" s="83" t="s">
        <v>52</v>
      </c>
      <c r="AI1238" s="83">
        <v>0</v>
      </c>
      <c r="AJ1238" s="44" t="s">
        <v>117</v>
      </c>
      <c r="AK1238" s="44" t="s">
        <v>118</v>
      </c>
      <c r="AL1238" s="44" t="s">
        <v>119</v>
      </c>
      <c r="AM1238" s="44" t="s">
        <v>120</v>
      </c>
      <c r="AN1238" s="219">
        <v>0</v>
      </c>
      <c r="AO1238" s="83"/>
      <c r="AP1238" s="83" t="s">
        <v>298</v>
      </c>
      <c r="AQ1238" s="18">
        <v>0</v>
      </c>
    </row>
    <row r="1239" s="18" customFormat="1" spans="1:43">
      <c r="A1239" s="118">
        <v>221004</v>
      </c>
      <c r="B1239" s="45" t="s">
        <v>1419</v>
      </c>
      <c r="C1239" s="83"/>
      <c r="D1239" s="83"/>
      <c r="E1239" s="83"/>
      <c r="F1239" s="83">
        <v>0</v>
      </c>
      <c r="G1239" s="83" t="s">
        <v>47</v>
      </c>
      <c r="H1239" s="83" t="s">
        <v>45</v>
      </c>
      <c r="I1239" s="83" t="s">
        <v>45</v>
      </c>
      <c r="J1239" s="83">
        <v>1</v>
      </c>
      <c r="K1239" s="83" t="s">
        <v>295</v>
      </c>
      <c r="L1239" s="83" t="s">
        <v>47</v>
      </c>
      <c r="M1239" s="83">
        <v>1030009</v>
      </c>
      <c r="N1239" s="83">
        <v>0</v>
      </c>
      <c r="O1239" s="83" t="s">
        <v>48</v>
      </c>
      <c r="P1239" s="83">
        <v>2210</v>
      </c>
      <c r="Q1239" s="83">
        <v>1970</v>
      </c>
      <c r="R1239" s="83">
        <v>658</v>
      </c>
      <c r="S1239" s="37">
        <v>123</v>
      </c>
      <c r="T1239" s="83">
        <v>41</v>
      </c>
      <c r="U1239" s="83">
        <v>3</v>
      </c>
      <c r="V1239" s="83"/>
      <c r="W1239" s="83" t="s">
        <v>47</v>
      </c>
      <c r="X1239" s="83" t="s">
        <v>1418</v>
      </c>
      <c r="Y1239" s="83" t="s">
        <v>1417</v>
      </c>
      <c r="Z1239" s="83" t="s">
        <v>1417</v>
      </c>
      <c r="AA1239" s="83"/>
      <c r="AB1239" s="83" t="s">
        <v>1417</v>
      </c>
      <c r="AC1239" s="83">
        <v>2799</v>
      </c>
      <c r="AD1239" s="83"/>
      <c r="AE1239" s="83"/>
      <c r="AF1239" s="83"/>
      <c r="AG1239" s="83"/>
      <c r="AH1239" s="83" t="s">
        <v>52</v>
      </c>
      <c r="AI1239" s="83">
        <v>0</v>
      </c>
      <c r="AJ1239" s="44" t="s">
        <v>117</v>
      </c>
      <c r="AK1239" s="44" t="s">
        <v>118</v>
      </c>
      <c r="AL1239" s="44" t="s">
        <v>119</v>
      </c>
      <c r="AM1239" s="44" t="s">
        <v>120</v>
      </c>
      <c r="AN1239" s="219">
        <v>0</v>
      </c>
      <c r="AO1239" s="83"/>
      <c r="AP1239" s="83" t="s">
        <v>298</v>
      </c>
      <c r="AQ1239" s="18">
        <v>0</v>
      </c>
    </row>
    <row r="1240" s="23" customFormat="1" spans="1:43">
      <c r="A1240" s="118">
        <v>221101</v>
      </c>
      <c r="B1240" s="45" t="s">
        <v>1420</v>
      </c>
      <c r="C1240" s="118"/>
      <c r="D1240" s="118"/>
      <c r="E1240" s="118"/>
      <c r="F1240" s="118">
        <v>0</v>
      </c>
      <c r="G1240" s="118">
        <v>0</v>
      </c>
      <c r="H1240" s="83" t="s">
        <v>45</v>
      </c>
      <c r="I1240" s="118">
        <v>7</v>
      </c>
      <c r="J1240" s="118">
        <v>0</v>
      </c>
      <c r="K1240" s="145" t="s">
        <v>46</v>
      </c>
      <c r="L1240" s="117" t="s">
        <v>47</v>
      </c>
      <c r="M1240" s="118">
        <v>530013</v>
      </c>
      <c r="N1240" s="118">
        <v>0</v>
      </c>
      <c r="O1240" s="117" t="s">
        <v>48</v>
      </c>
      <c r="P1240" s="118">
        <v>2211</v>
      </c>
      <c r="Q1240" s="118">
        <v>611</v>
      </c>
      <c r="R1240" s="118">
        <v>1442</v>
      </c>
      <c r="S1240" s="37">
        <v>38</v>
      </c>
      <c r="T1240" s="83">
        <v>90</v>
      </c>
      <c r="U1240" s="118"/>
      <c r="V1240" s="118"/>
      <c r="W1240" s="117" t="s">
        <v>47</v>
      </c>
      <c r="X1240" s="117"/>
      <c r="Y1240" s="117"/>
      <c r="Z1240" s="118"/>
      <c r="AA1240" s="118"/>
      <c r="AB1240" s="211" t="s">
        <v>1415</v>
      </c>
      <c r="AC1240" s="145">
        <v>2426</v>
      </c>
      <c r="AD1240" s="145" t="s">
        <v>51</v>
      </c>
      <c r="AE1240" s="145" t="s">
        <v>51</v>
      </c>
      <c r="AF1240" s="145" t="s">
        <v>51</v>
      </c>
      <c r="AG1240" s="145"/>
      <c r="AH1240" s="117" t="s">
        <v>52</v>
      </c>
      <c r="AI1240" s="118">
        <v>1</v>
      </c>
      <c r="AJ1240" s="118"/>
      <c r="AK1240" s="118"/>
      <c r="AL1240" s="118"/>
      <c r="AM1240" s="118"/>
      <c r="AN1240" s="212">
        <v>0</v>
      </c>
      <c r="AO1240" s="145"/>
      <c r="AP1240" s="118" t="s">
        <v>53</v>
      </c>
      <c r="AQ1240" s="2">
        <v>0</v>
      </c>
    </row>
    <row r="1241" s="23" customFormat="1" spans="1:43">
      <c r="A1241" s="118">
        <v>221102</v>
      </c>
      <c r="B1241" s="45" t="s">
        <v>1421</v>
      </c>
      <c r="C1241" s="118"/>
      <c r="D1241" s="118"/>
      <c r="E1241" s="118"/>
      <c r="F1241" s="118">
        <v>0</v>
      </c>
      <c r="G1241" s="118">
        <v>0</v>
      </c>
      <c r="H1241" s="83" t="s">
        <v>45</v>
      </c>
      <c r="I1241" s="118">
        <v>7</v>
      </c>
      <c r="J1241" s="118">
        <v>0</v>
      </c>
      <c r="K1241" s="145" t="s">
        <v>46</v>
      </c>
      <c r="L1241" s="117" t="s">
        <v>47</v>
      </c>
      <c r="M1241" s="118">
        <v>530013</v>
      </c>
      <c r="N1241" s="118">
        <v>0</v>
      </c>
      <c r="O1241" s="117" t="s">
        <v>48</v>
      </c>
      <c r="P1241" s="118">
        <v>2211</v>
      </c>
      <c r="Q1241" s="118">
        <v>363</v>
      </c>
      <c r="R1241" s="118">
        <v>1143</v>
      </c>
      <c r="S1241" s="37">
        <v>22</v>
      </c>
      <c r="T1241" s="83">
        <v>71</v>
      </c>
      <c r="U1241" s="118"/>
      <c r="V1241" s="118"/>
      <c r="W1241" s="117" t="s">
        <v>47</v>
      </c>
      <c r="X1241" s="117"/>
      <c r="Y1241" s="117"/>
      <c r="Z1241" s="118"/>
      <c r="AA1241" s="118"/>
      <c r="AB1241" s="211" t="s">
        <v>1415</v>
      </c>
      <c r="AC1241" s="145">
        <v>2427</v>
      </c>
      <c r="AD1241" s="145" t="s">
        <v>51</v>
      </c>
      <c r="AE1241" s="145" t="s">
        <v>51</v>
      </c>
      <c r="AF1241" s="145" t="s">
        <v>51</v>
      </c>
      <c r="AG1241" s="145"/>
      <c r="AH1241" s="117" t="s">
        <v>52</v>
      </c>
      <c r="AI1241" s="118">
        <v>1</v>
      </c>
      <c r="AJ1241" s="118"/>
      <c r="AK1241" s="118"/>
      <c r="AL1241" s="118"/>
      <c r="AM1241" s="118"/>
      <c r="AN1241" s="212">
        <v>0</v>
      </c>
      <c r="AO1241" s="145"/>
      <c r="AP1241" s="118" t="s">
        <v>53</v>
      </c>
      <c r="AQ1241" s="2">
        <v>0</v>
      </c>
    </row>
    <row r="1242" s="23" customFormat="1" spans="1:43">
      <c r="A1242" s="118">
        <v>221103</v>
      </c>
      <c r="B1242" s="45" t="s">
        <v>1422</v>
      </c>
      <c r="C1242" s="118"/>
      <c r="D1242" s="118"/>
      <c r="E1242" s="118"/>
      <c r="F1242" s="118">
        <v>0</v>
      </c>
      <c r="G1242" s="118">
        <v>0</v>
      </c>
      <c r="H1242" s="83" t="s">
        <v>45</v>
      </c>
      <c r="I1242" s="118">
        <v>7</v>
      </c>
      <c r="J1242" s="118">
        <v>0</v>
      </c>
      <c r="K1242" s="145" t="s">
        <v>46</v>
      </c>
      <c r="L1242" s="117" t="s">
        <v>47</v>
      </c>
      <c r="M1242" s="118">
        <v>530013</v>
      </c>
      <c r="N1242" s="118">
        <v>0</v>
      </c>
      <c r="O1242" s="117" t="s">
        <v>48</v>
      </c>
      <c r="P1242" s="118">
        <v>2211</v>
      </c>
      <c r="Q1242" s="118">
        <v>1044</v>
      </c>
      <c r="R1242" s="118">
        <v>1625</v>
      </c>
      <c r="S1242" s="37">
        <v>65</v>
      </c>
      <c r="T1242" s="83">
        <v>101</v>
      </c>
      <c r="U1242" s="118"/>
      <c r="V1242" s="118"/>
      <c r="W1242" s="117" t="s">
        <v>47</v>
      </c>
      <c r="X1242" s="117"/>
      <c r="Y1242" s="117"/>
      <c r="Z1242" s="118"/>
      <c r="AA1242" s="118"/>
      <c r="AB1242" s="211" t="s">
        <v>1415</v>
      </c>
      <c r="AC1242" s="145">
        <v>2428</v>
      </c>
      <c r="AD1242" s="145" t="s">
        <v>51</v>
      </c>
      <c r="AE1242" s="145" t="s">
        <v>51</v>
      </c>
      <c r="AF1242" s="145" t="s">
        <v>51</v>
      </c>
      <c r="AG1242" s="145"/>
      <c r="AH1242" s="117" t="s">
        <v>52</v>
      </c>
      <c r="AI1242" s="118">
        <v>1</v>
      </c>
      <c r="AJ1242" s="118"/>
      <c r="AK1242" s="118"/>
      <c r="AL1242" s="118"/>
      <c r="AM1242" s="118"/>
      <c r="AN1242" s="212">
        <v>0</v>
      </c>
      <c r="AO1242" s="145"/>
      <c r="AP1242" s="118" t="s">
        <v>53</v>
      </c>
      <c r="AQ1242" s="2">
        <v>0</v>
      </c>
    </row>
    <row r="1243" s="23" customFormat="1" spans="1:43">
      <c r="A1243" s="118">
        <v>221104</v>
      </c>
      <c r="B1243" s="45" t="s">
        <v>1417</v>
      </c>
      <c r="C1243" s="118"/>
      <c r="D1243" s="118"/>
      <c r="E1243" s="118"/>
      <c r="F1243" s="118">
        <v>0</v>
      </c>
      <c r="G1243" s="118">
        <v>0</v>
      </c>
      <c r="H1243" s="83" t="s">
        <v>45</v>
      </c>
      <c r="I1243" s="118">
        <v>7</v>
      </c>
      <c r="J1243" s="118">
        <v>0</v>
      </c>
      <c r="K1243" s="145" t="s">
        <v>46</v>
      </c>
      <c r="L1243" s="117" t="s">
        <v>47</v>
      </c>
      <c r="M1243" s="118">
        <v>1010119</v>
      </c>
      <c r="N1243" s="118">
        <v>0</v>
      </c>
      <c r="O1243" s="117" t="s">
        <v>48</v>
      </c>
      <c r="P1243" s="118">
        <v>2211</v>
      </c>
      <c r="Q1243" s="118">
        <v>1056</v>
      </c>
      <c r="R1243" s="118">
        <v>1143</v>
      </c>
      <c r="S1243" s="37">
        <v>66</v>
      </c>
      <c r="T1243" s="83">
        <v>71</v>
      </c>
      <c r="U1243" s="118"/>
      <c r="V1243" s="118"/>
      <c r="W1243" s="117" t="s">
        <v>47</v>
      </c>
      <c r="X1243" s="117"/>
      <c r="Y1243" s="117"/>
      <c r="Z1243" s="118"/>
      <c r="AA1243" s="118"/>
      <c r="AB1243" s="211" t="s">
        <v>1415</v>
      </c>
      <c r="AC1243" s="145">
        <v>2428</v>
      </c>
      <c r="AD1243" s="145" t="s">
        <v>51</v>
      </c>
      <c r="AE1243" s="145" t="s">
        <v>51</v>
      </c>
      <c r="AF1243" s="145" t="s">
        <v>51</v>
      </c>
      <c r="AG1243" s="145"/>
      <c r="AH1243" s="117" t="s">
        <v>52</v>
      </c>
      <c r="AI1243" s="118">
        <v>1</v>
      </c>
      <c r="AJ1243" s="118"/>
      <c r="AK1243" s="118"/>
      <c r="AL1243" s="118"/>
      <c r="AM1243" s="118"/>
      <c r="AN1243" s="212">
        <v>0</v>
      </c>
      <c r="AO1243" s="145"/>
      <c r="AP1243" s="118" t="s">
        <v>53</v>
      </c>
      <c r="AQ1243" s="2">
        <v>0</v>
      </c>
    </row>
    <row r="1244" s="18" customFormat="1" spans="1:43">
      <c r="A1244" s="118">
        <v>221105</v>
      </c>
      <c r="B1244" s="45" t="s">
        <v>1423</v>
      </c>
      <c r="C1244" s="83"/>
      <c r="D1244" s="83"/>
      <c r="E1244" s="83"/>
      <c r="F1244" s="83">
        <v>0</v>
      </c>
      <c r="G1244" s="83" t="s">
        <v>47</v>
      </c>
      <c r="H1244" s="83" t="s">
        <v>45</v>
      </c>
      <c r="I1244" s="83" t="s">
        <v>45</v>
      </c>
      <c r="J1244" s="83">
        <v>1</v>
      </c>
      <c r="K1244" s="83" t="s">
        <v>295</v>
      </c>
      <c r="L1244" s="83" t="s">
        <v>47</v>
      </c>
      <c r="M1244" s="118">
        <v>1000103</v>
      </c>
      <c r="N1244" s="83">
        <v>0</v>
      </c>
      <c r="O1244" s="83" t="s">
        <v>48</v>
      </c>
      <c r="P1244" s="133">
        <v>2211</v>
      </c>
      <c r="Q1244" s="133">
        <v>856</v>
      </c>
      <c r="R1244" s="133">
        <v>1052</v>
      </c>
      <c r="S1244" s="37">
        <v>53</v>
      </c>
      <c r="T1244" s="83">
        <v>65</v>
      </c>
      <c r="U1244" s="83">
        <v>3</v>
      </c>
      <c r="V1244" s="83"/>
      <c r="W1244" s="83" t="s">
        <v>47</v>
      </c>
      <c r="X1244" s="83" t="s">
        <v>1424</v>
      </c>
      <c r="Y1244" s="83" t="s">
        <v>1423</v>
      </c>
      <c r="Z1244" s="83" t="s">
        <v>1423</v>
      </c>
      <c r="AA1244" s="83"/>
      <c r="AB1244" s="83" t="s">
        <v>1417</v>
      </c>
      <c r="AC1244" s="83">
        <v>2799</v>
      </c>
      <c r="AD1244" s="83"/>
      <c r="AE1244" s="83"/>
      <c r="AF1244" s="83"/>
      <c r="AG1244" s="83"/>
      <c r="AH1244" s="83" t="s">
        <v>52</v>
      </c>
      <c r="AI1244" s="83">
        <v>0</v>
      </c>
      <c r="AJ1244" s="44" t="s">
        <v>117</v>
      </c>
      <c r="AK1244" s="44" t="s">
        <v>118</v>
      </c>
      <c r="AL1244" s="44" t="s">
        <v>119</v>
      </c>
      <c r="AM1244" s="44" t="s">
        <v>120</v>
      </c>
      <c r="AN1244" s="219">
        <v>0</v>
      </c>
      <c r="AO1244" s="83"/>
      <c r="AP1244" s="83" t="s">
        <v>298</v>
      </c>
      <c r="AQ1244" s="18">
        <v>0</v>
      </c>
    </row>
    <row r="1245" s="23" customFormat="1" spans="1:43">
      <c r="A1245" s="217">
        <v>221201</v>
      </c>
      <c r="B1245" s="45" t="s">
        <v>1425</v>
      </c>
      <c r="C1245" s="118"/>
      <c r="D1245" s="118"/>
      <c r="E1245" s="118"/>
      <c r="F1245" s="118">
        <v>0</v>
      </c>
      <c r="G1245" s="118">
        <v>0</v>
      </c>
      <c r="H1245" s="83" t="s">
        <v>45</v>
      </c>
      <c r="I1245" s="118">
        <v>7</v>
      </c>
      <c r="J1245" s="118">
        <v>0</v>
      </c>
      <c r="K1245" s="145" t="s">
        <v>46</v>
      </c>
      <c r="L1245" s="117" t="s">
        <v>47</v>
      </c>
      <c r="M1245" s="118">
        <v>1010116</v>
      </c>
      <c r="N1245" s="118">
        <v>0</v>
      </c>
      <c r="O1245" s="117" t="s">
        <v>48</v>
      </c>
      <c r="P1245" s="118">
        <v>2212</v>
      </c>
      <c r="Q1245" s="118">
        <v>838</v>
      </c>
      <c r="R1245" s="118">
        <v>1754</v>
      </c>
      <c r="S1245" s="37">
        <v>52</v>
      </c>
      <c r="T1245" s="83">
        <v>109</v>
      </c>
      <c r="U1245" s="118"/>
      <c r="V1245" s="118"/>
      <c r="W1245" s="117" t="s">
        <v>47</v>
      </c>
      <c r="X1245" s="117"/>
      <c r="Y1245" s="117"/>
      <c r="Z1245" s="118"/>
      <c r="AA1245" s="118"/>
      <c r="AB1245" s="211" t="s">
        <v>1415</v>
      </c>
      <c r="AC1245" s="145">
        <v>2424</v>
      </c>
      <c r="AD1245" s="145" t="s">
        <v>51</v>
      </c>
      <c r="AE1245" s="145" t="s">
        <v>51</v>
      </c>
      <c r="AF1245" s="145" t="s">
        <v>51</v>
      </c>
      <c r="AG1245" s="145"/>
      <c r="AH1245" s="117" t="s">
        <v>52</v>
      </c>
      <c r="AI1245" s="118">
        <v>1</v>
      </c>
      <c r="AJ1245" s="118"/>
      <c r="AK1245" s="118"/>
      <c r="AL1245" s="118"/>
      <c r="AM1245" s="118"/>
      <c r="AN1245" s="212">
        <v>0</v>
      </c>
      <c r="AO1245" s="145"/>
      <c r="AP1245" s="118" t="s">
        <v>53</v>
      </c>
      <c r="AQ1245" s="2">
        <v>0</v>
      </c>
    </row>
    <row r="1246" s="23" customFormat="1" spans="1:43">
      <c r="A1246" s="217">
        <v>221202</v>
      </c>
      <c r="B1246" s="45" t="s">
        <v>1426</v>
      </c>
      <c r="C1246" s="118"/>
      <c r="D1246" s="118"/>
      <c r="E1246" s="118"/>
      <c r="F1246" s="118">
        <v>0</v>
      </c>
      <c r="G1246" s="118">
        <v>0</v>
      </c>
      <c r="H1246" s="83" t="s">
        <v>45</v>
      </c>
      <c r="I1246" s="118">
        <v>7</v>
      </c>
      <c r="J1246" s="118">
        <v>0</v>
      </c>
      <c r="K1246" s="145" t="s">
        <v>46</v>
      </c>
      <c r="L1246" s="117" t="s">
        <v>47</v>
      </c>
      <c r="M1246" s="118">
        <v>1010163</v>
      </c>
      <c r="N1246" s="118">
        <v>0</v>
      </c>
      <c r="O1246" s="117" t="s">
        <v>48</v>
      </c>
      <c r="P1246" s="118">
        <v>2212</v>
      </c>
      <c r="Q1246" s="118">
        <v>574</v>
      </c>
      <c r="R1246" s="118">
        <v>1402</v>
      </c>
      <c r="S1246" s="37">
        <v>35</v>
      </c>
      <c r="T1246" s="83">
        <v>87</v>
      </c>
      <c r="U1246" s="118"/>
      <c r="V1246" s="118"/>
      <c r="W1246" s="117" t="s">
        <v>47</v>
      </c>
      <c r="X1246" s="117"/>
      <c r="Y1246" s="117"/>
      <c r="Z1246" s="118"/>
      <c r="AA1246" s="118"/>
      <c r="AB1246" s="211" t="s">
        <v>1415</v>
      </c>
      <c r="AC1246" s="145">
        <v>2424</v>
      </c>
      <c r="AD1246" s="145" t="s">
        <v>51</v>
      </c>
      <c r="AE1246" s="145" t="s">
        <v>51</v>
      </c>
      <c r="AF1246" s="145" t="s">
        <v>51</v>
      </c>
      <c r="AG1246" s="145"/>
      <c r="AH1246" s="117" t="s">
        <v>52</v>
      </c>
      <c r="AI1246" s="118">
        <v>1</v>
      </c>
      <c r="AJ1246" s="118"/>
      <c r="AK1246" s="118"/>
      <c r="AL1246" s="118"/>
      <c r="AM1246" s="118"/>
      <c r="AN1246" s="212">
        <v>0</v>
      </c>
      <c r="AO1246" s="145"/>
      <c r="AP1246" s="118" t="s">
        <v>53</v>
      </c>
      <c r="AQ1246" s="2">
        <v>0</v>
      </c>
    </row>
    <row r="1247" s="23" customFormat="1" spans="1:43">
      <c r="A1247" s="217">
        <v>221203</v>
      </c>
      <c r="B1247" s="45" t="s">
        <v>1427</v>
      </c>
      <c r="C1247" s="118"/>
      <c r="D1247" s="118"/>
      <c r="E1247" s="118"/>
      <c r="F1247" s="118">
        <v>0</v>
      </c>
      <c r="G1247" s="118">
        <v>0</v>
      </c>
      <c r="H1247" s="83" t="s">
        <v>45</v>
      </c>
      <c r="I1247" s="118">
        <v>7</v>
      </c>
      <c r="J1247" s="118">
        <v>0</v>
      </c>
      <c r="K1247" s="145" t="s">
        <v>46</v>
      </c>
      <c r="L1247" s="117" t="s">
        <v>47</v>
      </c>
      <c r="M1247" s="118">
        <v>1030025</v>
      </c>
      <c r="N1247" s="118">
        <v>0</v>
      </c>
      <c r="O1247" s="117" t="s">
        <v>48</v>
      </c>
      <c r="P1247" s="118">
        <v>2212</v>
      </c>
      <c r="Q1247" s="118">
        <v>2102</v>
      </c>
      <c r="R1247" s="118">
        <v>471</v>
      </c>
      <c r="S1247" s="37">
        <v>131</v>
      </c>
      <c r="T1247" s="83">
        <v>29</v>
      </c>
      <c r="U1247" s="118"/>
      <c r="V1247" s="118"/>
      <c r="W1247" s="117" t="s">
        <v>47</v>
      </c>
      <c r="X1247" s="117"/>
      <c r="Y1247" s="117"/>
      <c r="Z1247" s="118"/>
      <c r="AA1247" s="118"/>
      <c r="AB1247" s="211" t="s">
        <v>1415</v>
      </c>
      <c r="AC1247" s="145">
        <v>2424</v>
      </c>
      <c r="AD1247" s="145" t="s">
        <v>51</v>
      </c>
      <c r="AE1247" s="145" t="s">
        <v>51</v>
      </c>
      <c r="AF1247" s="145" t="s">
        <v>51</v>
      </c>
      <c r="AG1247" s="145"/>
      <c r="AH1247" s="117" t="s">
        <v>52</v>
      </c>
      <c r="AI1247" s="118">
        <v>1</v>
      </c>
      <c r="AJ1247" s="118"/>
      <c r="AK1247" s="118"/>
      <c r="AL1247" s="118"/>
      <c r="AM1247" s="118"/>
      <c r="AN1247" s="212">
        <v>0</v>
      </c>
      <c r="AO1247" s="145"/>
      <c r="AP1247" s="118" t="s">
        <v>53</v>
      </c>
      <c r="AQ1247" s="2">
        <v>0</v>
      </c>
    </row>
    <row r="1248" s="23" customFormat="1" spans="1:43">
      <c r="A1248" s="217">
        <v>221204</v>
      </c>
      <c r="B1248" s="45" t="s">
        <v>1428</v>
      </c>
      <c r="C1248" s="118"/>
      <c r="D1248" s="118"/>
      <c r="E1248" s="118"/>
      <c r="F1248" s="118">
        <v>0</v>
      </c>
      <c r="G1248" s="118">
        <v>0</v>
      </c>
      <c r="H1248" s="83" t="s">
        <v>45</v>
      </c>
      <c r="I1248" s="118">
        <v>7</v>
      </c>
      <c r="J1248" s="118">
        <v>0</v>
      </c>
      <c r="K1248" s="145" t="s">
        <v>46</v>
      </c>
      <c r="L1248" s="117" t="s">
        <v>47</v>
      </c>
      <c r="M1248" s="118">
        <v>530109</v>
      </c>
      <c r="N1248" s="118">
        <v>0</v>
      </c>
      <c r="O1248" s="117" t="s">
        <v>48</v>
      </c>
      <c r="P1248" s="118">
        <v>2212</v>
      </c>
      <c r="Q1248" s="118">
        <v>2100</v>
      </c>
      <c r="R1248" s="118">
        <v>854</v>
      </c>
      <c r="S1248" s="37">
        <v>131</v>
      </c>
      <c r="T1248" s="83">
        <v>53</v>
      </c>
      <c r="U1248" s="118"/>
      <c r="V1248" s="118"/>
      <c r="W1248" s="117" t="s">
        <v>47</v>
      </c>
      <c r="X1248" s="117"/>
      <c r="Y1248" s="117"/>
      <c r="Z1248" s="118"/>
      <c r="AA1248" s="118"/>
      <c r="AB1248" s="211" t="s">
        <v>1415</v>
      </c>
      <c r="AC1248" s="145">
        <v>2424</v>
      </c>
      <c r="AD1248" s="145" t="s">
        <v>51</v>
      </c>
      <c r="AE1248" s="145" t="s">
        <v>51</v>
      </c>
      <c r="AF1248" s="145" t="s">
        <v>51</v>
      </c>
      <c r="AG1248" s="145"/>
      <c r="AH1248" s="117" t="s">
        <v>52</v>
      </c>
      <c r="AI1248" s="118">
        <v>1</v>
      </c>
      <c r="AJ1248" s="118"/>
      <c r="AK1248" s="118"/>
      <c r="AL1248" s="118"/>
      <c r="AM1248" s="118"/>
      <c r="AN1248" s="212">
        <v>0</v>
      </c>
      <c r="AO1248" s="145"/>
      <c r="AP1248" s="118" t="s">
        <v>53</v>
      </c>
      <c r="AQ1248" s="2">
        <v>0</v>
      </c>
    </row>
    <row r="1249" s="23" customFormat="1" spans="1:43">
      <c r="A1249" s="217">
        <v>221205</v>
      </c>
      <c r="B1249" s="45" t="s">
        <v>1429</v>
      </c>
      <c r="C1249" s="118"/>
      <c r="D1249" s="118"/>
      <c r="E1249" s="118"/>
      <c r="F1249" s="118">
        <v>0</v>
      </c>
      <c r="G1249" s="118">
        <v>0</v>
      </c>
      <c r="H1249" s="83" t="s">
        <v>45</v>
      </c>
      <c r="I1249" s="118">
        <v>7</v>
      </c>
      <c r="J1249" s="118">
        <v>0</v>
      </c>
      <c r="K1249" s="145" t="s">
        <v>46</v>
      </c>
      <c r="L1249" s="117" t="s">
        <v>47</v>
      </c>
      <c r="M1249" s="118">
        <v>1020137</v>
      </c>
      <c r="N1249" s="118">
        <v>0</v>
      </c>
      <c r="O1249" s="117" t="s">
        <v>48</v>
      </c>
      <c r="P1249" s="118">
        <v>2212</v>
      </c>
      <c r="Q1249" s="118">
        <v>1723</v>
      </c>
      <c r="R1249" s="118">
        <v>475</v>
      </c>
      <c r="S1249" s="37">
        <v>107</v>
      </c>
      <c r="T1249" s="83">
        <v>29</v>
      </c>
      <c r="U1249" s="118"/>
      <c r="V1249" s="118"/>
      <c r="W1249" s="117" t="s">
        <v>47</v>
      </c>
      <c r="X1249" s="117"/>
      <c r="Y1249" s="117"/>
      <c r="Z1249" s="118"/>
      <c r="AA1249" s="118"/>
      <c r="AB1249" s="211" t="s">
        <v>1415</v>
      </c>
      <c r="AC1249" s="145">
        <v>2424</v>
      </c>
      <c r="AD1249" s="145" t="s">
        <v>51</v>
      </c>
      <c r="AE1249" s="145" t="s">
        <v>51</v>
      </c>
      <c r="AF1249" s="145" t="s">
        <v>51</v>
      </c>
      <c r="AG1249" s="145"/>
      <c r="AH1249" s="117" t="s">
        <v>52</v>
      </c>
      <c r="AI1249" s="118">
        <v>1</v>
      </c>
      <c r="AJ1249" s="118"/>
      <c r="AK1249" s="118"/>
      <c r="AL1249" s="118"/>
      <c r="AM1249" s="118"/>
      <c r="AN1249" s="212">
        <v>0</v>
      </c>
      <c r="AO1249" s="145"/>
      <c r="AP1249" s="118" t="s">
        <v>53</v>
      </c>
      <c r="AQ1249" s="2">
        <v>0</v>
      </c>
    </row>
    <row r="1250" s="23" customFormat="1" spans="1:43">
      <c r="A1250" s="217">
        <v>221301</v>
      </c>
      <c r="B1250" s="45" t="s">
        <v>879</v>
      </c>
      <c r="C1250" s="118"/>
      <c r="D1250" s="118"/>
      <c r="E1250" s="118"/>
      <c r="F1250" s="118">
        <v>0</v>
      </c>
      <c r="G1250" s="118">
        <v>0</v>
      </c>
      <c r="H1250" s="83" t="s">
        <v>45</v>
      </c>
      <c r="I1250" s="118">
        <v>7</v>
      </c>
      <c r="J1250" s="118">
        <v>0</v>
      </c>
      <c r="K1250" s="145" t="s">
        <v>46</v>
      </c>
      <c r="L1250" s="117" t="s">
        <v>47</v>
      </c>
      <c r="M1250" s="118">
        <v>530081</v>
      </c>
      <c r="N1250" s="118">
        <v>0</v>
      </c>
      <c r="O1250" s="117" t="s">
        <v>48</v>
      </c>
      <c r="P1250" s="118">
        <v>2213</v>
      </c>
      <c r="Q1250" s="118">
        <v>636</v>
      </c>
      <c r="R1250" s="118">
        <v>2066</v>
      </c>
      <c r="S1250" s="37">
        <v>39</v>
      </c>
      <c r="T1250" s="83">
        <v>129</v>
      </c>
      <c r="U1250" s="118"/>
      <c r="V1250" s="118"/>
      <c r="W1250" s="117" t="s">
        <v>47</v>
      </c>
      <c r="X1250" s="117"/>
      <c r="Y1250" s="117"/>
      <c r="Z1250" s="118"/>
      <c r="AA1250" s="118"/>
      <c r="AB1250" s="211" t="s">
        <v>1415</v>
      </c>
      <c r="AC1250" s="145">
        <v>2424</v>
      </c>
      <c r="AD1250" s="145" t="s">
        <v>51</v>
      </c>
      <c r="AE1250" s="145" t="s">
        <v>51</v>
      </c>
      <c r="AF1250" s="145" t="s">
        <v>51</v>
      </c>
      <c r="AG1250" s="145"/>
      <c r="AH1250" s="117" t="s">
        <v>52</v>
      </c>
      <c r="AI1250" s="118">
        <v>1</v>
      </c>
      <c r="AJ1250" s="118"/>
      <c r="AK1250" s="118"/>
      <c r="AL1250" s="118"/>
      <c r="AM1250" s="118"/>
      <c r="AN1250" s="212">
        <v>0</v>
      </c>
      <c r="AO1250" s="145"/>
      <c r="AP1250" s="118" t="s">
        <v>53</v>
      </c>
      <c r="AQ1250" s="2">
        <v>0</v>
      </c>
    </row>
    <row r="1251" s="23" customFormat="1" spans="1:43">
      <c r="A1251" s="217">
        <v>221302</v>
      </c>
      <c r="B1251" s="45" t="s">
        <v>1430</v>
      </c>
      <c r="C1251" s="118"/>
      <c r="D1251" s="118"/>
      <c r="E1251" s="118"/>
      <c r="F1251" s="118">
        <v>0</v>
      </c>
      <c r="G1251" s="118">
        <v>0</v>
      </c>
      <c r="H1251" s="83" t="s">
        <v>45</v>
      </c>
      <c r="I1251" s="118">
        <v>7</v>
      </c>
      <c r="J1251" s="118">
        <v>0</v>
      </c>
      <c r="K1251" s="145" t="s">
        <v>46</v>
      </c>
      <c r="L1251" s="117" t="s">
        <v>47</v>
      </c>
      <c r="M1251" s="118">
        <v>530013</v>
      </c>
      <c r="N1251" s="118">
        <v>0</v>
      </c>
      <c r="O1251" s="117" t="s">
        <v>48</v>
      </c>
      <c r="P1251" s="118">
        <v>2213</v>
      </c>
      <c r="Q1251" s="118">
        <v>100</v>
      </c>
      <c r="R1251" s="118">
        <v>1461</v>
      </c>
      <c r="S1251" s="37">
        <v>6</v>
      </c>
      <c r="T1251" s="83">
        <v>91</v>
      </c>
      <c r="U1251" s="118"/>
      <c r="V1251" s="118"/>
      <c r="W1251" s="117" t="s">
        <v>47</v>
      </c>
      <c r="X1251" s="117"/>
      <c r="Y1251" s="117"/>
      <c r="Z1251" s="118"/>
      <c r="AA1251" s="118"/>
      <c r="AB1251" s="211" t="s">
        <v>1415</v>
      </c>
      <c r="AC1251" s="145">
        <v>2424</v>
      </c>
      <c r="AD1251" s="145" t="s">
        <v>51</v>
      </c>
      <c r="AE1251" s="145" t="s">
        <v>51</v>
      </c>
      <c r="AF1251" s="145" t="s">
        <v>51</v>
      </c>
      <c r="AG1251" s="145"/>
      <c r="AH1251" s="117" t="s">
        <v>52</v>
      </c>
      <c r="AI1251" s="118">
        <v>1</v>
      </c>
      <c r="AJ1251" s="118"/>
      <c r="AK1251" s="118"/>
      <c r="AL1251" s="118"/>
      <c r="AM1251" s="118"/>
      <c r="AN1251" s="212">
        <v>0</v>
      </c>
      <c r="AO1251" s="145"/>
      <c r="AP1251" s="118" t="s">
        <v>53</v>
      </c>
      <c r="AQ1251" s="2">
        <v>0</v>
      </c>
    </row>
    <row r="1252" s="23" customFormat="1" spans="1:43">
      <c r="A1252" s="217">
        <v>221303</v>
      </c>
      <c r="B1252" s="45" t="s">
        <v>1431</v>
      </c>
      <c r="C1252" s="118"/>
      <c r="D1252" s="118"/>
      <c r="E1252" s="118"/>
      <c r="F1252" s="118">
        <v>0</v>
      </c>
      <c r="G1252" s="118">
        <v>0</v>
      </c>
      <c r="H1252" s="83" t="s">
        <v>45</v>
      </c>
      <c r="I1252" s="118">
        <v>7</v>
      </c>
      <c r="J1252" s="118">
        <v>0</v>
      </c>
      <c r="K1252" s="145" t="s">
        <v>46</v>
      </c>
      <c r="L1252" s="117" t="s">
        <v>47</v>
      </c>
      <c r="M1252" s="118">
        <v>530085</v>
      </c>
      <c r="N1252" s="118">
        <v>0</v>
      </c>
      <c r="O1252" s="117" t="s">
        <v>48</v>
      </c>
      <c r="P1252" s="118">
        <v>2213</v>
      </c>
      <c r="Q1252" s="118">
        <v>510</v>
      </c>
      <c r="R1252" s="118">
        <v>1298</v>
      </c>
      <c r="S1252" s="37">
        <v>31</v>
      </c>
      <c r="T1252" s="83">
        <v>81</v>
      </c>
      <c r="U1252" s="118"/>
      <c r="V1252" s="118"/>
      <c r="W1252" s="117" t="s">
        <v>47</v>
      </c>
      <c r="X1252" s="117"/>
      <c r="Y1252" s="117"/>
      <c r="Z1252" s="118"/>
      <c r="AA1252" s="118"/>
      <c r="AB1252" s="211" t="s">
        <v>1415</v>
      </c>
      <c r="AC1252" s="145">
        <v>2424</v>
      </c>
      <c r="AD1252" s="145" t="s">
        <v>51</v>
      </c>
      <c r="AE1252" s="145" t="s">
        <v>51</v>
      </c>
      <c r="AF1252" s="145" t="s">
        <v>51</v>
      </c>
      <c r="AG1252" s="145"/>
      <c r="AH1252" s="117" t="s">
        <v>52</v>
      </c>
      <c r="AI1252" s="118">
        <v>1</v>
      </c>
      <c r="AJ1252" s="118"/>
      <c r="AK1252" s="118"/>
      <c r="AL1252" s="118"/>
      <c r="AM1252" s="118"/>
      <c r="AN1252" s="212">
        <v>0</v>
      </c>
      <c r="AO1252" s="145"/>
      <c r="AP1252" s="118" t="s">
        <v>53</v>
      </c>
      <c r="AQ1252" s="2">
        <v>0</v>
      </c>
    </row>
    <row r="1253" s="23" customFormat="1" spans="1:43">
      <c r="A1253" s="217">
        <v>221304</v>
      </c>
      <c r="B1253" s="45" t="s">
        <v>1432</v>
      </c>
      <c r="C1253" s="118"/>
      <c r="D1253" s="118"/>
      <c r="E1253" s="118"/>
      <c r="F1253" s="118">
        <v>0</v>
      </c>
      <c r="G1253" s="118">
        <v>0</v>
      </c>
      <c r="H1253" s="83" t="s">
        <v>45</v>
      </c>
      <c r="I1253" s="118">
        <v>7</v>
      </c>
      <c r="J1253" s="118">
        <v>0</v>
      </c>
      <c r="K1253" s="145" t="s">
        <v>46</v>
      </c>
      <c r="L1253" s="117" t="s">
        <v>47</v>
      </c>
      <c r="M1253" s="118">
        <v>2010179</v>
      </c>
      <c r="N1253" s="118">
        <v>0</v>
      </c>
      <c r="O1253" s="117" t="s">
        <v>48</v>
      </c>
      <c r="P1253" s="118">
        <v>2213</v>
      </c>
      <c r="Q1253" s="118">
        <v>427</v>
      </c>
      <c r="R1253" s="118">
        <v>327</v>
      </c>
      <c r="S1253" s="37">
        <v>26</v>
      </c>
      <c r="T1253" s="83">
        <v>20</v>
      </c>
      <c r="U1253" s="118"/>
      <c r="V1253" s="118"/>
      <c r="W1253" s="117" t="s">
        <v>47</v>
      </c>
      <c r="X1253" s="117"/>
      <c r="Y1253" s="117"/>
      <c r="Z1253" s="118"/>
      <c r="AA1253" s="118"/>
      <c r="AB1253" s="211" t="s">
        <v>1415</v>
      </c>
      <c r="AC1253" s="145">
        <v>2424</v>
      </c>
      <c r="AD1253" s="145" t="s">
        <v>51</v>
      </c>
      <c r="AE1253" s="145" t="s">
        <v>51</v>
      </c>
      <c r="AF1253" s="145" t="s">
        <v>51</v>
      </c>
      <c r="AG1253" s="145"/>
      <c r="AH1253" s="117" t="s">
        <v>52</v>
      </c>
      <c r="AI1253" s="118">
        <v>1</v>
      </c>
      <c r="AJ1253" s="118"/>
      <c r="AK1253" s="118"/>
      <c r="AL1253" s="118"/>
      <c r="AM1253" s="118"/>
      <c r="AN1253" s="212">
        <v>0</v>
      </c>
      <c r="AO1253" s="145"/>
      <c r="AP1253" s="118" t="s">
        <v>53</v>
      </c>
      <c r="AQ1253" s="2">
        <v>0</v>
      </c>
    </row>
    <row r="1254" s="23" customFormat="1" spans="1:43">
      <c r="A1254" s="217">
        <v>221305</v>
      </c>
      <c r="B1254" s="45" t="s">
        <v>1433</v>
      </c>
      <c r="C1254" s="118"/>
      <c r="D1254" s="118"/>
      <c r="E1254" s="118"/>
      <c r="F1254" s="118">
        <v>0</v>
      </c>
      <c r="G1254" s="118">
        <v>0</v>
      </c>
      <c r="H1254" s="83" t="s">
        <v>45</v>
      </c>
      <c r="I1254" s="118">
        <v>7</v>
      </c>
      <c r="J1254" s="118">
        <v>0</v>
      </c>
      <c r="K1254" s="145" t="s">
        <v>46</v>
      </c>
      <c r="L1254" s="117" t="s">
        <v>47</v>
      </c>
      <c r="M1254" s="118">
        <v>2010179</v>
      </c>
      <c r="N1254" s="118">
        <v>0</v>
      </c>
      <c r="O1254" s="117" t="s">
        <v>48</v>
      </c>
      <c r="P1254" s="118">
        <v>2213</v>
      </c>
      <c r="Q1254" s="118">
        <v>716</v>
      </c>
      <c r="R1254" s="118">
        <v>461</v>
      </c>
      <c r="S1254" s="37">
        <v>44</v>
      </c>
      <c r="T1254" s="83">
        <v>28</v>
      </c>
      <c r="U1254" s="118"/>
      <c r="V1254" s="118"/>
      <c r="W1254" s="117" t="s">
        <v>47</v>
      </c>
      <c r="X1254" s="117"/>
      <c r="Y1254" s="117"/>
      <c r="Z1254" s="118"/>
      <c r="AA1254" s="118"/>
      <c r="AB1254" s="211" t="s">
        <v>1415</v>
      </c>
      <c r="AC1254" s="145">
        <v>2424</v>
      </c>
      <c r="AD1254" s="145" t="s">
        <v>51</v>
      </c>
      <c r="AE1254" s="145" t="s">
        <v>51</v>
      </c>
      <c r="AF1254" s="145" t="s">
        <v>51</v>
      </c>
      <c r="AG1254" s="145"/>
      <c r="AH1254" s="117" t="s">
        <v>52</v>
      </c>
      <c r="AI1254" s="118">
        <v>1</v>
      </c>
      <c r="AJ1254" s="118"/>
      <c r="AK1254" s="118"/>
      <c r="AL1254" s="118"/>
      <c r="AM1254" s="118"/>
      <c r="AN1254" s="212">
        <v>0</v>
      </c>
      <c r="AO1254" s="145"/>
      <c r="AP1254" s="118" t="s">
        <v>53</v>
      </c>
      <c r="AQ1254" s="2">
        <v>0</v>
      </c>
    </row>
    <row r="1255" s="23" customFormat="1" spans="1:43">
      <c r="A1255" s="217">
        <v>221306</v>
      </c>
      <c r="B1255" s="45" t="s">
        <v>1434</v>
      </c>
      <c r="C1255" s="118"/>
      <c r="D1255" s="118"/>
      <c r="E1255" s="118"/>
      <c r="F1255" s="118">
        <v>0</v>
      </c>
      <c r="G1255" s="118">
        <v>0</v>
      </c>
      <c r="H1255" s="83" t="s">
        <v>45</v>
      </c>
      <c r="I1255" s="118">
        <v>7</v>
      </c>
      <c r="J1255" s="118">
        <v>0</v>
      </c>
      <c r="K1255" s="145" t="s">
        <v>46</v>
      </c>
      <c r="L1255" s="117" t="s">
        <v>47</v>
      </c>
      <c r="M1255" s="118">
        <v>1030026</v>
      </c>
      <c r="N1255" s="118">
        <v>0</v>
      </c>
      <c r="O1255" s="117" t="s">
        <v>48</v>
      </c>
      <c r="P1255" s="118">
        <v>2213</v>
      </c>
      <c r="Q1255" s="118">
        <v>691</v>
      </c>
      <c r="R1255" s="118">
        <v>623</v>
      </c>
      <c r="S1255" s="37">
        <v>43</v>
      </c>
      <c r="T1255" s="83">
        <v>38</v>
      </c>
      <c r="U1255" s="118"/>
      <c r="V1255" s="118"/>
      <c r="W1255" s="117" t="s">
        <v>47</v>
      </c>
      <c r="X1255" s="117"/>
      <c r="Y1255" s="117"/>
      <c r="Z1255" s="118"/>
      <c r="AA1255" s="118"/>
      <c r="AB1255" s="211" t="s">
        <v>1415</v>
      </c>
      <c r="AC1255" s="145">
        <v>2424</v>
      </c>
      <c r="AD1255" s="145" t="s">
        <v>51</v>
      </c>
      <c r="AE1255" s="145" t="s">
        <v>51</v>
      </c>
      <c r="AF1255" s="145" t="s">
        <v>51</v>
      </c>
      <c r="AG1255" s="145"/>
      <c r="AH1255" s="117" t="s">
        <v>52</v>
      </c>
      <c r="AI1255" s="118">
        <v>1</v>
      </c>
      <c r="AJ1255" s="118"/>
      <c r="AK1255" s="118"/>
      <c r="AL1255" s="118"/>
      <c r="AM1255" s="118"/>
      <c r="AN1255" s="212">
        <v>0</v>
      </c>
      <c r="AO1255" s="145"/>
      <c r="AP1255" s="118" t="s">
        <v>53</v>
      </c>
      <c r="AQ1255" s="2">
        <v>0</v>
      </c>
    </row>
    <row r="1256" s="23" customFormat="1" spans="1:43">
      <c r="A1256" s="218">
        <v>221401</v>
      </c>
      <c r="B1256" s="45" t="s">
        <v>1435</v>
      </c>
      <c r="C1256" s="118"/>
      <c r="D1256" s="118"/>
      <c r="E1256" s="118"/>
      <c r="F1256" s="118">
        <v>0</v>
      </c>
      <c r="G1256" s="118">
        <v>0</v>
      </c>
      <c r="H1256" s="83" t="s">
        <v>45</v>
      </c>
      <c r="I1256" s="118">
        <v>7</v>
      </c>
      <c r="J1256" s="118">
        <v>0</v>
      </c>
      <c r="K1256" s="145" t="s">
        <v>46</v>
      </c>
      <c r="L1256" s="117" t="s">
        <v>47</v>
      </c>
      <c r="M1256" s="118">
        <v>1050102</v>
      </c>
      <c r="N1256" s="118">
        <v>0</v>
      </c>
      <c r="O1256" s="117" t="s">
        <v>48</v>
      </c>
      <c r="P1256" s="118">
        <v>2214</v>
      </c>
      <c r="Q1256" s="118">
        <v>132</v>
      </c>
      <c r="R1256" s="118">
        <v>3440</v>
      </c>
      <c r="S1256" s="37">
        <v>8</v>
      </c>
      <c r="T1256" s="83">
        <v>215</v>
      </c>
      <c r="U1256" s="118"/>
      <c r="V1256" s="118"/>
      <c r="W1256" s="117" t="s">
        <v>47</v>
      </c>
      <c r="X1256" s="117"/>
      <c r="Y1256" s="117"/>
      <c r="Z1256" s="118"/>
      <c r="AA1256" s="118"/>
      <c r="AB1256" s="11" t="s">
        <v>442</v>
      </c>
      <c r="AC1256" s="145">
        <v>2424</v>
      </c>
      <c r="AD1256" s="145" t="s">
        <v>51</v>
      </c>
      <c r="AE1256" s="145" t="s">
        <v>51</v>
      </c>
      <c r="AF1256" s="145" t="s">
        <v>51</v>
      </c>
      <c r="AG1256" s="145"/>
      <c r="AH1256" s="117" t="s">
        <v>52</v>
      </c>
      <c r="AI1256" s="118">
        <v>1</v>
      </c>
      <c r="AJ1256" s="118"/>
      <c r="AK1256" s="118"/>
      <c r="AL1256" s="118"/>
      <c r="AM1256" s="118"/>
      <c r="AN1256" s="212">
        <v>0</v>
      </c>
      <c r="AO1256" s="145"/>
      <c r="AP1256" s="118" t="s">
        <v>53</v>
      </c>
      <c r="AQ1256" s="2">
        <v>0</v>
      </c>
    </row>
    <row r="1257" s="23" customFormat="1" spans="1:43">
      <c r="A1257" s="218">
        <v>221402</v>
      </c>
      <c r="B1257" s="45" t="s">
        <v>1435</v>
      </c>
      <c r="C1257" s="118"/>
      <c r="D1257" s="118"/>
      <c r="E1257" s="118"/>
      <c r="F1257" s="118">
        <v>0</v>
      </c>
      <c r="G1257" s="118">
        <v>0</v>
      </c>
      <c r="H1257" s="83" t="s">
        <v>45</v>
      </c>
      <c r="I1257" s="118">
        <v>7</v>
      </c>
      <c r="J1257" s="118">
        <v>0</v>
      </c>
      <c r="K1257" s="145" t="s">
        <v>46</v>
      </c>
      <c r="L1257" s="117" t="s">
        <v>47</v>
      </c>
      <c r="M1257" s="118">
        <v>1050102</v>
      </c>
      <c r="N1257" s="118">
        <v>0</v>
      </c>
      <c r="O1257" s="117" t="s">
        <v>48</v>
      </c>
      <c r="P1257" s="118">
        <v>2214</v>
      </c>
      <c r="Q1257" s="118">
        <v>267</v>
      </c>
      <c r="R1257" s="118">
        <v>1528</v>
      </c>
      <c r="S1257" s="37">
        <v>16</v>
      </c>
      <c r="T1257" s="83">
        <v>95</v>
      </c>
      <c r="U1257" s="118"/>
      <c r="V1257" s="118"/>
      <c r="W1257" s="117" t="s">
        <v>47</v>
      </c>
      <c r="X1257" s="117"/>
      <c r="Y1257" s="117"/>
      <c r="Z1257" s="118"/>
      <c r="AA1257" s="118"/>
      <c r="AB1257" s="11" t="s">
        <v>442</v>
      </c>
      <c r="AC1257" s="145">
        <v>2424</v>
      </c>
      <c r="AD1257" s="145" t="s">
        <v>51</v>
      </c>
      <c r="AE1257" s="145" t="s">
        <v>51</v>
      </c>
      <c r="AF1257" s="145" t="s">
        <v>51</v>
      </c>
      <c r="AG1257" s="145"/>
      <c r="AH1257" s="117" t="s">
        <v>52</v>
      </c>
      <c r="AI1257" s="118">
        <v>1</v>
      </c>
      <c r="AJ1257" s="118"/>
      <c r="AK1257" s="118"/>
      <c r="AL1257" s="118"/>
      <c r="AM1257" s="118"/>
      <c r="AN1257" s="212">
        <v>0</v>
      </c>
      <c r="AO1257" s="145"/>
      <c r="AP1257" s="118" t="s">
        <v>53</v>
      </c>
      <c r="AQ1257" s="2">
        <v>0</v>
      </c>
    </row>
    <row r="1258" s="23" customFormat="1" spans="1:43">
      <c r="A1258" s="218">
        <v>221403</v>
      </c>
      <c r="B1258" s="45" t="s">
        <v>1435</v>
      </c>
      <c r="C1258" s="118"/>
      <c r="D1258" s="118"/>
      <c r="E1258" s="118"/>
      <c r="F1258" s="118">
        <v>0</v>
      </c>
      <c r="G1258" s="118">
        <v>0</v>
      </c>
      <c r="H1258" s="83" t="s">
        <v>45</v>
      </c>
      <c r="I1258" s="118">
        <v>7</v>
      </c>
      <c r="J1258" s="118">
        <v>0</v>
      </c>
      <c r="K1258" s="145" t="s">
        <v>46</v>
      </c>
      <c r="L1258" s="117" t="s">
        <v>47</v>
      </c>
      <c r="M1258" s="118">
        <v>1050102</v>
      </c>
      <c r="N1258" s="118">
        <v>0</v>
      </c>
      <c r="O1258" s="117" t="s">
        <v>48</v>
      </c>
      <c r="P1258" s="118">
        <v>2214</v>
      </c>
      <c r="Q1258" s="118">
        <v>526</v>
      </c>
      <c r="R1258" s="118">
        <v>1414</v>
      </c>
      <c r="S1258" s="37">
        <v>32</v>
      </c>
      <c r="T1258" s="83">
        <v>88</v>
      </c>
      <c r="U1258" s="118"/>
      <c r="V1258" s="118"/>
      <c r="W1258" s="117" t="s">
        <v>47</v>
      </c>
      <c r="X1258" s="117"/>
      <c r="Y1258" s="117"/>
      <c r="Z1258" s="118"/>
      <c r="AA1258" s="118"/>
      <c r="AB1258" s="11" t="s">
        <v>442</v>
      </c>
      <c r="AC1258" s="145">
        <v>2424</v>
      </c>
      <c r="AD1258" s="145" t="s">
        <v>51</v>
      </c>
      <c r="AE1258" s="145" t="s">
        <v>51</v>
      </c>
      <c r="AF1258" s="145" t="s">
        <v>51</v>
      </c>
      <c r="AG1258" s="145"/>
      <c r="AH1258" s="117" t="s">
        <v>52</v>
      </c>
      <c r="AI1258" s="118">
        <v>1</v>
      </c>
      <c r="AJ1258" s="118"/>
      <c r="AK1258" s="118"/>
      <c r="AL1258" s="118"/>
      <c r="AM1258" s="118"/>
      <c r="AN1258" s="212">
        <v>0</v>
      </c>
      <c r="AO1258" s="145"/>
      <c r="AP1258" s="118" t="s">
        <v>53</v>
      </c>
      <c r="AQ1258" s="2">
        <v>0</v>
      </c>
    </row>
    <row r="1259" s="23" customFormat="1" spans="1:43">
      <c r="A1259" s="218">
        <v>221404</v>
      </c>
      <c r="B1259" s="45" t="s">
        <v>1435</v>
      </c>
      <c r="C1259" s="118"/>
      <c r="D1259" s="118"/>
      <c r="E1259" s="118"/>
      <c r="F1259" s="118">
        <v>0</v>
      </c>
      <c r="G1259" s="118">
        <v>0</v>
      </c>
      <c r="H1259" s="83" t="s">
        <v>45</v>
      </c>
      <c r="I1259" s="118">
        <v>7</v>
      </c>
      <c r="J1259" s="118">
        <v>0</v>
      </c>
      <c r="K1259" s="145" t="s">
        <v>46</v>
      </c>
      <c r="L1259" s="117" t="s">
        <v>47</v>
      </c>
      <c r="M1259" s="118">
        <v>1050102</v>
      </c>
      <c r="N1259" s="118">
        <v>0</v>
      </c>
      <c r="O1259" s="117" t="s">
        <v>48</v>
      </c>
      <c r="P1259" s="118">
        <v>2214</v>
      </c>
      <c r="Q1259" s="118">
        <v>2485</v>
      </c>
      <c r="R1259" s="118">
        <v>634</v>
      </c>
      <c r="S1259" s="37">
        <v>155</v>
      </c>
      <c r="T1259" s="83">
        <v>39</v>
      </c>
      <c r="U1259" s="118"/>
      <c r="V1259" s="118"/>
      <c r="W1259" s="117" t="s">
        <v>47</v>
      </c>
      <c r="X1259" s="117"/>
      <c r="Y1259" s="117"/>
      <c r="Z1259" s="118"/>
      <c r="AA1259" s="118"/>
      <c r="AB1259" s="11" t="s">
        <v>442</v>
      </c>
      <c r="AC1259" s="145">
        <v>2424</v>
      </c>
      <c r="AD1259" s="145" t="s">
        <v>51</v>
      </c>
      <c r="AE1259" s="145" t="s">
        <v>51</v>
      </c>
      <c r="AF1259" s="145" t="s">
        <v>51</v>
      </c>
      <c r="AG1259" s="145"/>
      <c r="AH1259" s="117" t="s">
        <v>52</v>
      </c>
      <c r="AI1259" s="118">
        <v>1</v>
      </c>
      <c r="AJ1259" s="118"/>
      <c r="AK1259" s="118"/>
      <c r="AL1259" s="118"/>
      <c r="AM1259" s="118"/>
      <c r="AN1259" s="212">
        <v>0</v>
      </c>
      <c r="AO1259" s="145"/>
      <c r="AP1259" s="118" t="s">
        <v>53</v>
      </c>
      <c r="AQ1259" s="2">
        <v>0</v>
      </c>
    </row>
    <row r="1260" s="23" customFormat="1" spans="1:43">
      <c r="A1260" s="218">
        <v>221405</v>
      </c>
      <c r="B1260" s="45" t="s">
        <v>1435</v>
      </c>
      <c r="C1260" s="118"/>
      <c r="D1260" s="118"/>
      <c r="E1260" s="118"/>
      <c r="F1260" s="118">
        <v>0</v>
      </c>
      <c r="G1260" s="118">
        <v>0</v>
      </c>
      <c r="H1260" s="83" t="s">
        <v>45</v>
      </c>
      <c r="I1260" s="118">
        <v>7</v>
      </c>
      <c r="J1260" s="118">
        <v>0</v>
      </c>
      <c r="K1260" s="145" t="s">
        <v>46</v>
      </c>
      <c r="L1260" s="117" t="s">
        <v>47</v>
      </c>
      <c r="M1260" s="118">
        <v>1050102</v>
      </c>
      <c r="N1260" s="118">
        <v>0</v>
      </c>
      <c r="O1260" s="117" t="s">
        <v>48</v>
      </c>
      <c r="P1260" s="118">
        <v>2214</v>
      </c>
      <c r="Q1260" s="118">
        <v>3306</v>
      </c>
      <c r="R1260" s="118">
        <v>1185</v>
      </c>
      <c r="S1260" s="37">
        <v>206</v>
      </c>
      <c r="T1260" s="83">
        <v>74</v>
      </c>
      <c r="U1260" s="118"/>
      <c r="V1260" s="118"/>
      <c r="W1260" s="117" t="s">
        <v>47</v>
      </c>
      <c r="X1260" s="117"/>
      <c r="Y1260" s="117"/>
      <c r="Z1260" s="118"/>
      <c r="AA1260" s="118"/>
      <c r="AB1260" s="11" t="s">
        <v>442</v>
      </c>
      <c r="AC1260" s="145">
        <v>2424</v>
      </c>
      <c r="AD1260" s="145" t="s">
        <v>51</v>
      </c>
      <c r="AE1260" s="145" t="s">
        <v>51</v>
      </c>
      <c r="AF1260" s="145" t="s">
        <v>51</v>
      </c>
      <c r="AG1260" s="145"/>
      <c r="AH1260" s="117" t="s">
        <v>52</v>
      </c>
      <c r="AI1260" s="118">
        <v>1</v>
      </c>
      <c r="AJ1260" s="118"/>
      <c r="AK1260" s="118"/>
      <c r="AL1260" s="118"/>
      <c r="AM1260" s="118"/>
      <c r="AN1260" s="212">
        <v>0</v>
      </c>
      <c r="AO1260" s="145"/>
      <c r="AP1260" s="118" t="s">
        <v>53</v>
      </c>
      <c r="AQ1260" s="2">
        <v>0</v>
      </c>
    </row>
    <row r="1261" s="2" customFormat="1" spans="1:43">
      <c r="A1261" s="218">
        <v>221406</v>
      </c>
      <c r="B1261" s="45" t="s">
        <v>1436</v>
      </c>
      <c r="C1261" s="11"/>
      <c r="D1261" s="11"/>
      <c r="E1261" s="11"/>
      <c r="F1261" s="11">
        <v>0</v>
      </c>
      <c r="G1261" s="11" t="s">
        <v>47</v>
      </c>
      <c r="H1261" s="83" t="s">
        <v>45</v>
      </c>
      <c r="I1261" s="118">
        <v>7</v>
      </c>
      <c r="J1261" s="11">
        <v>0</v>
      </c>
      <c r="K1261" s="11" t="s">
        <v>46</v>
      </c>
      <c r="L1261" s="47" t="s">
        <v>47</v>
      </c>
      <c r="M1261" s="11">
        <v>1030024</v>
      </c>
      <c r="N1261" s="11" t="s">
        <v>45</v>
      </c>
      <c r="O1261" s="47" t="s">
        <v>48</v>
      </c>
      <c r="P1261" s="118">
        <v>2214</v>
      </c>
      <c r="Q1261" s="12">
        <v>1381</v>
      </c>
      <c r="R1261" s="12">
        <v>1047</v>
      </c>
      <c r="S1261" s="11">
        <v>86</v>
      </c>
      <c r="T1261" s="83">
        <v>65</v>
      </c>
      <c r="U1261" s="11">
        <v>3</v>
      </c>
      <c r="V1261" s="11"/>
      <c r="W1261" s="47" t="s">
        <v>47</v>
      </c>
      <c r="X1261" s="47"/>
      <c r="Y1261" s="47"/>
      <c r="Z1261" s="11"/>
      <c r="AA1261" s="11"/>
      <c r="AB1261" s="11" t="s">
        <v>442</v>
      </c>
      <c r="AC1261" s="11">
        <v>2800</v>
      </c>
      <c r="AD1261" s="11"/>
      <c r="AE1261" s="11"/>
      <c r="AF1261" s="11"/>
      <c r="AG1261" s="11"/>
      <c r="AH1261" s="47" t="s">
        <v>52</v>
      </c>
      <c r="AI1261" s="11" t="s">
        <v>47</v>
      </c>
      <c r="AJ1261" s="12" t="s">
        <v>177</v>
      </c>
      <c r="AK1261" s="12" t="s">
        <v>178</v>
      </c>
      <c r="AL1261" s="12" t="s">
        <v>179</v>
      </c>
      <c r="AM1261" s="11" t="s">
        <v>180</v>
      </c>
      <c r="AN1261" s="58">
        <v>0</v>
      </c>
      <c r="AO1261" s="11"/>
      <c r="AP1261" s="11" t="s">
        <v>53</v>
      </c>
      <c r="AQ1261" s="2">
        <v>0</v>
      </c>
    </row>
    <row r="1262" s="2" customFormat="1" spans="1:43">
      <c r="A1262" s="218">
        <v>221407</v>
      </c>
      <c r="B1262" s="45" t="s">
        <v>1436</v>
      </c>
      <c r="C1262" s="11"/>
      <c r="D1262" s="11"/>
      <c r="E1262" s="11"/>
      <c r="F1262" s="11">
        <v>0</v>
      </c>
      <c r="G1262" s="11" t="s">
        <v>47</v>
      </c>
      <c r="H1262" s="83" t="s">
        <v>45</v>
      </c>
      <c r="I1262" s="118">
        <v>7</v>
      </c>
      <c r="J1262" s="11">
        <v>0</v>
      </c>
      <c r="K1262" s="11" t="s">
        <v>46</v>
      </c>
      <c r="L1262" s="47" t="s">
        <v>47</v>
      </c>
      <c r="M1262" s="11">
        <v>1030024</v>
      </c>
      <c r="N1262" s="11" t="s">
        <v>45</v>
      </c>
      <c r="O1262" s="47" t="s">
        <v>48</v>
      </c>
      <c r="P1262" s="118">
        <v>2214</v>
      </c>
      <c r="Q1262" s="12">
        <v>3066</v>
      </c>
      <c r="R1262" s="12">
        <v>1385</v>
      </c>
      <c r="S1262" s="11">
        <v>191</v>
      </c>
      <c r="T1262" s="83">
        <v>86</v>
      </c>
      <c r="U1262" s="11">
        <v>3</v>
      </c>
      <c r="V1262" s="11"/>
      <c r="W1262" s="47" t="s">
        <v>47</v>
      </c>
      <c r="X1262" s="47"/>
      <c r="Y1262" s="47"/>
      <c r="Z1262" s="11"/>
      <c r="AA1262" s="11"/>
      <c r="AB1262" s="11" t="s">
        <v>442</v>
      </c>
      <c r="AC1262" s="11">
        <v>2800</v>
      </c>
      <c r="AD1262" s="11"/>
      <c r="AE1262" s="11"/>
      <c r="AF1262" s="11"/>
      <c r="AG1262" s="11"/>
      <c r="AH1262" s="47" t="s">
        <v>52</v>
      </c>
      <c r="AI1262" s="11" t="s">
        <v>47</v>
      </c>
      <c r="AJ1262" s="12" t="s">
        <v>177</v>
      </c>
      <c r="AK1262" s="12" t="s">
        <v>178</v>
      </c>
      <c r="AL1262" s="12" t="s">
        <v>179</v>
      </c>
      <c r="AM1262" s="11" t="s">
        <v>180</v>
      </c>
      <c r="AN1262" s="58">
        <v>0</v>
      </c>
      <c r="AO1262" s="11"/>
      <c r="AP1262" s="11" t="s">
        <v>53</v>
      </c>
      <c r="AQ1262" s="2">
        <v>0</v>
      </c>
    </row>
    <row r="1263" s="2" customFormat="1" spans="1:43">
      <c r="A1263" s="218">
        <v>221408</v>
      </c>
      <c r="B1263" s="45" t="s">
        <v>1436</v>
      </c>
      <c r="C1263" s="11"/>
      <c r="D1263" s="11"/>
      <c r="E1263" s="11"/>
      <c r="F1263" s="11">
        <v>0</v>
      </c>
      <c r="G1263" s="11" t="s">
        <v>47</v>
      </c>
      <c r="H1263" s="83" t="s">
        <v>45</v>
      </c>
      <c r="I1263" s="118">
        <v>7</v>
      </c>
      <c r="J1263" s="11">
        <v>0</v>
      </c>
      <c r="K1263" s="11" t="s">
        <v>46</v>
      </c>
      <c r="L1263" s="47" t="s">
        <v>47</v>
      </c>
      <c r="M1263" s="11">
        <v>1030024</v>
      </c>
      <c r="N1263" s="11" t="s">
        <v>45</v>
      </c>
      <c r="O1263" s="47" t="s">
        <v>48</v>
      </c>
      <c r="P1263" s="118">
        <v>2214</v>
      </c>
      <c r="Q1263" s="12">
        <v>2123</v>
      </c>
      <c r="R1263" s="12">
        <v>2286</v>
      </c>
      <c r="S1263" s="11">
        <v>132</v>
      </c>
      <c r="T1263" s="83">
        <v>142</v>
      </c>
      <c r="U1263" s="11">
        <v>3</v>
      </c>
      <c r="V1263" s="11"/>
      <c r="W1263" s="47" t="s">
        <v>47</v>
      </c>
      <c r="X1263" s="47"/>
      <c r="Y1263" s="47"/>
      <c r="Z1263" s="11"/>
      <c r="AA1263" s="11"/>
      <c r="AB1263" s="11" t="s">
        <v>442</v>
      </c>
      <c r="AC1263" s="11">
        <v>2800</v>
      </c>
      <c r="AD1263" s="11"/>
      <c r="AE1263" s="11"/>
      <c r="AF1263" s="11"/>
      <c r="AG1263" s="11"/>
      <c r="AH1263" s="47" t="s">
        <v>52</v>
      </c>
      <c r="AI1263" s="11" t="s">
        <v>47</v>
      </c>
      <c r="AJ1263" s="12" t="s">
        <v>177</v>
      </c>
      <c r="AK1263" s="12" t="s">
        <v>178</v>
      </c>
      <c r="AL1263" s="12" t="s">
        <v>179</v>
      </c>
      <c r="AM1263" s="11" t="s">
        <v>180</v>
      </c>
      <c r="AN1263" s="58">
        <v>0</v>
      </c>
      <c r="AO1263" s="11"/>
      <c r="AP1263" s="11" t="s">
        <v>53</v>
      </c>
      <c r="AQ1263" s="2">
        <v>0</v>
      </c>
    </row>
    <row r="1264" s="2" customFormat="1" spans="1:43">
      <c r="A1264" s="218">
        <v>221409</v>
      </c>
      <c r="B1264" s="45" t="s">
        <v>1436</v>
      </c>
      <c r="C1264" s="11"/>
      <c r="D1264" s="11"/>
      <c r="E1264" s="11"/>
      <c r="F1264" s="11">
        <v>0</v>
      </c>
      <c r="G1264" s="11" t="s">
        <v>47</v>
      </c>
      <c r="H1264" s="83" t="s">
        <v>45</v>
      </c>
      <c r="I1264" s="118">
        <v>7</v>
      </c>
      <c r="J1264" s="11">
        <v>0</v>
      </c>
      <c r="K1264" s="11" t="s">
        <v>46</v>
      </c>
      <c r="L1264" s="47" t="s">
        <v>47</v>
      </c>
      <c r="M1264" s="11">
        <v>1030024</v>
      </c>
      <c r="N1264" s="11" t="s">
        <v>45</v>
      </c>
      <c r="O1264" s="47" t="s">
        <v>48</v>
      </c>
      <c r="P1264" s="118">
        <v>2214</v>
      </c>
      <c r="Q1264" s="12">
        <v>2262</v>
      </c>
      <c r="R1264" s="12">
        <v>3316</v>
      </c>
      <c r="S1264" s="11">
        <v>141</v>
      </c>
      <c r="T1264" s="83">
        <v>207</v>
      </c>
      <c r="U1264" s="11">
        <v>3</v>
      </c>
      <c r="V1264" s="11"/>
      <c r="W1264" s="47" t="s">
        <v>47</v>
      </c>
      <c r="X1264" s="47"/>
      <c r="Y1264" s="47"/>
      <c r="Z1264" s="11"/>
      <c r="AA1264" s="11"/>
      <c r="AB1264" s="11" t="s">
        <v>442</v>
      </c>
      <c r="AC1264" s="11">
        <v>2800</v>
      </c>
      <c r="AD1264" s="11"/>
      <c r="AE1264" s="11"/>
      <c r="AF1264" s="11"/>
      <c r="AG1264" s="11"/>
      <c r="AH1264" s="47" t="s">
        <v>52</v>
      </c>
      <c r="AI1264" s="11" t="s">
        <v>47</v>
      </c>
      <c r="AJ1264" s="12" t="s">
        <v>177</v>
      </c>
      <c r="AK1264" s="12" t="s">
        <v>178</v>
      </c>
      <c r="AL1264" s="12" t="s">
        <v>179</v>
      </c>
      <c r="AM1264" s="11" t="s">
        <v>180</v>
      </c>
      <c r="AN1264" s="58">
        <v>0</v>
      </c>
      <c r="AO1264" s="11"/>
      <c r="AP1264" s="11" t="s">
        <v>53</v>
      </c>
      <c r="AQ1264" s="2">
        <v>0</v>
      </c>
    </row>
    <row r="1265" s="2" customFormat="1" spans="1:43">
      <c r="A1265" s="218">
        <v>221410</v>
      </c>
      <c r="B1265" s="45" t="s">
        <v>1436</v>
      </c>
      <c r="C1265" s="11"/>
      <c r="D1265" s="11"/>
      <c r="E1265" s="11"/>
      <c r="F1265" s="11">
        <v>0</v>
      </c>
      <c r="G1265" s="11" t="s">
        <v>47</v>
      </c>
      <c r="H1265" s="83" t="s">
        <v>45</v>
      </c>
      <c r="I1265" s="118">
        <v>7</v>
      </c>
      <c r="J1265" s="11">
        <v>0</v>
      </c>
      <c r="K1265" s="11" t="s">
        <v>46</v>
      </c>
      <c r="L1265" s="47" t="s">
        <v>47</v>
      </c>
      <c r="M1265" s="11">
        <v>1030024</v>
      </c>
      <c r="N1265" s="11" t="s">
        <v>45</v>
      </c>
      <c r="O1265" s="47" t="s">
        <v>48</v>
      </c>
      <c r="P1265" s="118">
        <v>2214</v>
      </c>
      <c r="Q1265" s="12">
        <v>3178</v>
      </c>
      <c r="R1265" s="12">
        <v>3503</v>
      </c>
      <c r="S1265" s="11">
        <v>198</v>
      </c>
      <c r="T1265" s="83">
        <v>218</v>
      </c>
      <c r="U1265" s="11">
        <v>3</v>
      </c>
      <c r="V1265" s="11"/>
      <c r="W1265" s="47" t="s">
        <v>47</v>
      </c>
      <c r="X1265" s="47"/>
      <c r="Y1265" s="47"/>
      <c r="Z1265" s="11"/>
      <c r="AA1265" s="11"/>
      <c r="AB1265" s="11" t="s">
        <v>442</v>
      </c>
      <c r="AC1265" s="11">
        <v>2800</v>
      </c>
      <c r="AD1265" s="11"/>
      <c r="AE1265" s="11"/>
      <c r="AF1265" s="11"/>
      <c r="AG1265" s="11"/>
      <c r="AH1265" s="47" t="s">
        <v>52</v>
      </c>
      <c r="AI1265" s="11" t="s">
        <v>47</v>
      </c>
      <c r="AJ1265" s="12" t="s">
        <v>177</v>
      </c>
      <c r="AK1265" s="12" t="s">
        <v>178</v>
      </c>
      <c r="AL1265" s="12" t="s">
        <v>179</v>
      </c>
      <c r="AM1265" s="11" t="s">
        <v>180</v>
      </c>
      <c r="AN1265" s="58">
        <v>0</v>
      </c>
      <c r="AO1265" s="11"/>
      <c r="AP1265" s="11" t="s">
        <v>53</v>
      </c>
      <c r="AQ1265" s="2">
        <v>0</v>
      </c>
    </row>
    <row r="1266" s="23" customFormat="1" spans="1:43">
      <c r="A1266" s="218">
        <v>221411</v>
      </c>
      <c r="B1266" s="45" t="s">
        <v>1437</v>
      </c>
      <c r="C1266" s="118"/>
      <c r="D1266" s="118"/>
      <c r="E1266" s="118"/>
      <c r="F1266" s="118">
        <v>0</v>
      </c>
      <c r="G1266" s="118">
        <v>0</v>
      </c>
      <c r="H1266" s="83" t="s">
        <v>45</v>
      </c>
      <c r="I1266" s="118">
        <v>7</v>
      </c>
      <c r="J1266" s="118">
        <v>0</v>
      </c>
      <c r="K1266" s="145" t="s">
        <v>46</v>
      </c>
      <c r="L1266" s="117" t="s">
        <v>47</v>
      </c>
      <c r="M1266" s="118">
        <v>2010115</v>
      </c>
      <c r="N1266" s="118">
        <v>0</v>
      </c>
      <c r="O1266" s="117" t="s">
        <v>48</v>
      </c>
      <c r="P1266" s="118">
        <v>2214</v>
      </c>
      <c r="Q1266" s="118">
        <v>3048</v>
      </c>
      <c r="R1266" s="118">
        <v>3493</v>
      </c>
      <c r="S1266" s="37">
        <v>190</v>
      </c>
      <c r="T1266" s="83">
        <v>218</v>
      </c>
      <c r="U1266" s="118"/>
      <c r="V1266" s="118"/>
      <c r="W1266" s="117" t="s">
        <v>47</v>
      </c>
      <c r="X1266" s="117"/>
      <c r="Y1266" s="117"/>
      <c r="Z1266" s="118"/>
      <c r="AA1266" s="118"/>
      <c r="AB1266" s="11" t="s">
        <v>442</v>
      </c>
      <c r="AC1266" s="145">
        <v>2424</v>
      </c>
      <c r="AD1266" s="145" t="s">
        <v>51</v>
      </c>
      <c r="AE1266" s="145" t="s">
        <v>51</v>
      </c>
      <c r="AF1266" s="145" t="s">
        <v>51</v>
      </c>
      <c r="AG1266" s="145"/>
      <c r="AH1266" s="117" t="s">
        <v>52</v>
      </c>
      <c r="AI1266" s="118">
        <v>1</v>
      </c>
      <c r="AJ1266" s="118"/>
      <c r="AK1266" s="118"/>
      <c r="AL1266" s="118"/>
      <c r="AM1266" s="118"/>
      <c r="AN1266" s="212">
        <v>0</v>
      </c>
      <c r="AO1266" s="145"/>
      <c r="AP1266" s="118" t="s">
        <v>53</v>
      </c>
      <c r="AQ1266" s="2">
        <v>0</v>
      </c>
    </row>
    <row r="1267" s="23" customFormat="1" spans="1:43">
      <c r="A1267" s="218">
        <v>221412</v>
      </c>
      <c r="B1267" s="45" t="s">
        <v>1437</v>
      </c>
      <c r="C1267" s="118"/>
      <c r="D1267" s="118"/>
      <c r="E1267" s="118"/>
      <c r="F1267" s="118">
        <v>0</v>
      </c>
      <c r="G1267" s="118">
        <v>0</v>
      </c>
      <c r="H1267" s="83" t="s">
        <v>45</v>
      </c>
      <c r="I1267" s="118">
        <v>7</v>
      </c>
      <c r="J1267" s="118">
        <v>0</v>
      </c>
      <c r="K1267" s="145" t="s">
        <v>46</v>
      </c>
      <c r="L1267" s="117" t="s">
        <v>47</v>
      </c>
      <c r="M1267" s="118">
        <v>2010115</v>
      </c>
      <c r="N1267" s="118">
        <v>0</v>
      </c>
      <c r="O1267" s="117" t="s">
        <v>48</v>
      </c>
      <c r="P1267" s="118">
        <v>2214</v>
      </c>
      <c r="Q1267" s="118">
        <v>1916</v>
      </c>
      <c r="R1267" s="118">
        <v>2253</v>
      </c>
      <c r="S1267" s="37">
        <v>119</v>
      </c>
      <c r="T1267" s="83">
        <v>140</v>
      </c>
      <c r="U1267" s="118"/>
      <c r="V1267" s="118"/>
      <c r="W1267" s="117" t="s">
        <v>47</v>
      </c>
      <c r="X1267" s="117"/>
      <c r="Y1267" s="117"/>
      <c r="Z1267" s="118"/>
      <c r="AA1267" s="118"/>
      <c r="AB1267" s="11" t="s">
        <v>442</v>
      </c>
      <c r="AC1267" s="145">
        <v>2424</v>
      </c>
      <c r="AD1267" s="145" t="s">
        <v>51</v>
      </c>
      <c r="AE1267" s="145" t="s">
        <v>51</v>
      </c>
      <c r="AF1267" s="145" t="s">
        <v>51</v>
      </c>
      <c r="AG1267" s="145"/>
      <c r="AH1267" s="117" t="s">
        <v>52</v>
      </c>
      <c r="AI1267" s="118">
        <v>1</v>
      </c>
      <c r="AJ1267" s="118"/>
      <c r="AK1267" s="118"/>
      <c r="AL1267" s="118"/>
      <c r="AM1267" s="118"/>
      <c r="AN1267" s="212">
        <v>0</v>
      </c>
      <c r="AO1267" s="145"/>
      <c r="AP1267" s="118" t="s">
        <v>53</v>
      </c>
      <c r="AQ1267" s="2">
        <v>0</v>
      </c>
    </row>
    <row r="1268" s="23" customFormat="1" spans="1:43">
      <c r="A1268" s="218">
        <v>221413</v>
      </c>
      <c r="B1268" s="45" t="s">
        <v>1437</v>
      </c>
      <c r="C1268" s="118"/>
      <c r="D1268" s="118"/>
      <c r="E1268" s="118"/>
      <c r="F1268" s="118">
        <v>0</v>
      </c>
      <c r="G1268" s="118">
        <v>0</v>
      </c>
      <c r="H1268" s="83" t="s">
        <v>45</v>
      </c>
      <c r="I1268" s="118">
        <v>7</v>
      </c>
      <c r="J1268" s="118">
        <v>0</v>
      </c>
      <c r="K1268" s="145" t="s">
        <v>46</v>
      </c>
      <c r="L1268" s="117" t="s">
        <v>47</v>
      </c>
      <c r="M1268" s="118">
        <v>2010115</v>
      </c>
      <c r="N1268" s="118">
        <v>0</v>
      </c>
      <c r="O1268" s="117" t="s">
        <v>48</v>
      </c>
      <c r="P1268" s="118">
        <v>2214</v>
      </c>
      <c r="Q1268" s="118">
        <v>1824</v>
      </c>
      <c r="R1268" s="118">
        <v>1184</v>
      </c>
      <c r="S1268" s="37">
        <v>114</v>
      </c>
      <c r="T1268" s="83">
        <v>74</v>
      </c>
      <c r="U1268" s="118"/>
      <c r="V1268" s="118"/>
      <c r="W1268" s="117" t="s">
        <v>47</v>
      </c>
      <c r="X1268" s="117"/>
      <c r="Y1268" s="117"/>
      <c r="Z1268" s="118"/>
      <c r="AA1268" s="118"/>
      <c r="AB1268" s="11" t="s">
        <v>442</v>
      </c>
      <c r="AC1268" s="145">
        <v>2424</v>
      </c>
      <c r="AD1268" s="145" t="s">
        <v>51</v>
      </c>
      <c r="AE1268" s="145" t="s">
        <v>51</v>
      </c>
      <c r="AF1268" s="145" t="s">
        <v>51</v>
      </c>
      <c r="AG1268" s="145"/>
      <c r="AH1268" s="117" t="s">
        <v>52</v>
      </c>
      <c r="AI1268" s="118">
        <v>1</v>
      </c>
      <c r="AJ1268" s="118"/>
      <c r="AK1268" s="118"/>
      <c r="AL1268" s="118"/>
      <c r="AM1268" s="118"/>
      <c r="AN1268" s="212">
        <v>0</v>
      </c>
      <c r="AO1268" s="145"/>
      <c r="AP1268" s="118" t="s">
        <v>53</v>
      </c>
      <c r="AQ1268" s="2">
        <v>0</v>
      </c>
    </row>
    <row r="1269" s="23" customFormat="1" spans="1:43">
      <c r="A1269" s="218">
        <v>221414</v>
      </c>
      <c r="B1269" s="45" t="s">
        <v>1437</v>
      </c>
      <c r="C1269" s="118"/>
      <c r="D1269" s="118"/>
      <c r="E1269" s="118"/>
      <c r="F1269" s="118">
        <v>0</v>
      </c>
      <c r="G1269" s="118">
        <v>0</v>
      </c>
      <c r="H1269" s="83" t="s">
        <v>45</v>
      </c>
      <c r="I1269" s="118">
        <v>7</v>
      </c>
      <c r="J1269" s="118">
        <v>0</v>
      </c>
      <c r="K1269" s="145" t="s">
        <v>46</v>
      </c>
      <c r="L1269" s="117" t="s">
        <v>47</v>
      </c>
      <c r="M1269" s="118">
        <v>2010115</v>
      </c>
      <c r="N1269" s="118">
        <v>0</v>
      </c>
      <c r="O1269" s="117" t="s">
        <v>48</v>
      </c>
      <c r="P1269" s="118">
        <v>2214</v>
      </c>
      <c r="Q1269" s="118">
        <v>682</v>
      </c>
      <c r="R1269" s="118">
        <v>659</v>
      </c>
      <c r="S1269" s="37">
        <v>42</v>
      </c>
      <c r="T1269" s="83">
        <v>41</v>
      </c>
      <c r="U1269" s="118"/>
      <c r="V1269" s="118"/>
      <c r="W1269" s="117" t="s">
        <v>47</v>
      </c>
      <c r="X1269" s="117"/>
      <c r="Y1269" s="117"/>
      <c r="Z1269" s="118"/>
      <c r="AA1269" s="118"/>
      <c r="AB1269" s="11" t="s">
        <v>442</v>
      </c>
      <c r="AC1269" s="145">
        <v>2424</v>
      </c>
      <c r="AD1269" s="145" t="s">
        <v>51</v>
      </c>
      <c r="AE1269" s="145" t="s">
        <v>51</v>
      </c>
      <c r="AF1269" s="145" t="s">
        <v>51</v>
      </c>
      <c r="AG1269" s="145"/>
      <c r="AH1269" s="117" t="s">
        <v>52</v>
      </c>
      <c r="AI1269" s="118">
        <v>1</v>
      </c>
      <c r="AJ1269" s="118"/>
      <c r="AK1269" s="118"/>
      <c r="AL1269" s="118"/>
      <c r="AM1269" s="118"/>
      <c r="AN1269" s="212">
        <v>0</v>
      </c>
      <c r="AO1269" s="145"/>
      <c r="AP1269" s="118" t="s">
        <v>53</v>
      </c>
      <c r="AQ1269" s="2">
        <v>0</v>
      </c>
    </row>
    <row r="1270" s="23" customFormat="1" spans="1:43">
      <c r="A1270" s="218">
        <v>221415</v>
      </c>
      <c r="B1270" s="45" t="s">
        <v>1437</v>
      </c>
      <c r="C1270" s="118"/>
      <c r="D1270" s="118"/>
      <c r="E1270" s="118"/>
      <c r="F1270" s="118">
        <v>0</v>
      </c>
      <c r="G1270" s="118">
        <v>0</v>
      </c>
      <c r="H1270" s="83" t="s">
        <v>45</v>
      </c>
      <c r="I1270" s="118">
        <v>7</v>
      </c>
      <c r="J1270" s="118">
        <v>0</v>
      </c>
      <c r="K1270" s="145" t="s">
        <v>46</v>
      </c>
      <c r="L1270" s="117" t="s">
        <v>47</v>
      </c>
      <c r="M1270" s="118">
        <v>2010115</v>
      </c>
      <c r="N1270" s="118">
        <v>0</v>
      </c>
      <c r="O1270" s="117" t="s">
        <v>48</v>
      </c>
      <c r="P1270" s="118">
        <v>2214</v>
      </c>
      <c r="Q1270" s="118">
        <v>198</v>
      </c>
      <c r="R1270" s="118">
        <v>2896</v>
      </c>
      <c r="S1270" s="37">
        <v>12</v>
      </c>
      <c r="T1270" s="83">
        <v>181</v>
      </c>
      <c r="U1270" s="118"/>
      <c r="V1270" s="118"/>
      <c r="W1270" s="117" t="s">
        <v>47</v>
      </c>
      <c r="X1270" s="117"/>
      <c r="Y1270" s="117"/>
      <c r="Z1270" s="118"/>
      <c r="AA1270" s="118"/>
      <c r="AB1270" s="11" t="s">
        <v>442</v>
      </c>
      <c r="AC1270" s="145">
        <v>2424</v>
      </c>
      <c r="AD1270" s="145" t="s">
        <v>51</v>
      </c>
      <c r="AE1270" s="145" t="s">
        <v>51</v>
      </c>
      <c r="AF1270" s="145" t="s">
        <v>51</v>
      </c>
      <c r="AG1270" s="145"/>
      <c r="AH1270" s="117" t="s">
        <v>52</v>
      </c>
      <c r="AI1270" s="118">
        <v>1</v>
      </c>
      <c r="AJ1270" s="118"/>
      <c r="AK1270" s="118"/>
      <c r="AL1270" s="118"/>
      <c r="AM1270" s="118"/>
      <c r="AN1270" s="212">
        <v>0</v>
      </c>
      <c r="AO1270" s="145"/>
      <c r="AP1270" s="118" t="s">
        <v>53</v>
      </c>
      <c r="AQ1270" s="2">
        <v>0</v>
      </c>
    </row>
    <row r="1271" s="23" customFormat="1" spans="1:43">
      <c r="A1271" s="218">
        <v>221501</v>
      </c>
      <c r="B1271" s="45" t="s">
        <v>1438</v>
      </c>
      <c r="C1271" s="118"/>
      <c r="D1271" s="118"/>
      <c r="E1271" s="118"/>
      <c r="F1271" s="118">
        <v>0</v>
      </c>
      <c r="G1271" s="118">
        <v>0</v>
      </c>
      <c r="H1271" s="83" t="s">
        <v>45</v>
      </c>
      <c r="I1271" s="118">
        <v>7</v>
      </c>
      <c r="J1271" s="118">
        <v>0</v>
      </c>
      <c r="K1271" s="145" t="s">
        <v>46</v>
      </c>
      <c r="L1271" s="117" t="s">
        <v>47</v>
      </c>
      <c r="M1271" s="118">
        <v>1010119</v>
      </c>
      <c r="N1271" s="118">
        <v>0</v>
      </c>
      <c r="O1271" s="117" t="s">
        <v>48</v>
      </c>
      <c r="P1271" s="118">
        <v>2215</v>
      </c>
      <c r="Q1271" s="118">
        <v>684</v>
      </c>
      <c r="R1271" s="118">
        <v>535</v>
      </c>
      <c r="S1271" s="37">
        <v>42</v>
      </c>
      <c r="T1271" s="83">
        <v>33</v>
      </c>
      <c r="U1271" s="118"/>
      <c r="V1271" s="118"/>
      <c r="W1271" s="117" t="s">
        <v>47</v>
      </c>
      <c r="X1271" s="117"/>
      <c r="Y1271" s="117"/>
      <c r="Z1271" s="118"/>
      <c r="AA1271" s="118"/>
      <c r="AB1271" s="11" t="s">
        <v>442</v>
      </c>
      <c r="AC1271" s="145">
        <v>2424</v>
      </c>
      <c r="AD1271" s="145" t="s">
        <v>51</v>
      </c>
      <c r="AE1271" s="145" t="s">
        <v>51</v>
      </c>
      <c r="AF1271" s="145" t="s">
        <v>51</v>
      </c>
      <c r="AG1271" s="145"/>
      <c r="AH1271" s="117" t="s">
        <v>52</v>
      </c>
      <c r="AI1271" s="118">
        <v>1</v>
      </c>
      <c r="AJ1271" s="118"/>
      <c r="AK1271" s="118"/>
      <c r="AL1271" s="118"/>
      <c r="AM1271" s="118"/>
      <c r="AN1271" s="212">
        <v>0</v>
      </c>
      <c r="AO1271" s="145"/>
      <c r="AP1271" s="118" t="s">
        <v>53</v>
      </c>
      <c r="AQ1271" s="2">
        <v>0</v>
      </c>
    </row>
    <row r="1272" s="23" customFormat="1" spans="1:43">
      <c r="A1272" s="218">
        <v>221502</v>
      </c>
      <c r="B1272" s="45" t="s">
        <v>1252</v>
      </c>
      <c r="C1272" s="118"/>
      <c r="D1272" s="118"/>
      <c r="E1272" s="118"/>
      <c r="F1272" s="118">
        <v>0</v>
      </c>
      <c r="G1272" s="118">
        <v>0</v>
      </c>
      <c r="H1272" s="83" t="s">
        <v>45</v>
      </c>
      <c r="I1272" s="118">
        <v>7</v>
      </c>
      <c r="J1272" s="118">
        <v>0</v>
      </c>
      <c r="K1272" s="145" t="s">
        <v>46</v>
      </c>
      <c r="L1272" s="117" t="s">
        <v>47</v>
      </c>
      <c r="M1272" s="118">
        <v>1010119</v>
      </c>
      <c r="N1272" s="118">
        <v>0</v>
      </c>
      <c r="O1272" s="117" t="s">
        <v>48</v>
      </c>
      <c r="P1272" s="118">
        <v>2215</v>
      </c>
      <c r="Q1272" s="118">
        <v>677</v>
      </c>
      <c r="R1272" s="118">
        <v>820</v>
      </c>
      <c r="S1272" s="37">
        <v>42</v>
      </c>
      <c r="T1272" s="83">
        <v>51</v>
      </c>
      <c r="U1272" s="118"/>
      <c r="V1272" s="118"/>
      <c r="W1272" s="117" t="s">
        <v>47</v>
      </c>
      <c r="X1272" s="117"/>
      <c r="Y1272" s="117"/>
      <c r="Z1272" s="118"/>
      <c r="AA1272" s="118"/>
      <c r="AB1272" s="11" t="s">
        <v>442</v>
      </c>
      <c r="AC1272" s="145">
        <v>2424</v>
      </c>
      <c r="AD1272" s="145" t="s">
        <v>51</v>
      </c>
      <c r="AE1272" s="145" t="s">
        <v>51</v>
      </c>
      <c r="AF1272" s="145" t="s">
        <v>51</v>
      </c>
      <c r="AG1272" s="145"/>
      <c r="AH1272" s="117" t="s">
        <v>52</v>
      </c>
      <c r="AI1272" s="118">
        <v>1</v>
      </c>
      <c r="AJ1272" s="118"/>
      <c r="AK1272" s="118"/>
      <c r="AL1272" s="118"/>
      <c r="AM1272" s="118"/>
      <c r="AN1272" s="212">
        <v>0</v>
      </c>
      <c r="AO1272" s="145"/>
      <c r="AP1272" s="118" t="s">
        <v>53</v>
      </c>
      <c r="AQ1272" s="2">
        <v>0</v>
      </c>
    </row>
    <row r="1273" s="23" customFormat="1" spans="1:43">
      <c r="A1273" s="218">
        <v>221503</v>
      </c>
      <c r="B1273" s="45" t="s">
        <v>1439</v>
      </c>
      <c r="C1273" s="118"/>
      <c r="D1273" s="118"/>
      <c r="E1273" s="118"/>
      <c r="F1273" s="118">
        <v>0</v>
      </c>
      <c r="G1273" s="118">
        <v>0</v>
      </c>
      <c r="H1273" s="83" t="s">
        <v>45</v>
      </c>
      <c r="I1273" s="118">
        <v>7</v>
      </c>
      <c r="J1273" s="118">
        <v>0</v>
      </c>
      <c r="K1273" s="145" t="s">
        <v>46</v>
      </c>
      <c r="L1273" s="117" t="s">
        <v>47</v>
      </c>
      <c r="M1273" s="118">
        <v>1010119</v>
      </c>
      <c r="N1273" s="118">
        <v>0</v>
      </c>
      <c r="O1273" s="117" t="s">
        <v>48</v>
      </c>
      <c r="P1273" s="118">
        <v>2215</v>
      </c>
      <c r="Q1273" s="118">
        <v>756</v>
      </c>
      <c r="R1273" s="118">
        <v>994</v>
      </c>
      <c r="S1273" s="37">
        <v>47</v>
      </c>
      <c r="T1273" s="83">
        <v>62</v>
      </c>
      <c r="U1273" s="118"/>
      <c r="V1273" s="118"/>
      <c r="W1273" s="117" t="s">
        <v>47</v>
      </c>
      <c r="X1273" s="117"/>
      <c r="Y1273" s="117"/>
      <c r="Z1273" s="118"/>
      <c r="AA1273" s="118"/>
      <c r="AB1273" s="11" t="s">
        <v>442</v>
      </c>
      <c r="AC1273" s="145">
        <v>2424</v>
      </c>
      <c r="AD1273" s="145" t="s">
        <v>51</v>
      </c>
      <c r="AE1273" s="145" t="s">
        <v>51</v>
      </c>
      <c r="AF1273" s="145" t="s">
        <v>51</v>
      </c>
      <c r="AG1273" s="145"/>
      <c r="AH1273" s="117" t="s">
        <v>52</v>
      </c>
      <c r="AI1273" s="118">
        <v>1</v>
      </c>
      <c r="AJ1273" s="118"/>
      <c r="AK1273" s="118"/>
      <c r="AL1273" s="118"/>
      <c r="AM1273" s="118"/>
      <c r="AN1273" s="212">
        <v>0</v>
      </c>
      <c r="AO1273" s="145"/>
      <c r="AP1273" s="118" t="s">
        <v>53</v>
      </c>
      <c r="AQ1273" s="2">
        <v>0</v>
      </c>
    </row>
    <row r="1274" s="23" customFormat="1" spans="1:43">
      <c r="A1274" s="218">
        <v>221601</v>
      </c>
      <c r="B1274" s="45" t="s">
        <v>1440</v>
      </c>
      <c r="C1274" s="118"/>
      <c r="D1274" s="118"/>
      <c r="E1274" s="118"/>
      <c r="F1274" s="118">
        <v>0</v>
      </c>
      <c r="G1274" s="118">
        <v>0</v>
      </c>
      <c r="H1274" s="83" t="s">
        <v>45</v>
      </c>
      <c r="I1274" s="118">
        <v>7</v>
      </c>
      <c r="J1274" s="118">
        <v>0</v>
      </c>
      <c r="K1274" s="145" t="s">
        <v>46</v>
      </c>
      <c r="L1274" s="117" t="s">
        <v>47</v>
      </c>
      <c r="M1274" s="118">
        <v>1030027</v>
      </c>
      <c r="N1274" s="118">
        <v>0</v>
      </c>
      <c r="O1274" s="117" t="s">
        <v>48</v>
      </c>
      <c r="P1274" s="118">
        <v>2216</v>
      </c>
      <c r="Q1274" s="118">
        <v>1254</v>
      </c>
      <c r="R1274" s="118">
        <v>4335</v>
      </c>
      <c r="S1274" s="37">
        <v>78</v>
      </c>
      <c r="T1274" s="83">
        <v>270</v>
      </c>
      <c r="U1274" s="118"/>
      <c r="V1274" s="118"/>
      <c r="W1274" s="117" t="s">
        <v>47</v>
      </c>
      <c r="X1274" s="117"/>
      <c r="Y1274" s="117"/>
      <c r="Z1274" s="118"/>
      <c r="AA1274" s="118"/>
      <c r="AB1274" s="11" t="s">
        <v>442</v>
      </c>
      <c r="AC1274" s="145">
        <v>2424</v>
      </c>
      <c r="AD1274" s="145" t="s">
        <v>51</v>
      </c>
      <c r="AE1274" s="145" t="s">
        <v>51</v>
      </c>
      <c r="AF1274" s="145" t="s">
        <v>51</v>
      </c>
      <c r="AG1274" s="145"/>
      <c r="AH1274" s="117" t="s">
        <v>52</v>
      </c>
      <c r="AI1274" s="118">
        <v>1</v>
      </c>
      <c r="AJ1274" s="118"/>
      <c r="AK1274" s="118"/>
      <c r="AL1274" s="118"/>
      <c r="AM1274" s="118"/>
      <c r="AN1274" s="212">
        <v>0</v>
      </c>
      <c r="AO1274" s="145"/>
      <c r="AP1274" s="118" t="s">
        <v>53</v>
      </c>
      <c r="AQ1274" s="2">
        <v>0</v>
      </c>
    </row>
    <row r="1275" s="23" customFormat="1" spans="1:43">
      <c r="A1275" s="218">
        <v>221602</v>
      </c>
      <c r="B1275" s="45" t="s">
        <v>1441</v>
      </c>
      <c r="C1275" s="118"/>
      <c r="D1275" s="118"/>
      <c r="E1275" s="118"/>
      <c r="F1275" s="118">
        <v>0</v>
      </c>
      <c r="G1275" s="118">
        <v>0</v>
      </c>
      <c r="H1275" s="83" t="s">
        <v>45</v>
      </c>
      <c r="I1275" s="118">
        <v>7</v>
      </c>
      <c r="J1275" s="118">
        <v>0</v>
      </c>
      <c r="K1275" s="145" t="s">
        <v>46</v>
      </c>
      <c r="L1275" s="117" t="s">
        <v>47</v>
      </c>
      <c r="M1275" s="118">
        <v>530109</v>
      </c>
      <c r="N1275" s="118">
        <v>0</v>
      </c>
      <c r="O1275" s="117" t="s">
        <v>48</v>
      </c>
      <c r="P1275" s="118">
        <v>2216</v>
      </c>
      <c r="Q1275" s="118">
        <v>3376</v>
      </c>
      <c r="R1275" s="118">
        <v>3285</v>
      </c>
      <c r="S1275" s="37">
        <v>211</v>
      </c>
      <c r="T1275" s="83">
        <v>205</v>
      </c>
      <c r="U1275" s="118"/>
      <c r="V1275" s="118"/>
      <c r="W1275" s="117" t="s">
        <v>47</v>
      </c>
      <c r="X1275" s="117"/>
      <c r="Y1275" s="117"/>
      <c r="Z1275" s="118"/>
      <c r="AA1275" s="118"/>
      <c r="AB1275" s="11" t="s">
        <v>442</v>
      </c>
      <c r="AC1275" s="145">
        <v>2424</v>
      </c>
      <c r="AD1275" s="145" t="s">
        <v>51</v>
      </c>
      <c r="AE1275" s="145" t="s">
        <v>51</v>
      </c>
      <c r="AF1275" s="145" t="s">
        <v>51</v>
      </c>
      <c r="AG1275" s="145"/>
      <c r="AH1275" s="117" t="s">
        <v>52</v>
      </c>
      <c r="AI1275" s="118">
        <v>1</v>
      </c>
      <c r="AJ1275" s="118"/>
      <c r="AK1275" s="118"/>
      <c r="AL1275" s="118"/>
      <c r="AM1275" s="118"/>
      <c r="AN1275" s="212">
        <v>0</v>
      </c>
      <c r="AO1275" s="145"/>
      <c r="AP1275" s="118" t="s">
        <v>53</v>
      </c>
      <c r="AQ1275" s="2">
        <v>0</v>
      </c>
    </row>
    <row r="1276" s="23" customFormat="1" spans="1:43">
      <c r="A1276" s="218">
        <v>221603</v>
      </c>
      <c r="B1276" s="45" t="s">
        <v>1442</v>
      </c>
      <c r="C1276" s="118"/>
      <c r="D1276" s="118"/>
      <c r="E1276" s="118"/>
      <c r="F1276" s="118">
        <v>0</v>
      </c>
      <c r="G1276" s="118">
        <v>0</v>
      </c>
      <c r="H1276" s="83" t="s">
        <v>45</v>
      </c>
      <c r="I1276" s="118">
        <v>7</v>
      </c>
      <c r="J1276" s="118">
        <v>0</v>
      </c>
      <c r="K1276" s="145" t="s">
        <v>46</v>
      </c>
      <c r="L1276" s="117" t="s">
        <v>47</v>
      </c>
      <c r="M1276" s="118">
        <v>2010151</v>
      </c>
      <c r="N1276" s="118">
        <v>0</v>
      </c>
      <c r="O1276" s="117" t="s">
        <v>48</v>
      </c>
      <c r="P1276" s="118">
        <v>2216</v>
      </c>
      <c r="Q1276" s="118">
        <v>4564</v>
      </c>
      <c r="R1276" s="118">
        <v>2888</v>
      </c>
      <c r="S1276" s="37">
        <v>285</v>
      </c>
      <c r="T1276" s="83">
        <v>180</v>
      </c>
      <c r="U1276" s="118"/>
      <c r="V1276" s="118"/>
      <c r="W1276" s="117" t="s">
        <v>47</v>
      </c>
      <c r="X1276" s="117"/>
      <c r="Y1276" s="117"/>
      <c r="Z1276" s="118"/>
      <c r="AA1276" s="118"/>
      <c r="AB1276" s="11" t="s">
        <v>442</v>
      </c>
      <c r="AC1276" s="145">
        <v>2424</v>
      </c>
      <c r="AD1276" s="145" t="s">
        <v>51</v>
      </c>
      <c r="AE1276" s="145" t="s">
        <v>51</v>
      </c>
      <c r="AF1276" s="145" t="s">
        <v>51</v>
      </c>
      <c r="AG1276" s="145"/>
      <c r="AH1276" s="117" t="s">
        <v>52</v>
      </c>
      <c r="AI1276" s="118">
        <v>1</v>
      </c>
      <c r="AJ1276" s="118"/>
      <c r="AK1276" s="118"/>
      <c r="AL1276" s="118"/>
      <c r="AM1276" s="118"/>
      <c r="AN1276" s="212">
        <v>0</v>
      </c>
      <c r="AO1276" s="145"/>
      <c r="AP1276" s="118" t="s">
        <v>53</v>
      </c>
      <c r="AQ1276" s="2">
        <v>0</v>
      </c>
    </row>
    <row r="1277" s="23" customFormat="1" spans="1:43">
      <c r="A1277" s="218">
        <v>221604</v>
      </c>
      <c r="B1277" s="45" t="s">
        <v>1443</v>
      </c>
      <c r="C1277" s="118"/>
      <c r="D1277" s="118"/>
      <c r="E1277" s="118"/>
      <c r="F1277" s="118">
        <v>0</v>
      </c>
      <c r="G1277" s="118">
        <v>0</v>
      </c>
      <c r="H1277" s="83" t="s">
        <v>45</v>
      </c>
      <c r="I1277" s="118">
        <v>7</v>
      </c>
      <c r="J1277" s="118">
        <v>0</v>
      </c>
      <c r="K1277" s="145" t="s">
        <v>46</v>
      </c>
      <c r="L1277" s="117" t="s">
        <v>47</v>
      </c>
      <c r="M1277" s="118">
        <v>1010124</v>
      </c>
      <c r="N1277" s="118">
        <v>0</v>
      </c>
      <c r="O1277" s="117" t="s">
        <v>48</v>
      </c>
      <c r="P1277" s="118">
        <v>2216</v>
      </c>
      <c r="Q1277" s="118">
        <v>2282</v>
      </c>
      <c r="R1277" s="118">
        <v>1730</v>
      </c>
      <c r="S1277" s="37">
        <v>142</v>
      </c>
      <c r="T1277" s="83">
        <v>108</v>
      </c>
      <c r="U1277" s="118"/>
      <c r="V1277" s="118"/>
      <c r="W1277" s="117" t="s">
        <v>47</v>
      </c>
      <c r="X1277" s="117"/>
      <c r="Y1277" s="117"/>
      <c r="Z1277" s="118"/>
      <c r="AA1277" s="118"/>
      <c r="AB1277" s="11" t="s">
        <v>442</v>
      </c>
      <c r="AC1277" s="145">
        <v>2424</v>
      </c>
      <c r="AD1277" s="145" t="s">
        <v>51</v>
      </c>
      <c r="AE1277" s="145" t="s">
        <v>51</v>
      </c>
      <c r="AF1277" s="145" t="s">
        <v>51</v>
      </c>
      <c r="AG1277" s="145"/>
      <c r="AH1277" s="117" t="s">
        <v>52</v>
      </c>
      <c r="AI1277" s="118">
        <v>1</v>
      </c>
      <c r="AJ1277" s="118"/>
      <c r="AK1277" s="118"/>
      <c r="AL1277" s="118"/>
      <c r="AM1277" s="118"/>
      <c r="AN1277" s="212">
        <v>0</v>
      </c>
      <c r="AO1277" s="145"/>
      <c r="AP1277" s="118" t="s">
        <v>53</v>
      </c>
      <c r="AQ1277" s="2">
        <v>0</v>
      </c>
    </row>
    <row r="1278" s="23" customFormat="1" spans="1:43">
      <c r="A1278" s="218">
        <v>221605</v>
      </c>
      <c r="B1278" s="45" t="s">
        <v>639</v>
      </c>
      <c r="C1278" s="118"/>
      <c r="D1278" s="118"/>
      <c r="E1278" s="118"/>
      <c r="F1278" s="118">
        <v>0</v>
      </c>
      <c r="G1278" s="118">
        <v>0</v>
      </c>
      <c r="H1278" s="83" t="s">
        <v>45</v>
      </c>
      <c r="I1278" s="118">
        <v>7</v>
      </c>
      <c r="J1278" s="118">
        <v>0</v>
      </c>
      <c r="K1278" s="145" t="s">
        <v>46</v>
      </c>
      <c r="L1278" s="117" t="s">
        <v>47</v>
      </c>
      <c r="M1278" s="118">
        <v>1030013</v>
      </c>
      <c r="N1278" s="118">
        <v>0</v>
      </c>
      <c r="O1278" s="117" t="s">
        <v>48</v>
      </c>
      <c r="P1278" s="118">
        <v>2216</v>
      </c>
      <c r="Q1278" s="118">
        <v>1457</v>
      </c>
      <c r="R1278" s="118">
        <v>2250</v>
      </c>
      <c r="S1278" s="37">
        <v>91</v>
      </c>
      <c r="T1278" s="83">
        <v>140</v>
      </c>
      <c r="U1278" s="118"/>
      <c r="V1278" s="118"/>
      <c r="W1278" s="117" t="s">
        <v>47</v>
      </c>
      <c r="X1278" s="117"/>
      <c r="Y1278" s="117"/>
      <c r="Z1278" s="118"/>
      <c r="AA1278" s="118"/>
      <c r="AB1278" s="11" t="s">
        <v>442</v>
      </c>
      <c r="AC1278" s="145">
        <v>2424</v>
      </c>
      <c r="AD1278" s="145" t="s">
        <v>51</v>
      </c>
      <c r="AE1278" s="145" t="s">
        <v>51</v>
      </c>
      <c r="AF1278" s="145" t="s">
        <v>51</v>
      </c>
      <c r="AG1278" s="145"/>
      <c r="AH1278" s="117" t="s">
        <v>52</v>
      </c>
      <c r="AI1278" s="118">
        <v>1</v>
      </c>
      <c r="AJ1278" s="118"/>
      <c r="AK1278" s="118"/>
      <c r="AL1278" s="118"/>
      <c r="AM1278" s="118"/>
      <c r="AN1278" s="212">
        <v>0</v>
      </c>
      <c r="AO1278" s="145"/>
      <c r="AP1278" s="118" t="s">
        <v>53</v>
      </c>
      <c r="AQ1278" s="2">
        <v>0</v>
      </c>
    </row>
    <row r="1279" s="3" customFormat="1" ht="18" customHeight="1" spans="1:43">
      <c r="A1279" s="89">
        <v>310000</v>
      </c>
      <c r="B1279" s="178" t="s">
        <v>1444</v>
      </c>
      <c r="C1279" s="12"/>
      <c r="D1279" s="12"/>
      <c r="E1279" s="12"/>
      <c r="F1279" s="12">
        <v>0</v>
      </c>
      <c r="G1279" s="12">
        <v>0</v>
      </c>
      <c r="H1279" s="12">
        <v>1.15</v>
      </c>
      <c r="I1279" s="12">
        <v>7</v>
      </c>
      <c r="J1279" s="12">
        <v>0</v>
      </c>
      <c r="K1279" s="12" t="s">
        <v>46</v>
      </c>
      <c r="L1279" s="47" t="s">
        <v>47</v>
      </c>
      <c r="M1279" s="76">
        <v>540012</v>
      </c>
      <c r="N1279" s="12">
        <v>0</v>
      </c>
      <c r="O1279" s="47" t="s">
        <v>48</v>
      </c>
      <c r="P1279" s="12">
        <v>0</v>
      </c>
      <c r="Q1279" s="12"/>
      <c r="R1279" s="12"/>
      <c r="S1279" s="12">
        <v>0</v>
      </c>
      <c r="T1279" s="12">
        <v>0</v>
      </c>
      <c r="U1279" s="12"/>
      <c r="V1279" s="12"/>
      <c r="W1279" s="47" t="s">
        <v>47</v>
      </c>
      <c r="X1279" s="47"/>
      <c r="Y1279" s="47"/>
      <c r="Z1279" s="12" t="s">
        <v>1445</v>
      </c>
      <c r="AA1279" s="12"/>
      <c r="AB1279" s="12"/>
      <c r="AC1279" s="12"/>
      <c r="AD1279" s="12" t="s">
        <v>51</v>
      </c>
      <c r="AE1279" s="12" t="s">
        <v>51</v>
      </c>
      <c r="AF1279" s="12" t="s">
        <v>51</v>
      </c>
      <c r="AG1279" s="12"/>
      <c r="AH1279" s="47" t="s">
        <v>52</v>
      </c>
      <c r="AI1279" s="12">
        <v>0</v>
      </c>
      <c r="AJ1279" s="12"/>
      <c r="AK1279" s="12"/>
      <c r="AL1279" s="12"/>
      <c r="AM1279" s="12"/>
      <c r="AN1279" s="47" t="s">
        <v>47</v>
      </c>
      <c r="AO1279" s="120">
        <v>3210</v>
      </c>
      <c r="AP1279" s="12" t="s">
        <v>53</v>
      </c>
      <c r="AQ1279" s="2">
        <v>0</v>
      </c>
    </row>
    <row r="1280" s="3" customFormat="1" ht="15.75" customHeight="1" spans="1:43">
      <c r="A1280" s="89">
        <v>310001</v>
      </c>
      <c r="B1280" s="178" t="s">
        <v>1446</v>
      </c>
      <c r="C1280" s="12"/>
      <c r="D1280" s="12"/>
      <c r="E1280" s="12"/>
      <c r="F1280" s="12">
        <v>0</v>
      </c>
      <c r="G1280" s="12">
        <v>0</v>
      </c>
      <c r="H1280" s="12">
        <v>1.15</v>
      </c>
      <c r="I1280" s="12">
        <v>7</v>
      </c>
      <c r="J1280" s="12">
        <v>0</v>
      </c>
      <c r="K1280" s="12" t="s">
        <v>46</v>
      </c>
      <c r="L1280" s="47" t="s">
        <v>47</v>
      </c>
      <c r="M1280" s="76">
        <v>540012</v>
      </c>
      <c r="N1280" s="12">
        <v>0</v>
      </c>
      <c r="O1280" s="47" t="s">
        <v>48</v>
      </c>
      <c r="P1280" s="12">
        <v>0</v>
      </c>
      <c r="Q1280" s="12"/>
      <c r="R1280" s="12"/>
      <c r="S1280" s="12">
        <v>0</v>
      </c>
      <c r="T1280" s="12">
        <v>0</v>
      </c>
      <c r="U1280" s="12"/>
      <c r="V1280" s="12"/>
      <c r="W1280" s="47" t="s">
        <v>47</v>
      </c>
      <c r="X1280" s="47"/>
      <c r="Y1280" s="47"/>
      <c r="Z1280" s="12" t="s">
        <v>1447</v>
      </c>
      <c r="AA1280" s="12"/>
      <c r="AB1280" s="12"/>
      <c r="AC1280" s="12"/>
      <c r="AD1280" s="12" t="s">
        <v>51</v>
      </c>
      <c r="AE1280" s="12" t="s">
        <v>51</v>
      </c>
      <c r="AF1280" s="12" t="s">
        <v>51</v>
      </c>
      <c r="AG1280" s="12"/>
      <c r="AH1280" s="47" t="s">
        <v>52</v>
      </c>
      <c r="AI1280" s="12">
        <v>0</v>
      </c>
      <c r="AJ1280" s="12"/>
      <c r="AK1280" s="12"/>
      <c r="AL1280" s="12"/>
      <c r="AM1280" s="12"/>
      <c r="AN1280" s="47" t="s">
        <v>47</v>
      </c>
      <c r="AO1280" s="120">
        <v>3211</v>
      </c>
      <c r="AP1280" s="12" t="s">
        <v>53</v>
      </c>
      <c r="AQ1280" s="2">
        <v>0</v>
      </c>
    </row>
    <row r="1281" s="3" customFormat="1" ht="15.75" customHeight="1" spans="1:43">
      <c r="A1281" s="89">
        <v>310002</v>
      </c>
      <c r="B1281" s="178" t="s">
        <v>1448</v>
      </c>
      <c r="C1281" s="12"/>
      <c r="D1281" s="12"/>
      <c r="E1281" s="12"/>
      <c r="F1281" s="12">
        <v>0</v>
      </c>
      <c r="G1281" s="12">
        <v>0</v>
      </c>
      <c r="H1281" s="12">
        <v>1.15</v>
      </c>
      <c r="I1281" s="12">
        <v>7</v>
      </c>
      <c r="J1281" s="12">
        <v>0</v>
      </c>
      <c r="K1281" s="12" t="s">
        <v>46</v>
      </c>
      <c r="L1281" s="47" t="s">
        <v>47</v>
      </c>
      <c r="M1281" s="76">
        <v>540012</v>
      </c>
      <c r="N1281" s="12">
        <v>0</v>
      </c>
      <c r="O1281" s="47" t="s">
        <v>48</v>
      </c>
      <c r="P1281" s="12">
        <v>0</v>
      </c>
      <c r="Q1281" s="12"/>
      <c r="R1281" s="12"/>
      <c r="S1281" s="12">
        <v>0</v>
      </c>
      <c r="T1281" s="12">
        <v>0</v>
      </c>
      <c r="U1281" s="12"/>
      <c r="V1281" s="12"/>
      <c r="W1281" s="47" t="s">
        <v>47</v>
      </c>
      <c r="X1281" s="47"/>
      <c r="Y1281" s="47"/>
      <c r="Z1281" s="12" t="s">
        <v>1449</v>
      </c>
      <c r="AA1281" s="12"/>
      <c r="AB1281" s="12"/>
      <c r="AC1281" s="12"/>
      <c r="AD1281" s="12" t="s">
        <v>51</v>
      </c>
      <c r="AE1281" s="12" t="s">
        <v>51</v>
      </c>
      <c r="AF1281" s="12" t="s">
        <v>51</v>
      </c>
      <c r="AG1281" s="12"/>
      <c r="AH1281" s="47" t="s">
        <v>52</v>
      </c>
      <c r="AI1281" s="12">
        <v>0</v>
      </c>
      <c r="AJ1281" s="12"/>
      <c r="AK1281" s="12"/>
      <c r="AL1281" s="12"/>
      <c r="AM1281" s="12"/>
      <c r="AN1281" s="47" t="s">
        <v>47</v>
      </c>
      <c r="AO1281" s="120">
        <v>3212</v>
      </c>
      <c r="AP1281" s="12" t="s">
        <v>53</v>
      </c>
      <c r="AQ1281" s="2">
        <v>0</v>
      </c>
    </row>
    <row r="1282" s="3" customFormat="1" ht="18" customHeight="1" spans="1:43">
      <c r="A1282" s="89">
        <v>310003</v>
      </c>
      <c r="B1282" s="178" t="s">
        <v>1450</v>
      </c>
      <c r="C1282" s="12"/>
      <c r="D1282" s="12"/>
      <c r="E1282" s="12"/>
      <c r="F1282" s="12">
        <v>0</v>
      </c>
      <c r="G1282" s="12">
        <v>0</v>
      </c>
      <c r="H1282" s="12">
        <v>1.15</v>
      </c>
      <c r="I1282" s="12">
        <v>7</v>
      </c>
      <c r="J1282" s="12">
        <v>0</v>
      </c>
      <c r="K1282" s="12" t="s">
        <v>46</v>
      </c>
      <c r="L1282" s="47" t="s">
        <v>47</v>
      </c>
      <c r="M1282" s="76">
        <v>540012</v>
      </c>
      <c r="N1282" s="12">
        <v>0</v>
      </c>
      <c r="O1282" s="47" t="s">
        <v>48</v>
      </c>
      <c r="P1282" s="12">
        <v>0</v>
      </c>
      <c r="Q1282" s="12"/>
      <c r="R1282" s="12"/>
      <c r="S1282" s="12">
        <v>0</v>
      </c>
      <c r="T1282" s="12">
        <v>0</v>
      </c>
      <c r="U1282" s="12"/>
      <c r="V1282" s="12"/>
      <c r="W1282" s="47" t="s">
        <v>47</v>
      </c>
      <c r="X1282" s="47"/>
      <c r="Y1282" s="47"/>
      <c r="Z1282" s="3" t="s">
        <v>1451</v>
      </c>
      <c r="AA1282" s="12"/>
      <c r="AB1282" s="12"/>
      <c r="AC1282" s="12"/>
      <c r="AD1282" s="12" t="s">
        <v>51</v>
      </c>
      <c r="AE1282" s="12" t="s">
        <v>51</v>
      </c>
      <c r="AF1282" s="12" t="s">
        <v>51</v>
      </c>
      <c r="AG1282" s="12"/>
      <c r="AH1282" s="47" t="s">
        <v>52</v>
      </c>
      <c r="AI1282" s="12">
        <v>0</v>
      </c>
      <c r="AJ1282" s="12"/>
      <c r="AK1282" s="12"/>
      <c r="AL1282" s="12"/>
      <c r="AM1282" s="12"/>
      <c r="AN1282" s="47" t="s">
        <v>47</v>
      </c>
      <c r="AO1282" s="120">
        <v>3200</v>
      </c>
      <c r="AP1282" s="12" t="s">
        <v>53</v>
      </c>
      <c r="AQ1282" s="2">
        <v>0</v>
      </c>
    </row>
    <row r="1283" s="3" customFormat="1" ht="15.75" customHeight="1" spans="1:43">
      <c r="A1283" s="89">
        <v>310004</v>
      </c>
      <c r="B1283" s="178" t="s">
        <v>1452</v>
      </c>
      <c r="C1283" s="12"/>
      <c r="D1283" s="12"/>
      <c r="E1283" s="12"/>
      <c r="F1283" s="12">
        <v>0</v>
      </c>
      <c r="G1283" s="12">
        <v>0</v>
      </c>
      <c r="H1283" s="12">
        <v>1.15</v>
      </c>
      <c r="I1283" s="12">
        <v>7</v>
      </c>
      <c r="J1283" s="12">
        <v>0</v>
      </c>
      <c r="K1283" s="12" t="s">
        <v>46</v>
      </c>
      <c r="L1283" s="47" t="s">
        <v>47</v>
      </c>
      <c r="M1283" s="76">
        <v>540012</v>
      </c>
      <c r="N1283" s="12">
        <v>0</v>
      </c>
      <c r="O1283" s="47" t="s">
        <v>48</v>
      </c>
      <c r="P1283" s="12">
        <v>0</v>
      </c>
      <c r="Q1283" s="12"/>
      <c r="R1283" s="12"/>
      <c r="S1283" s="12">
        <v>0</v>
      </c>
      <c r="T1283" s="12">
        <v>0</v>
      </c>
      <c r="U1283" s="12"/>
      <c r="V1283" s="12"/>
      <c r="W1283" s="47" t="s">
        <v>47</v>
      </c>
      <c r="X1283" s="47"/>
      <c r="Y1283" s="47"/>
      <c r="Z1283" t="s">
        <v>1451</v>
      </c>
      <c r="AA1283" s="12"/>
      <c r="AB1283" s="12"/>
      <c r="AC1283" s="12"/>
      <c r="AD1283" s="12" t="s">
        <v>51</v>
      </c>
      <c r="AE1283" s="12" t="s">
        <v>51</v>
      </c>
      <c r="AF1283" s="12" t="s">
        <v>51</v>
      </c>
      <c r="AG1283" s="12"/>
      <c r="AH1283" s="47" t="s">
        <v>52</v>
      </c>
      <c r="AI1283" s="12">
        <v>0</v>
      </c>
      <c r="AJ1283" s="12"/>
      <c r="AK1283" s="12"/>
      <c r="AL1283" s="12"/>
      <c r="AM1283" s="12"/>
      <c r="AN1283" s="47" t="s">
        <v>47</v>
      </c>
      <c r="AO1283" s="120">
        <v>3201</v>
      </c>
      <c r="AP1283" s="12" t="s">
        <v>53</v>
      </c>
      <c r="AQ1283" s="2">
        <v>0</v>
      </c>
    </row>
    <row r="1284" s="3" customFormat="1" ht="15.75" customHeight="1" spans="1:43">
      <c r="A1284" s="89">
        <v>310005</v>
      </c>
      <c r="B1284" s="178" t="s">
        <v>1453</v>
      </c>
      <c r="C1284" s="12"/>
      <c r="D1284" s="12"/>
      <c r="E1284" s="12"/>
      <c r="F1284" s="12">
        <v>0</v>
      </c>
      <c r="G1284" s="12">
        <v>0</v>
      </c>
      <c r="H1284" s="12">
        <v>1.15</v>
      </c>
      <c r="I1284" s="12">
        <v>7</v>
      </c>
      <c r="J1284" s="12">
        <v>0</v>
      </c>
      <c r="K1284" s="12" t="s">
        <v>46</v>
      </c>
      <c r="L1284" s="47" t="s">
        <v>47</v>
      </c>
      <c r="M1284" s="76">
        <v>540012</v>
      </c>
      <c r="N1284" s="12">
        <v>0</v>
      </c>
      <c r="O1284" s="47" t="s">
        <v>48</v>
      </c>
      <c r="P1284" s="12">
        <v>0</v>
      </c>
      <c r="Q1284" s="12"/>
      <c r="R1284" s="12"/>
      <c r="S1284" s="12">
        <v>0</v>
      </c>
      <c r="T1284" s="12">
        <v>0</v>
      </c>
      <c r="U1284" s="12"/>
      <c r="V1284" s="12"/>
      <c r="W1284" s="47" t="s">
        <v>47</v>
      </c>
      <c r="X1284" s="47"/>
      <c r="Y1284" s="47"/>
      <c r="Z1284" t="s">
        <v>1451</v>
      </c>
      <c r="AA1284" s="12"/>
      <c r="AB1284" s="12"/>
      <c r="AC1284" s="12"/>
      <c r="AD1284" s="12" t="s">
        <v>51</v>
      </c>
      <c r="AE1284" s="12" t="s">
        <v>51</v>
      </c>
      <c r="AF1284" s="12" t="s">
        <v>51</v>
      </c>
      <c r="AG1284" s="12"/>
      <c r="AH1284" s="47" t="s">
        <v>52</v>
      </c>
      <c r="AI1284" s="12">
        <v>0</v>
      </c>
      <c r="AJ1284" s="12"/>
      <c r="AK1284" s="12"/>
      <c r="AL1284" s="12"/>
      <c r="AM1284" s="12"/>
      <c r="AN1284" s="47" t="s">
        <v>47</v>
      </c>
      <c r="AO1284" s="120">
        <v>3202</v>
      </c>
      <c r="AP1284" s="12" t="s">
        <v>53</v>
      </c>
      <c r="AQ1284" s="2">
        <v>0</v>
      </c>
    </row>
    <row r="1285" s="3" customFormat="1" ht="18" customHeight="1" spans="1:43">
      <c r="A1285" s="89">
        <v>310006</v>
      </c>
      <c r="B1285" s="178" t="s">
        <v>1454</v>
      </c>
      <c r="C1285" s="12"/>
      <c r="D1285" s="12"/>
      <c r="E1285" s="12"/>
      <c r="F1285" s="12">
        <v>0</v>
      </c>
      <c r="G1285" s="12">
        <v>0</v>
      </c>
      <c r="H1285" s="12">
        <v>1.15</v>
      </c>
      <c r="I1285" s="12">
        <v>7</v>
      </c>
      <c r="J1285" s="12">
        <v>0</v>
      </c>
      <c r="K1285" s="12" t="s">
        <v>46</v>
      </c>
      <c r="L1285" s="47" t="s">
        <v>47</v>
      </c>
      <c r="M1285" s="76">
        <v>540012</v>
      </c>
      <c r="N1285" s="12">
        <v>0</v>
      </c>
      <c r="O1285" s="47" t="s">
        <v>48</v>
      </c>
      <c r="P1285" s="12">
        <v>0</v>
      </c>
      <c r="Q1285" s="12"/>
      <c r="R1285" s="12"/>
      <c r="S1285" s="12">
        <v>0</v>
      </c>
      <c r="T1285" s="12">
        <v>0</v>
      </c>
      <c r="U1285" s="12"/>
      <c r="V1285" s="12"/>
      <c r="W1285" s="47" t="s">
        <v>47</v>
      </c>
      <c r="X1285" s="47"/>
      <c r="Y1285" s="47"/>
      <c r="Z1285" t="s">
        <v>1451</v>
      </c>
      <c r="AA1285" s="12"/>
      <c r="AB1285" s="12"/>
      <c r="AC1285" s="12"/>
      <c r="AD1285" s="12" t="s">
        <v>51</v>
      </c>
      <c r="AE1285" s="12" t="s">
        <v>51</v>
      </c>
      <c r="AF1285" s="12" t="s">
        <v>51</v>
      </c>
      <c r="AG1285" s="12"/>
      <c r="AH1285" s="47" t="s">
        <v>52</v>
      </c>
      <c r="AI1285" s="12">
        <v>0</v>
      </c>
      <c r="AJ1285" s="12"/>
      <c r="AK1285" s="12"/>
      <c r="AL1285" s="12"/>
      <c r="AM1285" s="12"/>
      <c r="AN1285" s="47" t="s">
        <v>47</v>
      </c>
      <c r="AO1285" s="120">
        <v>3203</v>
      </c>
      <c r="AP1285" s="12" t="s">
        <v>53</v>
      </c>
      <c r="AQ1285" s="2">
        <v>0</v>
      </c>
    </row>
    <row r="1286" s="3" customFormat="1" ht="15.75" customHeight="1" spans="1:43">
      <c r="A1286" s="89">
        <v>310007</v>
      </c>
      <c r="B1286" s="178" t="s">
        <v>1455</v>
      </c>
      <c r="C1286" s="12"/>
      <c r="D1286" s="12"/>
      <c r="E1286" s="12"/>
      <c r="F1286" s="12">
        <v>0</v>
      </c>
      <c r="G1286" s="12">
        <v>0</v>
      </c>
      <c r="H1286" s="12">
        <v>1.15</v>
      </c>
      <c r="I1286" s="12">
        <v>7</v>
      </c>
      <c r="J1286" s="12">
        <v>0</v>
      </c>
      <c r="K1286" s="12" t="s">
        <v>46</v>
      </c>
      <c r="L1286" s="47" t="s">
        <v>47</v>
      </c>
      <c r="M1286" s="76">
        <v>540012</v>
      </c>
      <c r="N1286" s="12">
        <v>0</v>
      </c>
      <c r="O1286" s="47" t="s">
        <v>48</v>
      </c>
      <c r="P1286" s="12">
        <v>0</v>
      </c>
      <c r="Q1286" s="12"/>
      <c r="R1286" s="12"/>
      <c r="S1286" s="12">
        <v>0</v>
      </c>
      <c r="T1286" s="12">
        <v>0</v>
      </c>
      <c r="U1286" s="12"/>
      <c r="V1286" s="12"/>
      <c r="W1286" s="47" t="s">
        <v>47</v>
      </c>
      <c r="X1286" s="47"/>
      <c r="Y1286" s="47"/>
      <c r="Z1286" t="s">
        <v>1451</v>
      </c>
      <c r="AA1286" s="12"/>
      <c r="AB1286" s="12"/>
      <c r="AC1286" s="12"/>
      <c r="AD1286" s="12" t="s">
        <v>51</v>
      </c>
      <c r="AE1286" s="12" t="s">
        <v>51</v>
      </c>
      <c r="AF1286" s="12" t="s">
        <v>51</v>
      </c>
      <c r="AG1286" s="12"/>
      <c r="AH1286" s="47" t="s">
        <v>52</v>
      </c>
      <c r="AI1286" s="12">
        <v>0</v>
      </c>
      <c r="AJ1286" s="12"/>
      <c r="AK1286" s="12"/>
      <c r="AL1286" s="12"/>
      <c r="AM1286" s="12"/>
      <c r="AN1286" s="47" t="s">
        <v>47</v>
      </c>
      <c r="AO1286" s="120">
        <v>3204</v>
      </c>
      <c r="AP1286" s="12" t="s">
        <v>53</v>
      </c>
      <c r="AQ1286" s="2">
        <v>0</v>
      </c>
    </row>
    <row r="1287" s="3" customFormat="1" ht="15.75" customHeight="1" spans="1:43">
      <c r="A1287" s="89">
        <v>310008</v>
      </c>
      <c r="B1287" s="178" t="s">
        <v>1456</v>
      </c>
      <c r="C1287" s="12"/>
      <c r="D1287" s="12"/>
      <c r="E1287" s="12"/>
      <c r="F1287" s="12">
        <v>0</v>
      </c>
      <c r="G1287" s="12">
        <v>0</v>
      </c>
      <c r="H1287" s="12">
        <v>1.15</v>
      </c>
      <c r="I1287" s="12">
        <v>7</v>
      </c>
      <c r="J1287" s="12">
        <v>0</v>
      </c>
      <c r="K1287" s="12" t="s">
        <v>46</v>
      </c>
      <c r="L1287" s="47" t="s">
        <v>47</v>
      </c>
      <c r="M1287" s="76">
        <v>540012</v>
      </c>
      <c r="N1287" s="12">
        <v>0</v>
      </c>
      <c r="O1287" s="47" t="s">
        <v>48</v>
      </c>
      <c r="P1287" s="12">
        <v>0</v>
      </c>
      <c r="Q1287" s="12"/>
      <c r="R1287" s="12"/>
      <c r="S1287" s="12">
        <v>0</v>
      </c>
      <c r="T1287" s="12">
        <v>0</v>
      </c>
      <c r="U1287" s="12"/>
      <c r="V1287" s="12"/>
      <c r="W1287" s="47" t="s">
        <v>47</v>
      </c>
      <c r="X1287" s="47"/>
      <c r="Y1287" s="47"/>
      <c r="Z1287" t="s">
        <v>1451</v>
      </c>
      <c r="AA1287" s="12"/>
      <c r="AB1287" s="12"/>
      <c r="AC1287" s="12"/>
      <c r="AD1287" s="12" t="s">
        <v>51</v>
      </c>
      <c r="AE1287" s="12" t="s">
        <v>51</v>
      </c>
      <c r="AF1287" s="12" t="s">
        <v>51</v>
      </c>
      <c r="AG1287" s="12"/>
      <c r="AH1287" s="47" t="s">
        <v>52</v>
      </c>
      <c r="AI1287" s="12">
        <v>0</v>
      </c>
      <c r="AJ1287" s="12"/>
      <c r="AK1287" s="12"/>
      <c r="AL1287" s="12"/>
      <c r="AM1287" s="12"/>
      <c r="AN1287" s="47" t="s">
        <v>47</v>
      </c>
      <c r="AO1287" s="120">
        <v>3205</v>
      </c>
      <c r="AP1287" s="12" t="s">
        <v>53</v>
      </c>
      <c r="AQ1287" s="2">
        <v>0</v>
      </c>
    </row>
    <row r="1288" s="3" customFormat="1" ht="18" customHeight="1" spans="1:43">
      <c r="A1288" s="89">
        <v>310009</v>
      </c>
      <c r="B1288" s="178" t="s">
        <v>1457</v>
      </c>
      <c r="C1288" s="12"/>
      <c r="D1288" s="12"/>
      <c r="E1288" s="12"/>
      <c r="F1288" s="12">
        <v>0</v>
      </c>
      <c r="G1288" s="12">
        <v>0</v>
      </c>
      <c r="H1288" s="12">
        <v>1.15</v>
      </c>
      <c r="I1288" s="12">
        <v>7</v>
      </c>
      <c r="J1288" s="12">
        <v>0</v>
      </c>
      <c r="K1288" s="12" t="s">
        <v>46</v>
      </c>
      <c r="L1288" s="47" t="s">
        <v>47</v>
      </c>
      <c r="M1288" s="76">
        <v>540012</v>
      </c>
      <c r="N1288" s="12">
        <v>0</v>
      </c>
      <c r="O1288" s="47" t="s">
        <v>48</v>
      </c>
      <c r="P1288" s="12">
        <v>0</v>
      </c>
      <c r="Q1288" s="12"/>
      <c r="R1288" s="12"/>
      <c r="S1288" s="12">
        <v>0</v>
      </c>
      <c r="T1288" s="12">
        <v>0</v>
      </c>
      <c r="U1288" s="12"/>
      <c r="V1288" s="12"/>
      <c r="W1288" s="47" t="s">
        <v>47</v>
      </c>
      <c r="X1288" s="47"/>
      <c r="Y1288" s="47"/>
      <c r="Z1288" t="s">
        <v>1451</v>
      </c>
      <c r="AA1288" s="12"/>
      <c r="AB1288" s="12"/>
      <c r="AC1288" s="12"/>
      <c r="AD1288" s="12" t="s">
        <v>51</v>
      </c>
      <c r="AE1288" s="12" t="s">
        <v>51</v>
      </c>
      <c r="AF1288" s="12" t="s">
        <v>51</v>
      </c>
      <c r="AG1288" s="12"/>
      <c r="AH1288" s="47" t="s">
        <v>52</v>
      </c>
      <c r="AI1288" s="12">
        <v>0</v>
      </c>
      <c r="AJ1288" s="12"/>
      <c r="AK1288" s="12"/>
      <c r="AL1288" s="12"/>
      <c r="AM1288" s="12"/>
      <c r="AN1288" s="47" t="s">
        <v>47</v>
      </c>
      <c r="AO1288" s="120">
        <v>3206</v>
      </c>
      <c r="AP1288" s="12" t="s">
        <v>53</v>
      </c>
      <c r="AQ1288" s="2">
        <v>0</v>
      </c>
    </row>
    <row r="1289" s="3" customFormat="1" ht="15.75" customHeight="1" spans="1:43">
      <c r="A1289" s="89">
        <v>310010</v>
      </c>
      <c r="B1289" s="178" t="s">
        <v>1458</v>
      </c>
      <c r="C1289" s="12"/>
      <c r="D1289" s="12"/>
      <c r="E1289" s="12"/>
      <c r="F1289" s="12">
        <v>0</v>
      </c>
      <c r="G1289" s="12">
        <v>0</v>
      </c>
      <c r="H1289" s="12">
        <v>1.15</v>
      </c>
      <c r="I1289" s="12">
        <v>7</v>
      </c>
      <c r="J1289" s="12">
        <v>0</v>
      </c>
      <c r="K1289" s="12" t="s">
        <v>46</v>
      </c>
      <c r="L1289" s="47" t="s">
        <v>47</v>
      </c>
      <c r="M1289" s="76">
        <v>540012</v>
      </c>
      <c r="N1289" s="12">
        <v>0</v>
      </c>
      <c r="O1289" s="47" t="s">
        <v>48</v>
      </c>
      <c r="P1289" s="12">
        <v>0</v>
      </c>
      <c r="Q1289" s="12"/>
      <c r="R1289" s="12"/>
      <c r="S1289" s="12">
        <v>0</v>
      </c>
      <c r="T1289" s="12">
        <v>0</v>
      </c>
      <c r="U1289" s="12"/>
      <c r="V1289" s="12"/>
      <c r="W1289" s="47" t="s">
        <v>47</v>
      </c>
      <c r="X1289" s="47"/>
      <c r="Y1289" s="47"/>
      <c r="Z1289" t="s">
        <v>1451</v>
      </c>
      <c r="AA1289" s="12"/>
      <c r="AB1289" s="12"/>
      <c r="AC1289" s="12"/>
      <c r="AD1289" s="12" t="s">
        <v>51</v>
      </c>
      <c r="AE1289" s="12" t="s">
        <v>51</v>
      </c>
      <c r="AF1289" s="12" t="s">
        <v>51</v>
      </c>
      <c r="AG1289" s="12"/>
      <c r="AH1289" s="47" t="s">
        <v>52</v>
      </c>
      <c r="AI1289" s="12">
        <v>0</v>
      </c>
      <c r="AJ1289" s="12"/>
      <c r="AK1289" s="12"/>
      <c r="AL1289" s="12"/>
      <c r="AM1289" s="12"/>
      <c r="AN1289" s="47" t="s">
        <v>47</v>
      </c>
      <c r="AO1289" s="120">
        <v>3207</v>
      </c>
      <c r="AP1289" s="12" t="s">
        <v>53</v>
      </c>
      <c r="AQ1289" s="2">
        <v>0</v>
      </c>
    </row>
    <row r="1290" s="3" customFormat="1" ht="15.75" customHeight="1" spans="1:43">
      <c r="A1290" s="89">
        <v>310011</v>
      </c>
      <c r="B1290" s="178" t="s">
        <v>1459</v>
      </c>
      <c r="C1290" s="12"/>
      <c r="D1290" s="12"/>
      <c r="E1290" s="12"/>
      <c r="F1290" s="12">
        <v>0</v>
      </c>
      <c r="G1290" s="12">
        <v>0</v>
      </c>
      <c r="H1290" s="12">
        <v>1.15</v>
      </c>
      <c r="I1290" s="12">
        <v>7</v>
      </c>
      <c r="J1290" s="12">
        <v>0</v>
      </c>
      <c r="K1290" s="12" t="s">
        <v>46</v>
      </c>
      <c r="L1290" s="47" t="s">
        <v>47</v>
      </c>
      <c r="M1290" s="76">
        <v>540012</v>
      </c>
      <c r="N1290" s="12">
        <v>0</v>
      </c>
      <c r="O1290" s="47" t="s">
        <v>48</v>
      </c>
      <c r="P1290" s="12">
        <v>0</v>
      </c>
      <c r="Q1290" s="12"/>
      <c r="R1290" s="12"/>
      <c r="S1290" s="12">
        <v>0</v>
      </c>
      <c r="T1290" s="12">
        <v>0</v>
      </c>
      <c r="U1290" s="12"/>
      <c r="V1290" s="12"/>
      <c r="W1290" s="47" t="s">
        <v>47</v>
      </c>
      <c r="X1290" s="47"/>
      <c r="Y1290" s="47"/>
      <c r="Z1290" t="s">
        <v>1451</v>
      </c>
      <c r="AA1290" s="12"/>
      <c r="AB1290" s="12"/>
      <c r="AC1290" s="12"/>
      <c r="AD1290" s="12" t="s">
        <v>51</v>
      </c>
      <c r="AE1290" s="12" t="s">
        <v>51</v>
      </c>
      <c r="AF1290" s="12" t="s">
        <v>51</v>
      </c>
      <c r="AG1290" s="12"/>
      <c r="AH1290" s="47" t="s">
        <v>52</v>
      </c>
      <c r="AI1290" s="12">
        <v>0</v>
      </c>
      <c r="AJ1290" s="12"/>
      <c r="AK1290" s="12"/>
      <c r="AL1290" s="12"/>
      <c r="AM1290" s="12"/>
      <c r="AN1290" s="47" t="s">
        <v>47</v>
      </c>
      <c r="AO1290" s="120">
        <v>3208</v>
      </c>
      <c r="AP1290" s="12" t="s">
        <v>53</v>
      </c>
      <c r="AQ1290" s="2">
        <v>0</v>
      </c>
    </row>
    <row r="1291" s="3" customFormat="1" ht="15.75" customHeight="1" spans="1:43">
      <c r="A1291" s="89">
        <v>310012</v>
      </c>
      <c r="B1291" s="178" t="s">
        <v>1460</v>
      </c>
      <c r="C1291" s="12"/>
      <c r="D1291" s="12"/>
      <c r="E1291" s="12"/>
      <c r="F1291" s="12">
        <v>0</v>
      </c>
      <c r="G1291" s="12">
        <v>0</v>
      </c>
      <c r="H1291" s="12">
        <v>1.15</v>
      </c>
      <c r="I1291" s="12">
        <v>7</v>
      </c>
      <c r="J1291" s="12">
        <v>0</v>
      </c>
      <c r="K1291" s="12" t="s">
        <v>46</v>
      </c>
      <c r="L1291" s="47" t="s">
        <v>47</v>
      </c>
      <c r="M1291" s="76">
        <v>540012</v>
      </c>
      <c r="N1291" s="12">
        <v>0</v>
      </c>
      <c r="O1291" s="47" t="s">
        <v>48</v>
      </c>
      <c r="P1291" s="12">
        <v>0</v>
      </c>
      <c r="Q1291" s="12"/>
      <c r="R1291" s="12"/>
      <c r="S1291" s="12">
        <v>0</v>
      </c>
      <c r="T1291" s="12">
        <v>0</v>
      </c>
      <c r="U1291" s="12"/>
      <c r="V1291" s="12"/>
      <c r="W1291" s="47" t="s">
        <v>47</v>
      </c>
      <c r="X1291" s="47"/>
      <c r="Y1291" s="47"/>
      <c r="Z1291" t="s">
        <v>1451</v>
      </c>
      <c r="AA1291" s="12"/>
      <c r="AB1291" s="12"/>
      <c r="AC1291" s="12"/>
      <c r="AD1291" s="12" t="s">
        <v>51</v>
      </c>
      <c r="AE1291" s="12" t="s">
        <v>51</v>
      </c>
      <c r="AF1291" s="12" t="s">
        <v>51</v>
      </c>
      <c r="AG1291" s="12"/>
      <c r="AH1291" s="47" t="s">
        <v>52</v>
      </c>
      <c r="AI1291" s="12">
        <v>0</v>
      </c>
      <c r="AJ1291" s="12"/>
      <c r="AK1291" s="12"/>
      <c r="AL1291" s="12"/>
      <c r="AM1291" s="12"/>
      <c r="AN1291" s="47" t="s">
        <v>47</v>
      </c>
      <c r="AO1291" s="120">
        <v>3209</v>
      </c>
      <c r="AP1291" s="12" t="s">
        <v>53</v>
      </c>
      <c r="AQ1291" s="2">
        <v>0</v>
      </c>
    </row>
    <row r="1292" s="3" customFormat="1" ht="18" customHeight="1" spans="1:43">
      <c r="A1292" s="89">
        <v>310089</v>
      </c>
      <c r="B1292" s="178" t="s">
        <v>1461</v>
      </c>
      <c r="C1292" s="12"/>
      <c r="D1292" s="12"/>
      <c r="E1292" s="12"/>
      <c r="F1292" s="12">
        <v>0</v>
      </c>
      <c r="G1292" s="12">
        <v>0</v>
      </c>
      <c r="H1292" s="12">
        <v>1.15</v>
      </c>
      <c r="I1292" s="12">
        <v>7</v>
      </c>
      <c r="J1292" s="12">
        <v>0</v>
      </c>
      <c r="K1292" s="12" t="s">
        <v>46</v>
      </c>
      <c r="L1292" s="47" t="s">
        <v>47</v>
      </c>
      <c r="M1292" s="76">
        <v>540012</v>
      </c>
      <c r="N1292" s="12">
        <v>0</v>
      </c>
      <c r="O1292" s="47" t="s">
        <v>48</v>
      </c>
      <c r="P1292" s="12">
        <v>0</v>
      </c>
      <c r="Q1292" s="12"/>
      <c r="R1292" s="12"/>
      <c r="S1292" s="12">
        <v>0</v>
      </c>
      <c r="T1292" s="12">
        <v>0</v>
      </c>
      <c r="U1292" s="12"/>
      <c r="V1292" s="12"/>
      <c r="W1292" s="47" t="s">
        <v>47</v>
      </c>
      <c r="X1292" s="47"/>
      <c r="Y1292" s="47"/>
      <c r="Z1292" s="3" t="s">
        <v>1451</v>
      </c>
      <c r="AA1292" s="12"/>
      <c r="AB1292" s="12"/>
      <c r="AC1292" s="12"/>
      <c r="AD1292" s="12" t="s">
        <v>51</v>
      </c>
      <c r="AE1292" s="12" t="s">
        <v>51</v>
      </c>
      <c r="AF1292" s="12" t="s">
        <v>51</v>
      </c>
      <c r="AG1292" s="12"/>
      <c r="AH1292" s="47" t="s">
        <v>52</v>
      </c>
      <c r="AI1292" s="12">
        <v>0</v>
      </c>
      <c r="AJ1292" s="12"/>
      <c r="AK1292" s="12"/>
      <c r="AL1292" s="12"/>
      <c r="AM1292" s="12"/>
      <c r="AN1292" s="47" t="s">
        <v>47</v>
      </c>
      <c r="AO1292" s="216">
        <v>3237</v>
      </c>
      <c r="AP1292" s="12" t="s">
        <v>53</v>
      </c>
      <c r="AQ1292" s="2">
        <v>0</v>
      </c>
    </row>
    <row r="1293" s="3" customFormat="1" ht="15.75" customHeight="1" spans="1:43">
      <c r="A1293" s="89">
        <v>310090</v>
      </c>
      <c r="B1293" s="178" t="s">
        <v>1461</v>
      </c>
      <c r="C1293" s="12"/>
      <c r="D1293" s="12"/>
      <c r="E1293" s="12"/>
      <c r="F1293" s="12">
        <v>0</v>
      </c>
      <c r="G1293" s="12">
        <v>0</v>
      </c>
      <c r="H1293" s="12">
        <v>1.15</v>
      </c>
      <c r="I1293" s="12">
        <v>7</v>
      </c>
      <c r="J1293" s="12">
        <v>0</v>
      </c>
      <c r="K1293" s="12" t="s">
        <v>46</v>
      </c>
      <c r="L1293" s="47" t="s">
        <v>47</v>
      </c>
      <c r="M1293" s="76">
        <v>540012</v>
      </c>
      <c r="N1293" s="12">
        <v>0</v>
      </c>
      <c r="O1293" s="47" t="s">
        <v>48</v>
      </c>
      <c r="P1293" s="12">
        <v>0</v>
      </c>
      <c r="Q1293" s="12"/>
      <c r="R1293" s="12"/>
      <c r="S1293" s="12">
        <v>0</v>
      </c>
      <c r="T1293" s="12">
        <v>0</v>
      </c>
      <c r="U1293" s="12"/>
      <c r="V1293" s="12"/>
      <c r="W1293" s="47" t="s">
        <v>47</v>
      </c>
      <c r="X1293" s="47"/>
      <c r="Y1293" s="47"/>
      <c r="Z1293" t="s">
        <v>1451</v>
      </c>
      <c r="AA1293" s="12"/>
      <c r="AB1293" s="12"/>
      <c r="AC1293" s="12"/>
      <c r="AD1293" s="12" t="s">
        <v>51</v>
      </c>
      <c r="AE1293" s="12" t="s">
        <v>51</v>
      </c>
      <c r="AF1293" s="12" t="s">
        <v>51</v>
      </c>
      <c r="AG1293" s="12"/>
      <c r="AH1293" s="47" t="s">
        <v>52</v>
      </c>
      <c r="AI1293" s="12">
        <v>0</v>
      </c>
      <c r="AJ1293" s="12"/>
      <c r="AK1293" s="12"/>
      <c r="AL1293" s="12"/>
      <c r="AM1293" s="12"/>
      <c r="AN1293" s="47" t="s">
        <v>47</v>
      </c>
      <c r="AO1293" s="216">
        <v>3238</v>
      </c>
      <c r="AP1293" s="12" t="s">
        <v>53</v>
      </c>
      <c r="AQ1293" s="2">
        <v>0</v>
      </c>
    </row>
    <row r="1294" s="3" customFormat="1" ht="15.75" customHeight="1" spans="1:43">
      <c r="A1294" s="89">
        <v>310091</v>
      </c>
      <c r="B1294" s="178" t="s">
        <v>1461</v>
      </c>
      <c r="C1294" s="12"/>
      <c r="D1294" s="12"/>
      <c r="E1294" s="12"/>
      <c r="F1294" s="12">
        <v>0</v>
      </c>
      <c r="G1294" s="12">
        <v>0</v>
      </c>
      <c r="H1294" s="12">
        <v>1.15</v>
      </c>
      <c r="I1294" s="12">
        <v>7</v>
      </c>
      <c r="J1294" s="12">
        <v>0</v>
      </c>
      <c r="K1294" s="12" t="s">
        <v>46</v>
      </c>
      <c r="L1294" s="47" t="s">
        <v>47</v>
      </c>
      <c r="M1294" s="76">
        <v>540012</v>
      </c>
      <c r="N1294" s="12">
        <v>0</v>
      </c>
      <c r="O1294" s="47" t="s">
        <v>48</v>
      </c>
      <c r="P1294" s="12">
        <v>0</v>
      </c>
      <c r="Q1294" s="12"/>
      <c r="R1294" s="12"/>
      <c r="S1294" s="12">
        <v>0</v>
      </c>
      <c r="T1294" s="12">
        <v>0</v>
      </c>
      <c r="U1294" s="12"/>
      <c r="V1294" s="12"/>
      <c r="W1294" s="47" t="s">
        <v>47</v>
      </c>
      <c r="X1294" s="47"/>
      <c r="Y1294" s="47"/>
      <c r="Z1294" t="s">
        <v>1451</v>
      </c>
      <c r="AA1294" s="12"/>
      <c r="AB1294" s="12"/>
      <c r="AC1294" s="12"/>
      <c r="AD1294" s="12" t="s">
        <v>51</v>
      </c>
      <c r="AE1294" s="12" t="s">
        <v>51</v>
      </c>
      <c r="AF1294" s="12" t="s">
        <v>51</v>
      </c>
      <c r="AG1294" s="12"/>
      <c r="AH1294" s="47" t="s">
        <v>52</v>
      </c>
      <c r="AI1294" s="12">
        <v>0</v>
      </c>
      <c r="AJ1294" s="12"/>
      <c r="AK1294" s="12"/>
      <c r="AL1294" s="12"/>
      <c r="AM1294" s="12"/>
      <c r="AN1294" s="47" t="s">
        <v>47</v>
      </c>
      <c r="AO1294" s="216">
        <v>3239</v>
      </c>
      <c r="AP1294" s="12" t="s">
        <v>53</v>
      </c>
      <c r="AQ1294" s="2">
        <v>0</v>
      </c>
    </row>
    <row r="1295" s="3" customFormat="1" ht="18" customHeight="1" spans="1:43">
      <c r="A1295" s="89">
        <v>310092</v>
      </c>
      <c r="B1295" s="178" t="s">
        <v>1461</v>
      </c>
      <c r="C1295" s="12"/>
      <c r="D1295" s="12"/>
      <c r="E1295" s="12"/>
      <c r="F1295" s="12">
        <v>0</v>
      </c>
      <c r="G1295" s="12">
        <v>0</v>
      </c>
      <c r="H1295" s="12">
        <v>1.15</v>
      </c>
      <c r="I1295" s="12">
        <v>7</v>
      </c>
      <c r="J1295" s="12">
        <v>0</v>
      </c>
      <c r="K1295" s="12" t="s">
        <v>46</v>
      </c>
      <c r="L1295" s="47" t="s">
        <v>47</v>
      </c>
      <c r="M1295" s="76">
        <v>540012</v>
      </c>
      <c r="N1295" s="12">
        <v>0</v>
      </c>
      <c r="O1295" s="47" t="s">
        <v>48</v>
      </c>
      <c r="P1295" s="12">
        <v>0</v>
      </c>
      <c r="Q1295" s="12"/>
      <c r="R1295" s="12"/>
      <c r="S1295" s="12">
        <v>0</v>
      </c>
      <c r="T1295" s="12">
        <v>0</v>
      </c>
      <c r="U1295" s="12"/>
      <c r="V1295" s="12"/>
      <c r="W1295" s="47" t="s">
        <v>47</v>
      </c>
      <c r="X1295" s="47"/>
      <c r="Y1295" s="47"/>
      <c r="Z1295" t="s">
        <v>1451</v>
      </c>
      <c r="AA1295" s="12"/>
      <c r="AB1295" s="12"/>
      <c r="AC1295" s="12"/>
      <c r="AD1295" s="12" t="s">
        <v>51</v>
      </c>
      <c r="AE1295" s="12" t="s">
        <v>51</v>
      </c>
      <c r="AF1295" s="12" t="s">
        <v>51</v>
      </c>
      <c r="AG1295" s="12"/>
      <c r="AH1295" s="47" t="s">
        <v>52</v>
      </c>
      <c r="AI1295" s="12">
        <v>0</v>
      </c>
      <c r="AJ1295" s="12"/>
      <c r="AK1295" s="12"/>
      <c r="AL1295" s="12"/>
      <c r="AM1295" s="12"/>
      <c r="AN1295" s="47" t="s">
        <v>47</v>
      </c>
      <c r="AO1295" s="216">
        <v>3240</v>
      </c>
      <c r="AP1295" s="12" t="s">
        <v>53</v>
      </c>
      <c r="AQ1295" s="2">
        <v>0</v>
      </c>
    </row>
    <row r="1296" s="3" customFormat="1" ht="15.75" customHeight="1" spans="1:43">
      <c r="A1296" s="89">
        <v>310093</v>
      </c>
      <c r="B1296" s="178" t="s">
        <v>1461</v>
      </c>
      <c r="C1296" s="12"/>
      <c r="D1296" s="12"/>
      <c r="E1296" s="12"/>
      <c r="F1296" s="12">
        <v>0</v>
      </c>
      <c r="G1296" s="12">
        <v>0</v>
      </c>
      <c r="H1296" s="12">
        <v>1.15</v>
      </c>
      <c r="I1296" s="12">
        <v>7</v>
      </c>
      <c r="J1296" s="12">
        <v>0</v>
      </c>
      <c r="K1296" s="12" t="s">
        <v>46</v>
      </c>
      <c r="L1296" s="47" t="s">
        <v>47</v>
      </c>
      <c r="M1296" s="76">
        <v>540012</v>
      </c>
      <c r="N1296" s="12">
        <v>0</v>
      </c>
      <c r="O1296" s="47" t="s">
        <v>48</v>
      </c>
      <c r="P1296" s="12">
        <v>0</v>
      </c>
      <c r="Q1296" s="12"/>
      <c r="R1296" s="12"/>
      <c r="S1296" s="12">
        <v>0</v>
      </c>
      <c r="T1296" s="12">
        <v>0</v>
      </c>
      <c r="U1296" s="12"/>
      <c r="V1296" s="12"/>
      <c r="W1296" s="47" t="s">
        <v>47</v>
      </c>
      <c r="X1296" s="47"/>
      <c r="Y1296" s="47"/>
      <c r="Z1296" t="s">
        <v>1451</v>
      </c>
      <c r="AA1296" s="12"/>
      <c r="AB1296" s="12"/>
      <c r="AC1296" s="12"/>
      <c r="AD1296" s="12" t="s">
        <v>51</v>
      </c>
      <c r="AE1296" s="12" t="s">
        <v>51</v>
      </c>
      <c r="AF1296" s="12" t="s">
        <v>51</v>
      </c>
      <c r="AG1296" s="12"/>
      <c r="AH1296" s="47" t="s">
        <v>52</v>
      </c>
      <c r="AI1296" s="12">
        <v>0</v>
      </c>
      <c r="AJ1296" s="12"/>
      <c r="AK1296" s="12"/>
      <c r="AL1296" s="12"/>
      <c r="AM1296" s="12"/>
      <c r="AN1296" s="47" t="s">
        <v>47</v>
      </c>
      <c r="AO1296" s="216">
        <v>3241</v>
      </c>
      <c r="AP1296" s="12" t="s">
        <v>53</v>
      </c>
      <c r="AQ1296" s="2">
        <v>0</v>
      </c>
    </row>
    <row r="1297" s="3" customFormat="1" ht="15.75" customHeight="1" spans="1:43">
      <c r="A1297" s="89">
        <v>310094</v>
      </c>
      <c r="B1297" s="178" t="s">
        <v>1461</v>
      </c>
      <c r="C1297" s="12"/>
      <c r="D1297" s="12"/>
      <c r="E1297" s="12"/>
      <c r="F1297" s="12">
        <v>0</v>
      </c>
      <c r="G1297" s="12">
        <v>0</v>
      </c>
      <c r="H1297" s="12">
        <v>1.15</v>
      </c>
      <c r="I1297" s="12">
        <v>7</v>
      </c>
      <c r="J1297" s="12">
        <v>0</v>
      </c>
      <c r="K1297" s="12" t="s">
        <v>46</v>
      </c>
      <c r="L1297" s="47" t="s">
        <v>47</v>
      </c>
      <c r="M1297" s="76">
        <v>540012</v>
      </c>
      <c r="N1297" s="12">
        <v>0</v>
      </c>
      <c r="O1297" s="47" t="s">
        <v>48</v>
      </c>
      <c r="P1297" s="12">
        <v>0</v>
      </c>
      <c r="Q1297" s="12"/>
      <c r="R1297" s="12"/>
      <c r="S1297" s="12">
        <v>0</v>
      </c>
      <c r="T1297" s="12">
        <v>0</v>
      </c>
      <c r="U1297" s="12"/>
      <c r="V1297" s="12"/>
      <c r="W1297" s="47" t="s">
        <v>47</v>
      </c>
      <c r="X1297" s="47"/>
      <c r="Y1297" s="47"/>
      <c r="Z1297" t="s">
        <v>1451</v>
      </c>
      <c r="AA1297" s="12"/>
      <c r="AB1297" s="12"/>
      <c r="AC1297" s="12"/>
      <c r="AD1297" s="12" t="s">
        <v>51</v>
      </c>
      <c r="AE1297" s="12" t="s">
        <v>51</v>
      </c>
      <c r="AF1297" s="12" t="s">
        <v>51</v>
      </c>
      <c r="AG1297" s="12"/>
      <c r="AH1297" s="47" t="s">
        <v>52</v>
      </c>
      <c r="AI1297" s="12">
        <v>0</v>
      </c>
      <c r="AJ1297" s="12"/>
      <c r="AK1297" s="12"/>
      <c r="AL1297" s="12"/>
      <c r="AM1297" s="12"/>
      <c r="AN1297" s="47" t="s">
        <v>47</v>
      </c>
      <c r="AO1297" s="216">
        <v>3242</v>
      </c>
      <c r="AP1297" s="12" t="s">
        <v>53</v>
      </c>
      <c r="AQ1297" s="2">
        <v>0</v>
      </c>
    </row>
    <row r="1298" s="3" customFormat="1" ht="18" customHeight="1" spans="1:43">
      <c r="A1298" s="89">
        <v>310095</v>
      </c>
      <c r="B1298" s="178" t="s">
        <v>1461</v>
      </c>
      <c r="C1298" s="12"/>
      <c r="D1298" s="12"/>
      <c r="E1298" s="12"/>
      <c r="F1298" s="12">
        <v>0</v>
      </c>
      <c r="G1298" s="12">
        <v>0</v>
      </c>
      <c r="H1298" s="12">
        <v>1.15</v>
      </c>
      <c r="I1298" s="12">
        <v>7</v>
      </c>
      <c r="J1298" s="12">
        <v>0</v>
      </c>
      <c r="K1298" s="12" t="s">
        <v>46</v>
      </c>
      <c r="L1298" s="47" t="s">
        <v>47</v>
      </c>
      <c r="M1298" s="76">
        <v>540012</v>
      </c>
      <c r="N1298" s="12">
        <v>0</v>
      </c>
      <c r="O1298" s="47" t="s">
        <v>48</v>
      </c>
      <c r="P1298" s="12">
        <v>0</v>
      </c>
      <c r="Q1298" s="12"/>
      <c r="R1298" s="12"/>
      <c r="S1298" s="12">
        <v>0</v>
      </c>
      <c r="T1298" s="12">
        <v>0</v>
      </c>
      <c r="U1298" s="12"/>
      <c r="V1298" s="12"/>
      <c r="W1298" s="47" t="s">
        <v>47</v>
      </c>
      <c r="X1298" s="47"/>
      <c r="Y1298" s="47"/>
      <c r="Z1298" t="s">
        <v>1451</v>
      </c>
      <c r="AA1298" s="12"/>
      <c r="AB1298" s="12"/>
      <c r="AC1298" s="12"/>
      <c r="AD1298" s="12" t="s">
        <v>51</v>
      </c>
      <c r="AE1298" s="12" t="s">
        <v>51</v>
      </c>
      <c r="AF1298" s="12" t="s">
        <v>51</v>
      </c>
      <c r="AG1298" s="12"/>
      <c r="AH1298" s="47" t="s">
        <v>52</v>
      </c>
      <c r="AI1298" s="12">
        <v>0</v>
      </c>
      <c r="AJ1298" s="12"/>
      <c r="AK1298" s="12"/>
      <c r="AL1298" s="12"/>
      <c r="AM1298" s="12"/>
      <c r="AN1298" s="47" t="s">
        <v>47</v>
      </c>
      <c r="AO1298" s="216">
        <v>3243</v>
      </c>
      <c r="AP1298" s="12" t="s">
        <v>53</v>
      </c>
      <c r="AQ1298" s="2">
        <v>0</v>
      </c>
    </row>
    <row r="1299" s="3" customFormat="1" ht="15.75" customHeight="1" spans="1:43">
      <c r="A1299" s="89">
        <v>310096</v>
      </c>
      <c r="B1299" s="178" t="s">
        <v>1461</v>
      </c>
      <c r="C1299" s="12"/>
      <c r="D1299" s="12"/>
      <c r="E1299" s="12"/>
      <c r="F1299" s="12">
        <v>0</v>
      </c>
      <c r="G1299" s="12">
        <v>0</v>
      </c>
      <c r="H1299" s="12">
        <v>1.15</v>
      </c>
      <c r="I1299" s="12">
        <v>7</v>
      </c>
      <c r="J1299" s="12">
        <v>0</v>
      </c>
      <c r="K1299" s="12" t="s">
        <v>46</v>
      </c>
      <c r="L1299" s="47" t="s">
        <v>47</v>
      </c>
      <c r="M1299" s="76">
        <v>540012</v>
      </c>
      <c r="N1299" s="12">
        <v>0</v>
      </c>
      <c r="O1299" s="47" t="s">
        <v>48</v>
      </c>
      <c r="P1299" s="12">
        <v>0</v>
      </c>
      <c r="Q1299" s="12"/>
      <c r="R1299" s="12"/>
      <c r="S1299" s="12">
        <v>0</v>
      </c>
      <c r="T1299" s="12">
        <v>0</v>
      </c>
      <c r="U1299" s="12"/>
      <c r="V1299" s="12"/>
      <c r="W1299" s="47" t="s">
        <v>47</v>
      </c>
      <c r="X1299" s="47"/>
      <c r="Y1299" s="47"/>
      <c r="Z1299" t="s">
        <v>1451</v>
      </c>
      <c r="AA1299" s="12"/>
      <c r="AB1299" s="12"/>
      <c r="AC1299" s="12"/>
      <c r="AD1299" s="12" t="s">
        <v>51</v>
      </c>
      <c r="AE1299" s="12" t="s">
        <v>51</v>
      </c>
      <c r="AF1299" s="12" t="s">
        <v>51</v>
      </c>
      <c r="AG1299" s="12"/>
      <c r="AH1299" s="47" t="s">
        <v>52</v>
      </c>
      <c r="AI1299" s="12">
        <v>0</v>
      </c>
      <c r="AJ1299" s="12"/>
      <c r="AK1299" s="12"/>
      <c r="AL1299" s="12"/>
      <c r="AM1299" s="12"/>
      <c r="AN1299" s="47" t="s">
        <v>47</v>
      </c>
      <c r="AO1299" s="216">
        <v>3244</v>
      </c>
      <c r="AP1299" s="12" t="s">
        <v>53</v>
      </c>
      <c r="AQ1299" s="2">
        <v>0</v>
      </c>
    </row>
    <row r="1300" s="3" customFormat="1" ht="15.75" customHeight="1" spans="1:43">
      <c r="A1300" s="89">
        <v>310097</v>
      </c>
      <c r="B1300" s="178" t="s">
        <v>1461</v>
      </c>
      <c r="C1300" s="12"/>
      <c r="D1300" s="12"/>
      <c r="E1300" s="12"/>
      <c r="F1300" s="12">
        <v>0</v>
      </c>
      <c r="G1300" s="12">
        <v>0</v>
      </c>
      <c r="H1300" s="12">
        <v>1.15</v>
      </c>
      <c r="I1300" s="12">
        <v>7</v>
      </c>
      <c r="J1300" s="12">
        <v>0</v>
      </c>
      <c r="K1300" s="12" t="s">
        <v>46</v>
      </c>
      <c r="L1300" s="47" t="s">
        <v>47</v>
      </c>
      <c r="M1300" s="76">
        <v>540012</v>
      </c>
      <c r="N1300" s="12">
        <v>0</v>
      </c>
      <c r="O1300" s="47" t="s">
        <v>48</v>
      </c>
      <c r="P1300" s="12">
        <v>0</v>
      </c>
      <c r="Q1300" s="12"/>
      <c r="R1300" s="12"/>
      <c r="S1300" s="12">
        <v>0</v>
      </c>
      <c r="T1300" s="12">
        <v>0</v>
      </c>
      <c r="U1300" s="12"/>
      <c r="V1300" s="12"/>
      <c r="W1300" s="47" t="s">
        <v>47</v>
      </c>
      <c r="X1300" s="47"/>
      <c r="Y1300" s="47"/>
      <c r="Z1300" t="s">
        <v>1451</v>
      </c>
      <c r="AA1300" s="12"/>
      <c r="AB1300" s="12"/>
      <c r="AC1300" s="12"/>
      <c r="AD1300" s="12" t="s">
        <v>51</v>
      </c>
      <c r="AE1300" s="12" t="s">
        <v>51</v>
      </c>
      <c r="AF1300" s="12" t="s">
        <v>51</v>
      </c>
      <c r="AG1300" s="12"/>
      <c r="AH1300" s="47" t="s">
        <v>52</v>
      </c>
      <c r="AI1300" s="12">
        <v>0</v>
      </c>
      <c r="AJ1300" s="12"/>
      <c r="AK1300" s="12"/>
      <c r="AL1300" s="12"/>
      <c r="AM1300" s="12"/>
      <c r="AN1300" s="47" t="s">
        <v>47</v>
      </c>
      <c r="AO1300" s="216">
        <v>3245</v>
      </c>
      <c r="AP1300" s="12" t="s">
        <v>53</v>
      </c>
      <c r="AQ1300" s="2">
        <v>0</v>
      </c>
    </row>
    <row r="1301" s="3" customFormat="1" ht="15.75" customHeight="1" spans="1:43">
      <c r="A1301" s="89">
        <v>310098</v>
      </c>
      <c r="B1301" s="178" t="s">
        <v>1461</v>
      </c>
      <c r="C1301" s="12"/>
      <c r="D1301" s="12"/>
      <c r="E1301" s="12"/>
      <c r="F1301" s="12">
        <v>0</v>
      </c>
      <c r="G1301" s="12">
        <v>0</v>
      </c>
      <c r="H1301" s="12">
        <v>1.15</v>
      </c>
      <c r="I1301" s="12">
        <v>7</v>
      </c>
      <c r="J1301" s="12">
        <v>0</v>
      </c>
      <c r="K1301" s="12" t="s">
        <v>46</v>
      </c>
      <c r="L1301" s="47" t="s">
        <v>47</v>
      </c>
      <c r="M1301" s="76">
        <v>540012</v>
      </c>
      <c r="N1301" s="12">
        <v>0</v>
      </c>
      <c r="O1301" s="47" t="s">
        <v>48</v>
      </c>
      <c r="P1301" s="12">
        <v>0</v>
      </c>
      <c r="Q1301" s="12"/>
      <c r="R1301" s="12"/>
      <c r="S1301" s="12">
        <v>0</v>
      </c>
      <c r="T1301" s="12">
        <v>0</v>
      </c>
      <c r="U1301" s="12"/>
      <c r="V1301" s="12"/>
      <c r="W1301" s="47" t="s">
        <v>47</v>
      </c>
      <c r="X1301" s="47"/>
      <c r="Y1301" s="47"/>
      <c r="Z1301" t="s">
        <v>1451</v>
      </c>
      <c r="AA1301" s="12"/>
      <c r="AB1301" s="12"/>
      <c r="AC1301" s="12"/>
      <c r="AD1301" s="12" t="s">
        <v>51</v>
      </c>
      <c r="AE1301" s="12" t="s">
        <v>51</v>
      </c>
      <c r="AF1301" s="12" t="s">
        <v>51</v>
      </c>
      <c r="AG1301" s="12"/>
      <c r="AH1301" s="47" t="s">
        <v>52</v>
      </c>
      <c r="AI1301" s="12">
        <v>0</v>
      </c>
      <c r="AJ1301" s="12"/>
      <c r="AK1301" s="12"/>
      <c r="AL1301" s="12"/>
      <c r="AM1301" s="12"/>
      <c r="AN1301" s="47" t="s">
        <v>47</v>
      </c>
      <c r="AO1301" s="216">
        <v>3246</v>
      </c>
      <c r="AP1301" s="12" t="s">
        <v>53</v>
      </c>
      <c r="AQ1301" s="2">
        <v>0</v>
      </c>
    </row>
  </sheetData>
  <autoFilter ref="A1:AP1301"/>
  <dataValidations count="1">
    <dataValidation allowBlank="1" showInputMessage="1" showErrorMessage="1" prompt="6大门派师傅" sqref="K606:K664 K799:K848 K882:K898 K1175:K1185"/>
  </dataValidations>
  <pageMargins left="0.75" right="0.75" top="1" bottom="1" header="0.5" footer="0.5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K907"/>
  <sheetViews>
    <sheetView topLeftCell="A66" workbookViewId="0">
      <selection activeCell="K74" sqref="K74:K84"/>
    </sheetView>
  </sheetViews>
  <sheetFormatPr defaultColWidth="9" defaultRowHeight="13.5"/>
  <sheetData>
    <row r="1" spans="1:11">
      <c r="A1" t="s">
        <v>0</v>
      </c>
      <c r="B1" t="s">
        <v>1</v>
      </c>
      <c r="C1" t="s">
        <v>16</v>
      </c>
      <c r="D1" t="s">
        <v>17</v>
      </c>
      <c r="E1" t="s">
        <v>20</v>
      </c>
      <c r="F1" t="s">
        <v>1462</v>
      </c>
      <c r="G1" t="s">
        <v>1463</v>
      </c>
      <c r="H1" t="s">
        <v>1464</v>
      </c>
      <c r="I1" t="s">
        <v>1465</v>
      </c>
      <c r="J1" t="s">
        <v>1466</v>
      </c>
      <c r="K1" t="s">
        <v>1467</v>
      </c>
    </row>
    <row r="2" spans="1:11">
      <c r="A2">
        <f>Sheet1!A2</f>
        <v>99998</v>
      </c>
      <c r="B2" t="str">
        <f>Sheet1!B2</f>
        <v>来打我啊</v>
      </c>
      <c r="C2">
        <f>Sheet1!Q2</f>
        <v>0</v>
      </c>
      <c r="D2">
        <f>Sheet1!R2</f>
        <v>0</v>
      </c>
      <c r="E2">
        <f>Sheet1!U2</f>
        <v>0</v>
      </c>
      <c r="F2" t="str">
        <f t="shared" ref="F2" si="0">F1</f>
        <v>&lt;record id="</v>
      </c>
      <c r="G2" t="str">
        <f t="shared" ref="G2" si="1">G1</f>
        <v>" posx="</v>
      </c>
      <c r="H2" t="str">
        <f t="shared" ref="H2" si="2">H1</f>
        <v>" posy="</v>
      </c>
      <c r="I2" t="str">
        <f t="shared" ref="I2" si="3">I1</f>
        <v>" dir="</v>
      </c>
      <c r="J2" t="str">
        <f t="shared" ref="J2" si="4">J1</f>
        <v>"/&gt;</v>
      </c>
      <c r="K2" t="str">
        <f>F2&amp;A2&amp;G2&amp;C2&amp;H2&amp;D2&amp;I2&amp;E2&amp;J2</f>
        <v>&lt;record id="99998" posx="0" posy="0" dir="0"/&gt;</v>
      </c>
    </row>
    <row r="3" spans="1:11">
      <c r="A3">
        <f>Sheet1!A3</f>
        <v>99999</v>
      </c>
      <c r="B3" t="str">
        <f>Sheet1!B3</f>
        <v>测试沙包</v>
      </c>
      <c r="C3">
        <f>Sheet1!Q3</f>
        <v>0</v>
      </c>
      <c r="D3">
        <f>Sheet1!R3</f>
        <v>0</v>
      </c>
      <c r="E3">
        <f>Sheet1!U3</f>
        <v>0</v>
      </c>
      <c r="F3" t="str">
        <f t="shared" ref="F3" si="5">F2</f>
        <v>&lt;record id="</v>
      </c>
      <c r="G3" t="str">
        <f t="shared" ref="G3" si="6">G2</f>
        <v>" posx="</v>
      </c>
      <c r="H3" t="str">
        <f t="shared" ref="H3" si="7">H2</f>
        <v>" posy="</v>
      </c>
      <c r="I3" t="str">
        <f t="shared" ref="I3" si="8">I2</f>
        <v>" dir="</v>
      </c>
      <c r="J3" t="str">
        <f t="shared" ref="J3" si="9">J2</f>
        <v>"/&gt;</v>
      </c>
      <c r="K3" t="str">
        <f t="shared" ref="K3" si="10">F3&amp;A3&amp;G3&amp;C3&amp;H3&amp;D3&amp;I3&amp;E3&amp;J3</f>
        <v>&lt;record id="99999" posx="0" posy="0" dir="0"/&gt;</v>
      </c>
    </row>
    <row r="4" spans="1:11">
      <c r="A4" t="str">
        <f>Sheet1!A4</f>
        <v>13105</v>
      </c>
      <c r="B4" t="str">
        <f>Sheet1!B4</f>
        <v>东海龙王</v>
      </c>
      <c r="C4">
        <f>Sheet1!Q4</f>
        <v>912</v>
      </c>
      <c r="D4">
        <f>Sheet1!R4</f>
        <v>496</v>
      </c>
      <c r="E4">
        <f>Sheet1!U4</f>
        <v>5</v>
      </c>
      <c r="F4" t="str">
        <f t="shared" ref="F4" si="11">F3</f>
        <v>&lt;record id="</v>
      </c>
      <c r="G4" t="str">
        <f t="shared" ref="G4" si="12">G3</f>
        <v>" posx="</v>
      </c>
      <c r="H4" t="str">
        <f t="shared" ref="H4" si="13">H3</f>
        <v>" posy="</v>
      </c>
      <c r="I4" t="str">
        <f t="shared" ref="I4" si="14">I3</f>
        <v>" dir="</v>
      </c>
      <c r="J4" t="str">
        <f t="shared" ref="J4" si="15">J3</f>
        <v>"/&gt;</v>
      </c>
      <c r="K4" t="str">
        <f t="shared" ref="K4" si="16">F4&amp;A4&amp;G4&amp;C4&amp;H4&amp;D4&amp;I4&amp;E4&amp;J4</f>
        <v>&lt;record id="13105" posx="912" posy="496" dir="5"/&gt;</v>
      </c>
    </row>
    <row r="5" spans="1:11">
      <c r="A5">
        <f>Sheet1!A5</f>
        <v>161701</v>
      </c>
      <c r="B5" t="str">
        <f>Sheet1!B5</f>
        <v>恭喜发财</v>
      </c>
      <c r="C5">
        <f>Sheet1!Q5</f>
        <v>720</v>
      </c>
      <c r="D5">
        <f>Sheet1!R5</f>
        <v>512</v>
      </c>
      <c r="E5">
        <f>Sheet1!U5</f>
        <v>3</v>
      </c>
      <c r="F5" t="str">
        <f t="shared" ref="F5" si="17">F4</f>
        <v>&lt;record id="</v>
      </c>
      <c r="G5" t="str">
        <f t="shared" ref="G5" si="18">G4</f>
        <v>" posx="</v>
      </c>
      <c r="H5" t="str">
        <f t="shared" ref="H5" si="19">H4</f>
        <v>" posy="</v>
      </c>
      <c r="I5" t="str">
        <f t="shared" ref="I5" si="20">I4</f>
        <v>" dir="</v>
      </c>
      <c r="J5" t="str">
        <f t="shared" ref="J5" si="21">J4</f>
        <v>"/&gt;</v>
      </c>
      <c r="K5" t="str">
        <f t="shared" ref="K5" si="22">F5&amp;A5&amp;G5&amp;C5&amp;H5&amp;D5&amp;I5&amp;E5&amp;J5</f>
        <v>&lt;record id="161701" posx="720" posy="512" dir="3"/&gt;</v>
      </c>
    </row>
    <row r="6" spans="1:11">
      <c r="A6" t="str">
        <f>Sheet1!A6</f>
        <v>161702</v>
      </c>
      <c r="B6" t="str">
        <f>Sheet1!B6</f>
        <v>龙宫代表队</v>
      </c>
      <c r="C6">
        <f>Sheet1!Q6</f>
        <v>720</v>
      </c>
      <c r="D6">
        <f>Sheet1!R6</f>
        <v>512</v>
      </c>
      <c r="E6">
        <f>Sheet1!U6</f>
        <v>5</v>
      </c>
      <c r="F6" t="str">
        <f t="shared" ref="F6" si="23">F5</f>
        <v>&lt;record id="</v>
      </c>
      <c r="G6" t="str">
        <f t="shared" ref="G6" si="24">G5</f>
        <v>" posx="</v>
      </c>
      <c r="H6" t="str">
        <f t="shared" ref="H6" si="25">H5</f>
        <v>" posy="</v>
      </c>
      <c r="I6" t="str">
        <f t="shared" ref="I6" si="26">I5</f>
        <v>" dir="</v>
      </c>
      <c r="J6" t="str">
        <f t="shared" ref="J6" si="27">J5</f>
        <v>"/&gt;</v>
      </c>
      <c r="K6" t="str">
        <f t="shared" ref="K6" si="28">F6&amp;A6&amp;G6&amp;C6&amp;H6&amp;D6&amp;I6&amp;E6&amp;J6</f>
        <v>&lt;record id="161702" posx="720" posy="512" dir="5"/&gt;</v>
      </c>
    </row>
    <row r="7" spans="1:11">
      <c r="A7">
        <f>Sheet1!A7</f>
        <v>161703</v>
      </c>
      <c r="B7" t="str">
        <f>Sheet1!B7</f>
        <v>传送人</v>
      </c>
      <c r="C7">
        <f>Sheet1!Q7</f>
        <v>169</v>
      </c>
      <c r="D7">
        <f>Sheet1!R7</f>
        <v>1068</v>
      </c>
      <c r="E7">
        <f>Sheet1!U7</f>
        <v>3</v>
      </c>
      <c r="F7" t="str">
        <f t="shared" ref="F7" si="29">F6</f>
        <v>&lt;record id="</v>
      </c>
      <c r="G7" t="str">
        <f t="shared" ref="G7" si="30">G6</f>
        <v>" posx="</v>
      </c>
      <c r="H7" t="str">
        <f t="shared" ref="H7" si="31">H6</f>
        <v>" posy="</v>
      </c>
      <c r="I7" t="str">
        <f t="shared" ref="I7" si="32">I6</f>
        <v>" dir="</v>
      </c>
      <c r="J7" t="str">
        <f t="shared" ref="J7" si="33">J6</f>
        <v>"/&gt;</v>
      </c>
      <c r="K7" t="str">
        <f t="shared" ref="K7" si="34">F7&amp;A7&amp;G7&amp;C7&amp;H7&amp;D7&amp;I7&amp;E7&amp;J7</f>
        <v>&lt;record id="161703" posx="169" posy="1068" dir="3"/&gt;</v>
      </c>
    </row>
    <row r="8" spans="1:11">
      <c r="A8" t="str">
        <f>Sheet1!A9</f>
        <v>13104</v>
      </c>
      <c r="B8" t="str">
        <f>Sheet1!B9</f>
        <v>程咬金</v>
      </c>
      <c r="C8">
        <f>Sheet1!Q9</f>
        <v>448</v>
      </c>
      <c r="D8">
        <f>Sheet1!R9</f>
        <v>320</v>
      </c>
      <c r="E8">
        <f>Sheet1!U9</f>
        <v>3</v>
      </c>
      <c r="F8" t="str">
        <f t="shared" ref="F8" si="35">F7</f>
        <v>&lt;record id="</v>
      </c>
      <c r="G8" t="str">
        <f t="shared" ref="G8" si="36">G7</f>
        <v>" posx="</v>
      </c>
      <c r="H8" t="str">
        <f t="shared" ref="H8" si="37">H7</f>
        <v>" posy="</v>
      </c>
      <c r="I8" t="str">
        <f t="shared" ref="I8" si="38">I7</f>
        <v>" dir="</v>
      </c>
      <c r="J8" t="str">
        <f t="shared" ref="J8" si="39">J7</f>
        <v>"/&gt;</v>
      </c>
      <c r="K8" t="str">
        <f t="shared" ref="K8" si="40">F8&amp;A8&amp;G8&amp;C8&amp;H8&amp;D8&amp;I8&amp;E8&amp;J8</f>
        <v>&lt;record id="13104" posx="448" posy="320" dir="3"/&gt;</v>
      </c>
    </row>
    <row r="9" spans="1:11">
      <c r="A9" t="str">
        <f>Sheet1!A10</f>
        <v>161801</v>
      </c>
      <c r="B9" t="str">
        <f>Sheet1!B10</f>
        <v>恭喜发财</v>
      </c>
      <c r="C9">
        <f>Sheet1!Q10</f>
        <v>528</v>
      </c>
      <c r="D9">
        <f>Sheet1!R10</f>
        <v>608</v>
      </c>
      <c r="E9">
        <f>Sheet1!U10</f>
        <v>4</v>
      </c>
      <c r="F9" t="str">
        <f t="shared" ref="F9" si="41">F8</f>
        <v>&lt;record id="</v>
      </c>
      <c r="G9" t="str">
        <f t="shared" ref="G9" si="42">G8</f>
        <v>" posx="</v>
      </c>
      <c r="H9" t="str">
        <f t="shared" ref="H9" si="43">H8</f>
        <v>" posy="</v>
      </c>
      <c r="I9" t="str">
        <f t="shared" ref="I9" si="44">I8</f>
        <v>" dir="</v>
      </c>
      <c r="J9" t="str">
        <f t="shared" ref="J9" si="45">J8</f>
        <v>"/&gt;</v>
      </c>
      <c r="K9" t="str">
        <f t="shared" ref="K9" si="46">F9&amp;A9&amp;G9&amp;C9&amp;H9&amp;D9&amp;I9&amp;E9&amp;J9</f>
        <v>&lt;record id="161801" posx="528" posy="608" dir="4"/&gt;</v>
      </c>
    </row>
    <row r="10" spans="1:11">
      <c r="A10" t="str">
        <f>Sheet1!A11</f>
        <v>161803</v>
      </c>
      <c r="B10" t="str">
        <f>Sheet1!B11</f>
        <v>大唐官府代表队</v>
      </c>
      <c r="C10">
        <f>Sheet1!Q11</f>
        <v>528</v>
      </c>
      <c r="D10">
        <f>Sheet1!R11</f>
        <v>608</v>
      </c>
      <c r="E10">
        <f>Sheet1!U11</f>
        <v>4</v>
      </c>
      <c r="F10" t="str">
        <f t="shared" ref="F10" si="47">F9</f>
        <v>&lt;record id="</v>
      </c>
      <c r="G10" t="str">
        <f t="shared" ref="G10" si="48">G9</f>
        <v>" posx="</v>
      </c>
      <c r="H10" t="str">
        <f t="shared" ref="H10" si="49">H9</f>
        <v>" posy="</v>
      </c>
      <c r="I10" t="str">
        <f t="shared" ref="I10" si="50">I9</f>
        <v>" dir="</v>
      </c>
      <c r="J10" t="str">
        <f t="shared" ref="J10" si="51">J9</f>
        <v>"/&gt;</v>
      </c>
      <c r="K10" t="str">
        <f t="shared" ref="K10" si="52">F10&amp;A10&amp;G10&amp;C10&amp;H10&amp;D10&amp;I10&amp;E10&amp;J10</f>
        <v>&lt;record id="161803" posx="528" posy="608" dir="4"/&gt;</v>
      </c>
    </row>
    <row r="11" spans="1:11">
      <c r="A11">
        <f>Sheet1!A12</f>
        <v>161804</v>
      </c>
      <c r="B11" t="str">
        <f>Sheet1!B12</f>
        <v>传送人</v>
      </c>
      <c r="C11">
        <f>Sheet1!Q12</f>
        <v>769</v>
      </c>
      <c r="D11">
        <f>Sheet1!R12</f>
        <v>288</v>
      </c>
      <c r="E11">
        <f>Sheet1!U12</f>
        <v>3</v>
      </c>
      <c r="F11" t="str">
        <f t="shared" ref="F11" si="53">F10</f>
        <v>&lt;record id="</v>
      </c>
      <c r="G11" t="str">
        <f t="shared" ref="G11" si="54">G10</f>
        <v>" posx="</v>
      </c>
      <c r="H11" t="str">
        <f t="shared" ref="H11" si="55">H10</f>
        <v>" posy="</v>
      </c>
      <c r="I11" t="str">
        <f t="shared" ref="I11" si="56">I10</f>
        <v>" dir="</v>
      </c>
      <c r="J11" t="str">
        <f t="shared" ref="J11" si="57">J10</f>
        <v>"/&gt;</v>
      </c>
      <c r="K11" t="str">
        <f t="shared" ref="K11" si="58">F11&amp;A11&amp;G11&amp;C11&amp;H11&amp;D11&amp;I11&amp;E11&amp;J11</f>
        <v>&lt;record id="161804" posx="769" posy="288" dir="3"/&gt;</v>
      </c>
    </row>
    <row r="12" spans="1:11">
      <c r="A12" t="str">
        <f>Sheet1!A14</f>
        <v>13103</v>
      </c>
      <c r="B12" t="str">
        <f>Sheet1!B14</f>
        <v>观音娘娘</v>
      </c>
      <c r="C12">
        <f>Sheet1!Q14</f>
        <v>752</v>
      </c>
      <c r="D12">
        <f>Sheet1!R14</f>
        <v>912</v>
      </c>
      <c r="E12">
        <f>Sheet1!U14</f>
        <v>5</v>
      </c>
      <c r="F12" t="str">
        <f t="shared" ref="F12" si="59">F11</f>
        <v>&lt;record id="</v>
      </c>
      <c r="G12" t="str">
        <f t="shared" ref="G12" si="60">G11</f>
        <v>" posx="</v>
      </c>
      <c r="H12" t="str">
        <f t="shared" ref="H12" si="61">H11</f>
        <v>" posy="</v>
      </c>
      <c r="I12" t="str">
        <f t="shared" ref="I12" si="62">I11</f>
        <v>" dir="</v>
      </c>
      <c r="J12" t="str">
        <f t="shared" ref="J12" si="63">J11</f>
        <v>"/&gt;</v>
      </c>
      <c r="K12" t="str">
        <f t="shared" ref="K12" si="64">F12&amp;A12&amp;G12&amp;C12&amp;H12&amp;D12&amp;I12&amp;E12&amp;J12</f>
        <v>&lt;record id="13103" posx="752" posy="912" dir="5"/&gt;</v>
      </c>
    </row>
    <row r="13" spans="1:11">
      <c r="A13" t="str">
        <f>Sheet1!A15</f>
        <v>161901</v>
      </c>
      <c r="B13" t="str">
        <f>Sheet1!B15</f>
        <v>恭喜发财</v>
      </c>
      <c r="C13">
        <f>Sheet1!Q15</f>
        <v>704</v>
      </c>
      <c r="D13">
        <f>Sheet1!R15</f>
        <v>1072</v>
      </c>
      <c r="E13">
        <f>Sheet1!U15</f>
        <v>3</v>
      </c>
      <c r="F13" t="str">
        <f t="shared" ref="F13" si="65">F12</f>
        <v>&lt;record id="</v>
      </c>
      <c r="G13" t="str">
        <f t="shared" ref="G13" si="66">G12</f>
        <v>" posx="</v>
      </c>
      <c r="H13" t="str">
        <f t="shared" ref="H13" si="67">H12</f>
        <v>" posy="</v>
      </c>
      <c r="I13" t="str">
        <f t="shared" ref="I13" si="68">I12</f>
        <v>" dir="</v>
      </c>
      <c r="J13" t="str">
        <f t="shared" ref="J13" si="69">J12</f>
        <v>"/&gt;</v>
      </c>
      <c r="K13" t="str">
        <f t="shared" ref="K13" si="70">F13&amp;A13&amp;G13&amp;C13&amp;H13&amp;D13&amp;I13&amp;E13&amp;J13</f>
        <v>&lt;record id="161901" posx="704" posy="1072" dir="3"/&gt;</v>
      </c>
    </row>
    <row r="14" spans="1:11">
      <c r="A14">
        <f>Sheet1!A16</f>
        <v>161902</v>
      </c>
      <c r="B14" t="str">
        <f>Sheet1!B16</f>
        <v>普陀山代表队</v>
      </c>
      <c r="C14">
        <f>Sheet1!Q16</f>
        <v>544</v>
      </c>
      <c r="D14">
        <f>Sheet1!R16</f>
        <v>624</v>
      </c>
      <c r="E14">
        <f>Sheet1!U16</f>
        <v>4</v>
      </c>
      <c r="F14" t="str">
        <f t="shared" ref="F14" si="71">F13</f>
        <v>&lt;record id="</v>
      </c>
      <c r="G14" t="str">
        <f t="shared" ref="G14" si="72">G13</f>
        <v>" posx="</v>
      </c>
      <c r="H14" t="str">
        <f t="shared" ref="H14" si="73">H13</f>
        <v>" posy="</v>
      </c>
      <c r="I14" t="str">
        <f t="shared" ref="I14" si="74">I13</f>
        <v>" dir="</v>
      </c>
      <c r="J14" t="str">
        <f t="shared" ref="J14" si="75">J13</f>
        <v>"/&gt;</v>
      </c>
      <c r="K14" t="str">
        <f t="shared" ref="K14" si="76">F14&amp;A14&amp;G14&amp;C14&amp;H14&amp;D14&amp;I14&amp;E14&amp;J14</f>
        <v>&lt;record id="161902" posx="544" posy="624" dir="4"/&gt;</v>
      </c>
    </row>
    <row r="15" spans="1:11">
      <c r="A15">
        <f>Sheet1!A17</f>
        <v>161903</v>
      </c>
      <c r="B15" t="str">
        <f>Sheet1!B17</f>
        <v>传送人</v>
      </c>
      <c r="C15">
        <f>Sheet1!Q17</f>
        <v>944</v>
      </c>
      <c r="D15">
        <f>Sheet1!R17</f>
        <v>1072</v>
      </c>
      <c r="E15">
        <f>Sheet1!U17</f>
        <v>3</v>
      </c>
      <c r="F15" t="str">
        <f t="shared" ref="F15" si="77">F14</f>
        <v>&lt;record id="</v>
      </c>
      <c r="G15" t="str">
        <f t="shared" ref="G15" si="78">G14</f>
        <v>" posx="</v>
      </c>
      <c r="H15" t="str">
        <f t="shared" ref="H15" si="79">H14</f>
        <v>" posy="</v>
      </c>
      <c r="I15" t="str">
        <f t="shared" ref="I15" si="80">I14</f>
        <v>" dir="</v>
      </c>
      <c r="J15" t="str">
        <f t="shared" ref="J15" si="81">J14</f>
        <v>"/&gt;</v>
      </c>
      <c r="K15" t="str">
        <f t="shared" ref="K15" si="82">F15&amp;A15&amp;G15&amp;C15&amp;H15&amp;D15&amp;I15&amp;E15&amp;J15</f>
        <v>&lt;record id="161903" posx="944" posy="1072" dir="3"/&gt;</v>
      </c>
    </row>
    <row r="16" spans="1:11">
      <c r="A16" t="str">
        <f>Sheet1!A19</f>
        <v>13102</v>
      </c>
      <c r="B16" t="str">
        <f>Sheet1!B19</f>
        <v>大大王</v>
      </c>
      <c r="C16">
        <f>Sheet1!Q19</f>
        <v>704</v>
      </c>
      <c r="D16">
        <f>Sheet1!R19</f>
        <v>656</v>
      </c>
      <c r="E16">
        <f>Sheet1!U19</f>
        <v>3</v>
      </c>
      <c r="F16" t="str">
        <f t="shared" ref="F16" si="83">F15</f>
        <v>&lt;record id="</v>
      </c>
      <c r="G16" t="str">
        <f t="shared" ref="G16" si="84">G15</f>
        <v>" posx="</v>
      </c>
      <c r="H16" t="str">
        <f t="shared" ref="H16" si="85">H15</f>
        <v>" posy="</v>
      </c>
      <c r="I16" t="str">
        <f t="shared" ref="I16" si="86">I15</f>
        <v>" dir="</v>
      </c>
      <c r="J16" t="str">
        <f t="shared" ref="J16" si="87">J15</f>
        <v>"/&gt;</v>
      </c>
      <c r="K16" t="str">
        <f t="shared" ref="K16" si="88">F16&amp;A16&amp;G16&amp;C16&amp;H16&amp;D16&amp;I16&amp;E16&amp;J16</f>
        <v>&lt;record id="13102" posx="704" posy="656" dir="3"/&gt;</v>
      </c>
    </row>
    <row r="17" spans="1:11">
      <c r="A17" t="str">
        <f>Sheet1!A20</f>
        <v>162001</v>
      </c>
      <c r="B17" t="str">
        <f>Sheet1!B20</f>
        <v>恭喜发财</v>
      </c>
      <c r="C17">
        <f>Sheet1!Q20</f>
        <v>720</v>
      </c>
      <c r="D17">
        <f>Sheet1!R20</f>
        <v>928</v>
      </c>
      <c r="E17">
        <f>Sheet1!U20</f>
        <v>3</v>
      </c>
      <c r="F17" t="str">
        <f t="shared" ref="F17" si="89">F16</f>
        <v>&lt;record id="</v>
      </c>
      <c r="G17" t="str">
        <f t="shared" ref="G17" si="90">G16</f>
        <v>" posx="</v>
      </c>
      <c r="H17" t="str">
        <f t="shared" ref="H17" si="91">H16</f>
        <v>" posy="</v>
      </c>
      <c r="I17" t="str">
        <f t="shared" ref="I17" si="92">I16</f>
        <v>" dir="</v>
      </c>
      <c r="J17" t="str">
        <f t="shared" ref="J17" si="93">J16</f>
        <v>"/&gt;</v>
      </c>
      <c r="K17" t="str">
        <f t="shared" ref="K17" si="94">F17&amp;A17&amp;G17&amp;C17&amp;H17&amp;D17&amp;I17&amp;E17&amp;J17</f>
        <v>&lt;record id="162001" posx="720" posy="928" dir="3"/&gt;</v>
      </c>
    </row>
    <row r="18" spans="1:11">
      <c r="A18" t="str">
        <f>Sheet1!A21</f>
        <v>162002</v>
      </c>
      <c r="B18" t="str">
        <f>Sheet1!B21</f>
        <v>狮驼岭代表队</v>
      </c>
      <c r="C18">
        <f>Sheet1!Q21</f>
        <v>720</v>
      </c>
      <c r="D18">
        <f>Sheet1!R21</f>
        <v>576</v>
      </c>
      <c r="E18">
        <f>Sheet1!U21</f>
        <v>5</v>
      </c>
      <c r="F18" t="str">
        <f t="shared" ref="F18" si="95">F17</f>
        <v>&lt;record id="</v>
      </c>
      <c r="G18" t="str">
        <f t="shared" ref="G18" si="96">G17</f>
        <v>" posx="</v>
      </c>
      <c r="H18" t="str">
        <f t="shared" ref="H18" si="97">H17</f>
        <v>" posy="</v>
      </c>
      <c r="I18" t="str">
        <f t="shared" ref="I18" si="98">I17</f>
        <v>" dir="</v>
      </c>
      <c r="J18" t="str">
        <f t="shared" ref="J18" si="99">J17</f>
        <v>"/&gt;</v>
      </c>
      <c r="K18" t="str">
        <f t="shared" ref="K18" si="100">F18&amp;A18&amp;G18&amp;C18&amp;H18&amp;D18&amp;I18&amp;E18&amp;J18</f>
        <v>&lt;record id="162002" posx="720" posy="576" dir="5"/&gt;</v>
      </c>
    </row>
    <row r="19" spans="1:11">
      <c r="A19">
        <f>Sheet1!A22</f>
        <v>162003</v>
      </c>
      <c r="B19" t="str">
        <f>Sheet1!B22</f>
        <v>传送人</v>
      </c>
      <c r="C19">
        <f>Sheet1!Q22</f>
        <v>834</v>
      </c>
      <c r="D19">
        <f>Sheet1!R22</f>
        <v>529</v>
      </c>
      <c r="E19">
        <f>Sheet1!U22</f>
        <v>3</v>
      </c>
      <c r="F19" t="str">
        <f t="shared" ref="F19" si="101">F18</f>
        <v>&lt;record id="</v>
      </c>
      <c r="G19" t="str">
        <f t="shared" ref="G19" si="102">G18</f>
        <v>" posx="</v>
      </c>
      <c r="H19" t="str">
        <f t="shared" ref="H19" si="103">H18</f>
        <v>" posy="</v>
      </c>
      <c r="I19" t="str">
        <f t="shared" ref="I19" si="104">I18</f>
        <v>" dir="</v>
      </c>
      <c r="J19" t="str">
        <f t="shared" ref="J19" si="105">J18</f>
        <v>"/&gt;</v>
      </c>
      <c r="K19" t="str">
        <f t="shared" ref="K19" si="106">F19&amp;A19&amp;G19&amp;C19&amp;H19&amp;D19&amp;I19&amp;E19&amp;J19</f>
        <v>&lt;record id="162003" posx="834" posy="529" dir="3"/&gt;</v>
      </c>
    </row>
    <row r="20" spans="1:11">
      <c r="A20" t="str">
        <f>Sheet1!A24</f>
        <v>13101</v>
      </c>
      <c r="B20" t="str">
        <f>Sheet1!B24</f>
        <v>菩提祖师</v>
      </c>
      <c r="C20">
        <f>Sheet1!Q24</f>
        <v>778</v>
      </c>
      <c r="D20">
        <f>Sheet1!R24</f>
        <v>464</v>
      </c>
      <c r="E20">
        <f>Sheet1!U24</f>
        <v>3</v>
      </c>
      <c r="F20" t="str">
        <f t="shared" ref="F20" si="107">F19</f>
        <v>&lt;record id="</v>
      </c>
      <c r="G20" t="str">
        <f t="shared" ref="G20" si="108">G19</f>
        <v>" posx="</v>
      </c>
      <c r="H20" t="str">
        <f t="shared" ref="H20" si="109">H19</f>
        <v>" posy="</v>
      </c>
      <c r="I20" t="str">
        <f t="shared" ref="I20" si="110">I19</f>
        <v>" dir="</v>
      </c>
      <c r="J20" t="str">
        <f t="shared" ref="J20" si="111">J19</f>
        <v>"/&gt;</v>
      </c>
      <c r="K20" t="str">
        <f t="shared" ref="K20" si="112">F20&amp;A20&amp;G20&amp;C20&amp;H20&amp;D20&amp;I20&amp;E20&amp;J20</f>
        <v>&lt;record id="13101" posx="778" posy="464" dir="3"/&gt;</v>
      </c>
    </row>
    <row r="21" spans="1:11">
      <c r="A21" t="str">
        <f>Sheet1!A25</f>
        <v>162101</v>
      </c>
      <c r="B21" t="str">
        <f>Sheet1!B25</f>
        <v>恭喜发财</v>
      </c>
      <c r="C21">
        <f>Sheet1!Q25</f>
        <v>174</v>
      </c>
      <c r="D21">
        <f>Sheet1!R25</f>
        <v>690</v>
      </c>
      <c r="E21">
        <f>Sheet1!U25</f>
        <v>3</v>
      </c>
      <c r="F21" t="str">
        <f t="shared" ref="F21" si="113">F20</f>
        <v>&lt;record id="</v>
      </c>
      <c r="G21" t="str">
        <f t="shared" ref="G21" si="114">G20</f>
        <v>" posx="</v>
      </c>
      <c r="H21" t="str">
        <f t="shared" ref="H21" si="115">H20</f>
        <v>" posy="</v>
      </c>
      <c r="I21" t="str">
        <f t="shared" ref="I21" si="116">I20</f>
        <v>" dir="</v>
      </c>
      <c r="J21" t="str">
        <f t="shared" ref="J21" si="117">J20</f>
        <v>"/&gt;</v>
      </c>
      <c r="K21" t="str">
        <f t="shared" ref="K21" si="118">F21&amp;A21&amp;G21&amp;C21&amp;H21&amp;D21&amp;I21&amp;E21&amp;J21</f>
        <v>&lt;record id="162101" posx="174" posy="690" dir="3"/&gt;</v>
      </c>
    </row>
    <row r="22" spans="1:11">
      <c r="A22" t="str">
        <f>Sheet1!A26</f>
        <v>162102</v>
      </c>
      <c r="B22" t="str">
        <f>Sheet1!B26</f>
        <v>方寸山代表队</v>
      </c>
      <c r="C22">
        <f>Sheet1!Q26</f>
        <v>528</v>
      </c>
      <c r="D22">
        <f>Sheet1!R26</f>
        <v>608</v>
      </c>
      <c r="E22">
        <f>Sheet1!U26</f>
        <v>4</v>
      </c>
      <c r="F22" t="str">
        <f t="shared" ref="F22" si="119">F21</f>
        <v>&lt;record id="</v>
      </c>
      <c r="G22" t="str">
        <f t="shared" ref="G22" si="120">G21</f>
        <v>" posx="</v>
      </c>
      <c r="H22" t="str">
        <f t="shared" ref="H22" si="121">H21</f>
        <v>" posy="</v>
      </c>
      <c r="I22" t="str">
        <f t="shared" ref="I22" si="122">I21</f>
        <v>" dir="</v>
      </c>
      <c r="J22" t="str">
        <f t="shared" ref="J22" si="123">J21</f>
        <v>"/&gt;</v>
      </c>
      <c r="K22" t="str">
        <f t="shared" ref="K22" si="124">F22&amp;A22&amp;G22&amp;C22&amp;H22&amp;D22&amp;I22&amp;E22&amp;J22</f>
        <v>&lt;record id="162102" posx="528" posy="608" dir="4"/&gt;</v>
      </c>
    </row>
    <row r="23" spans="1:11">
      <c r="A23">
        <f>Sheet1!A27</f>
        <v>162103</v>
      </c>
      <c r="B23" t="str">
        <f>Sheet1!B27</f>
        <v>传送人</v>
      </c>
      <c r="C23">
        <f>Sheet1!Q27</f>
        <v>785</v>
      </c>
      <c r="D23">
        <f>Sheet1!R27</f>
        <v>1181</v>
      </c>
      <c r="E23">
        <f>Sheet1!U27</f>
        <v>3</v>
      </c>
      <c r="F23" t="str">
        <f t="shared" ref="F23" si="125">F22</f>
        <v>&lt;record id="</v>
      </c>
      <c r="G23" t="str">
        <f t="shared" ref="G23" si="126">G22</f>
        <v>" posx="</v>
      </c>
      <c r="H23" t="str">
        <f t="shared" ref="H23" si="127">H22</f>
        <v>" posy="</v>
      </c>
      <c r="I23" t="str">
        <f t="shared" ref="I23" si="128">I22</f>
        <v>" dir="</v>
      </c>
      <c r="J23" t="str">
        <f t="shared" ref="J23" si="129">J22</f>
        <v>"/&gt;</v>
      </c>
      <c r="K23" t="str">
        <f t="shared" ref="K23" si="130">F23&amp;A23&amp;G23&amp;C23&amp;H23&amp;D23&amp;I23&amp;E23&amp;J23</f>
        <v>&lt;record id="162103" posx="785" posy="1181" dir="3"/&gt;</v>
      </c>
    </row>
    <row r="24" spans="1:11">
      <c r="A24" t="str">
        <f>Sheet1!A29</f>
        <v>13100</v>
      </c>
      <c r="B24" t="str">
        <f>Sheet1!B29</f>
        <v>地藏王</v>
      </c>
      <c r="C24">
        <f>Sheet1!Q29</f>
        <v>448</v>
      </c>
      <c r="D24">
        <f>Sheet1!R29</f>
        <v>320</v>
      </c>
      <c r="E24">
        <f>Sheet1!U29</f>
        <v>3</v>
      </c>
      <c r="F24" t="str">
        <f t="shared" ref="F24" si="131">F23</f>
        <v>&lt;record id="</v>
      </c>
      <c r="G24" t="str">
        <f t="shared" ref="G24" si="132">G23</f>
        <v>" posx="</v>
      </c>
      <c r="H24" t="str">
        <f t="shared" ref="H24" si="133">H23</f>
        <v>" posy="</v>
      </c>
      <c r="I24" t="str">
        <f t="shared" ref="I24" si="134">I23</f>
        <v>" dir="</v>
      </c>
      <c r="J24" t="str">
        <f t="shared" ref="J24" si="135">J23</f>
        <v>"/&gt;</v>
      </c>
      <c r="K24" t="str">
        <f t="shared" ref="K24" si="136">F24&amp;A24&amp;G24&amp;C24&amp;H24&amp;D24&amp;I24&amp;E24&amp;J24</f>
        <v>&lt;record id="13100" posx="448" posy="320" dir="3"/&gt;</v>
      </c>
    </row>
    <row r="25" spans="1:11">
      <c r="A25" t="str">
        <f>Sheet1!A30</f>
        <v>162201</v>
      </c>
      <c r="B25" t="str">
        <f>Sheet1!B30</f>
        <v>恭喜发财</v>
      </c>
      <c r="C25">
        <f>Sheet1!Q30</f>
        <v>528</v>
      </c>
      <c r="D25">
        <f>Sheet1!R30</f>
        <v>608</v>
      </c>
      <c r="E25">
        <f>Sheet1!U30</f>
        <v>3</v>
      </c>
      <c r="F25" t="str">
        <f t="shared" ref="F25" si="137">F24</f>
        <v>&lt;record id="</v>
      </c>
      <c r="G25" t="str">
        <f t="shared" ref="G25" si="138">G24</f>
        <v>" posx="</v>
      </c>
      <c r="H25" t="str">
        <f t="shared" ref="H25" si="139">H24</f>
        <v>" posy="</v>
      </c>
      <c r="I25" t="str">
        <f t="shared" ref="I25" si="140">I24</f>
        <v>" dir="</v>
      </c>
      <c r="J25" t="str">
        <f t="shared" ref="J25" si="141">J24</f>
        <v>"/&gt;</v>
      </c>
      <c r="K25" t="str">
        <f t="shared" ref="K25" si="142">F25&amp;A25&amp;G25&amp;C25&amp;H25&amp;D25&amp;I25&amp;E25&amp;J25</f>
        <v>&lt;record id="162201" posx="528" posy="608" dir="3"/&gt;</v>
      </c>
    </row>
    <row r="26" spans="1:11">
      <c r="A26" t="str">
        <f>Sheet1!A31</f>
        <v>162202</v>
      </c>
      <c r="B26" t="str">
        <f>Sheet1!B31</f>
        <v>阴曹地府代表队</v>
      </c>
      <c r="C26">
        <f>Sheet1!Q31</f>
        <v>528</v>
      </c>
      <c r="D26">
        <f>Sheet1!R31</f>
        <v>608</v>
      </c>
      <c r="E26">
        <f>Sheet1!U31</f>
        <v>4</v>
      </c>
      <c r="F26" t="str">
        <f t="shared" ref="F26" si="143">F25</f>
        <v>&lt;record id="</v>
      </c>
      <c r="G26" t="str">
        <f t="shared" ref="G26" si="144">G25</f>
        <v>" posx="</v>
      </c>
      <c r="H26" t="str">
        <f t="shared" ref="H26" si="145">H25</f>
        <v>" posy="</v>
      </c>
      <c r="I26" t="str">
        <f t="shared" ref="I26" si="146">I25</f>
        <v>" dir="</v>
      </c>
      <c r="J26" t="str">
        <f t="shared" ref="J26" si="147">J25</f>
        <v>"/&gt;</v>
      </c>
      <c r="K26" t="str">
        <f t="shared" ref="K26" si="148">F26&amp;A26&amp;G26&amp;C26&amp;H26&amp;D26&amp;I26&amp;E26&amp;J26</f>
        <v>&lt;record id="162202" posx="528" posy="608" dir="4"/&gt;</v>
      </c>
    </row>
    <row r="27" spans="1:11">
      <c r="A27">
        <f>Sheet1!A32</f>
        <v>162203</v>
      </c>
      <c r="B27" t="str">
        <f>Sheet1!B32</f>
        <v>传送人</v>
      </c>
      <c r="C27">
        <f>Sheet1!Q32</f>
        <v>341</v>
      </c>
      <c r="D27">
        <f>Sheet1!R32</f>
        <v>580</v>
      </c>
      <c r="E27">
        <f>Sheet1!U32</f>
        <v>3</v>
      </c>
      <c r="F27" t="str">
        <f t="shared" ref="F27" si="149">F26</f>
        <v>&lt;record id="</v>
      </c>
      <c r="G27" t="str">
        <f t="shared" ref="G27" si="150">G26</f>
        <v>" posx="</v>
      </c>
      <c r="H27" t="str">
        <f t="shared" ref="H27" si="151">H26</f>
        <v>" posy="</v>
      </c>
      <c r="I27" t="str">
        <f t="shared" ref="I27" si="152">I26</f>
        <v>" dir="</v>
      </c>
      <c r="J27" t="str">
        <f t="shared" ref="J27" si="153">J26</f>
        <v>"/&gt;</v>
      </c>
      <c r="K27" t="str">
        <f t="shared" ref="K27" si="154">F27&amp;A27&amp;G27&amp;C27&amp;H27&amp;D27&amp;I27&amp;E27&amp;J27</f>
        <v>&lt;record id="162203" posx="341" posy="580" dir="3"/&gt;</v>
      </c>
    </row>
    <row r="28" spans="1:11">
      <c r="A28">
        <f>Sheet1!A33</f>
        <v>162204</v>
      </c>
      <c r="B28" t="str">
        <f>Sheet1!B33</f>
        <v>月女弟子</v>
      </c>
      <c r="C28">
        <f>Sheet1!Q33</f>
        <v>936</v>
      </c>
      <c r="D28">
        <f>Sheet1!R33</f>
        <v>616</v>
      </c>
      <c r="E28">
        <f>Sheet1!U33</f>
        <v>5</v>
      </c>
      <c r="F28" t="str">
        <f t="shared" ref="F28" si="155">F27</f>
        <v>&lt;record id="</v>
      </c>
      <c r="G28" t="str">
        <f t="shared" ref="G28" si="156">G27</f>
        <v>" posx="</v>
      </c>
      <c r="H28" t="str">
        <f t="shared" ref="H28" si="157">H27</f>
        <v>" posy="</v>
      </c>
      <c r="I28" t="str">
        <f t="shared" ref="I28" si="158">I27</f>
        <v>" dir="</v>
      </c>
      <c r="J28" t="str">
        <f t="shared" ref="J28:J33" si="159">J27</f>
        <v>"/&gt;</v>
      </c>
      <c r="K28" t="str">
        <f t="shared" ref="K28" si="160">F28&amp;A28&amp;G28&amp;C28&amp;H28&amp;D28&amp;I28&amp;E28&amp;J28</f>
        <v>&lt;record id="162204" posx="936" posy="616" dir="5"/&gt;</v>
      </c>
    </row>
    <row r="29" spans="1:11">
      <c r="A29">
        <f>Sheet1!A35</f>
        <v>13106</v>
      </c>
      <c r="B29" t="str">
        <f>Sheet1!B35</f>
        <v>月灵</v>
      </c>
      <c r="C29">
        <f>Sheet1!Q35</f>
        <v>1008</v>
      </c>
      <c r="D29">
        <f>Sheet1!R35</f>
        <v>688</v>
      </c>
      <c r="E29">
        <f>Sheet1!U35</f>
        <v>5</v>
      </c>
      <c r="F29" t="str">
        <f t="shared" ref="F29" si="161">F28</f>
        <v>&lt;record id="</v>
      </c>
      <c r="G29" t="str">
        <f t="shared" ref="G29" si="162">G28</f>
        <v>" posx="</v>
      </c>
      <c r="H29" t="str">
        <f t="shared" ref="H29:H30" si="163">H28</f>
        <v>" posy="</v>
      </c>
      <c r="I29" t="str">
        <f t="shared" ref="I29" si="164">I28</f>
        <v>" dir="</v>
      </c>
      <c r="J29" t="str">
        <f t="shared" si="159"/>
        <v>"/&gt;</v>
      </c>
      <c r="K29" t="str">
        <f t="shared" ref="K29" si="165">F29&amp;A29&amp;G29&amp;C29&amp;H29&amp;D29&amp;I29&amp;E29&amp;J29</f>
        <v>&lt;record id="13106" posx="1008" posy="688" dir="5"/&gt;</v>
      </c>
    </row>
    <row r="30" spans="1:11">
      <c r="A30">
        <f>Sheet1!A36</f>
        <v>169001</v>
      </c>
      <c r="B30" t="str">
        <f>Sheet1!B36</f>
        <v>恭喜发财</v>
      </c>
      <c r="C30">
        <f>Sheet1!Q36</f>
        <v>850</v>
      </c>
      <c r="D30">
        <f>Sheet1!R36</f>
        <v>362</v>
      </c>
      <c r="E30">
        <f>Sheet1!U36</f>
        <v>5</v>
      </c>
      <c r="F30" t="str">
        <f t="shared" ref="F30" si="166">F29</f>
        <v>&lt;record id="</v>
      </c>
      <c r="G30" t="str">
        <f t="shared" ref="G30" si="167">G29</f>
        <v>" posx="</v>
      </c>
      <c r="H30" t="str">
        <f t="shared" si="163"/>
        <v>" posy="</v>
      </c>
      <c r="I30" t="str">
        <f t="shared" ref="I30:I33" si="168">I29</f>
        <v>" dir="</v>
      </c>
      <c r="J30" t="str">
        <f t="shared" si="159"/>
        <v>"/&gt;</v>
      </c>
      <c r="K30" t="str">
        <f t="shared" ref="K30:K35" si="169">F30&amp;A30&amp;G30&amp;C30&amp;H30&amp;D30&amp;I30&amp;E30&amp;J30</f>
        <v>&lt;record id="169001" posx="850" posy="362" dir="5"/&gt;</v>
      </c>
    </row>
    <row r="31" spans="1:11">
      <c r="A31">
        <f>Sheet1!A37</f>
        <v>169002</v>
      </c>
      <c r="B31" t="str">
        <f>Sheet1!B37</f>
        <v>月宫代表队</v>
      </c>
      <c r="C31">
        <f>Sheet1!Q37</f>
        <v>752</v>
      </c>
      <c r="D31">
        <f>Sheet1!R37</f>
        <v>992</v>
      </c>
      <c r="E31">
        <f>Sheet1!U37</f>
        <v>3</v>
      </c>
      <c r="F31" t="str">
        <f t="shared" ref="F31" si="170">F30</f>
        <v>&lt;record id="</v>
      </c>
      <c r="G31" t="str">
        <f t="shared" ref="G31:G35" si="171">G30</f>
        <v>" posx="</v>
      </c>
      <c r="H31" t="str">
        <f t="shared" ref="H31:H33" si="172">H30</f>
        <v>" posy="</v>
      </c>
      <c r="I31" t="str">
        <f t="shared" si="168"/>
        <v>" dir="</v>
      </c>
      <c r="J31" t="str">
        <f t="shared" si="159"/>
        <v>"/&gt;</v>
      </c>
      <c r="K31" t="str">
        <f t="shared" si="169"/>
        <v>&lt;record id="169002" posx="752" posy="992" dir="3"/&gt;</v>
      </c>
    </row>
    <row r="32" spans="1:11">
      <c r="A32">
        <f>Sheet1!A38</f>
        <v>169003</v>
      </c>
      <c r="B32" t="str">
        <f>Sheet1!B38</f>
        <v>传送人</v>
      </c>
      <c r="C32">
        <f>Sheet1!Q38</f>
        <v>400</v>
      </c>
      <c r="D32">
        <f>Sheet1!R38</f>
        <v>609</v>
      </c>
      <c r="E32">
        <f>Sheet1!U38</f>
        <v>3</v>
      </c>
      <c r="F32" t="str">
        <f t="shared" ref="F32" si="173">F31</f>
        <v>&lt;record id="</v>
      </c>
      <c r="G32" t="str">
        <f t="shared" si="171"/>
        <v>" posx="</v>
      </c>
      <c r="H32" t="str">
        <f t="shared" si="172"/>
        <v>" posy="</v>
      </c>
      <c r="I32" t="str">
        <f t="shared" si="168"/>
        <v>" dir="</v>
      </c>
      <c r="J32" t="str">
        <f t="shared" si="159"/>
        <v>"/&gt;</v>
      </c>
      <c r="K32" t="str">
        <f t="shared" si="169"/>
        <v>&lt;record id="169003" posx="400" posy="609" dir="3"/&gt;</v>
      </c>
    </row>
    <row r="33" spans="1:11">
      <c r="A33">
        <f>Sheet1!A40</f>
        <v>13107</v>
      </c>
      <c r="B33" t="str">
        <f>Sheet1!B40</f>
        <v>牛魔王</v>
      </c>
      <c r="C33">
        <f>Sheet1!Q40</f>
        <v>246</v>
      </c>
      <c r="D33">
        <f>Sheet1!R40</f>
        <v>447</v>
      </c>
      <c r="E33">
        <f>Sheet1!U40</f>
        <v>3</v>
      </c>
      <c r="F33" t="str">
        <f t="shared" ref="F33:F35" si="174">F32</f>
        <v>&lt;record id="</v>
      </c>
      <c r="G33" t="str">
        <f t="shared" si="171"/>
        <v>" posx="</v>
      </c>
      <c r="H33" t="str">
        <f t="shared" si="172"/>
        <v>" posy="</v>
      </c>
      <c r="I33" t="str">
        <f t="shared" si="168"/>
        <v>" dir="</v>
      </c>
      <c r="J33" t="str">
        <f t="shared" si="159"/>
        <v>"/&gt;</v>
      </c>
      <c r="K33" t="str">
        <f t="shared" si="169"/>
        <v>&lt;record id="13107" posx="246" posy="447" dir="3"/&gt;</v>
      </c>
    </row>
    <row r="34" spans="1:11">
      <c r="A34">
        <f>Sheet1!A41</f>
        <v>169101</v>
      </c>
      <c r="B34" t="str">
        <f>Sheet1!B41</f>
        <v>恭喜发财</v>
      </c>
      <c r="C34">
        <f>Sheet1!Q41</f>
        <v>224</v>
      </c>
      <c r="D34">
        <f>Sheet1!R41</f>
        <v>656</v>
      </c>
      <c r="E34">
        <f>Sheet1!U41</f>
        <v>3</v>
      </c>
      <c r="F34" t="str">
        <f t="shared" si="174"/>
        <v>&lt;record id="</v>
      </c>
      <c r="G34" t="str">
        <f t="shared" si="171"/>
        <v>" posx="</v>
      </c>
      <c r="H34" t="str">
        <f t="shared" ref="H34" si="175">H33</f>
        <v>" posy="</v>
      </c>
      <c r="I34" t="str">
        <f t="shared" ref="I34" si="176">I33</f>
        <v>" dir="</v>
      </c>
      <c r="J34" t="str">
        <f t="shared" ref="J34" si="177">J33</f>
        <v>"/&gt;</v>
      </c>
      <c r="K34" t="str">
        <f t="shared" si="169"/>
        <v>&lt;record id="169101" posx="224" posy="656" dir="3"/&gt;</v>
      </c>
    </row>
    <row r="35" spans="1:11">
      <c r="A35">
        <f>Sheet1!A42</f>
        <v>169102</v>
      </c>
      <c r="B35" t="str">
        <f>Sheet1!B42</f>
        <v>魔王寨代表队</v>
      </c>
      <c r="C35">
        <f>Sheet1!Q42</f>
        <v>368</v>
      </c>
      <c r="D35">
        <f>Sheet1!R42</f>
        <v>752</v>
      </c>
      <c r="E35">
        <f>Sheet1!U42</f>
        <v>4</v>
      </c>
      <c r="F35" t="str">
        <f t="shared" si="174"/>
        <v>&lt;record id="</v>
      </c>
      <c r="G35" t="str">
        <f t="shared" si="171"/>
        <v>" posx="</v>
      </c>
      <c r="H35" t="str">
        <f t="shared" ref="H35" si="178">H34</f>
        <v>" posy="</v>
      </c>
      <c r="I35" t="str">
        <f t="shared" ref="I35" si="179">I34</f>
        <v>" dir="</v>
      </c>
      <c r="J35" t="str">
        <f t="shared" ref="J35" si="180">J34</f>
        <v>"/&gt;</v>
      </c>
      <c r="K35" t="str">
        <f t="shared" si="169"/>
        <v>&lt;record id="169102" posx="368" posy="752" dir="4"/&gt;</v>
      </c>
    </row>
    <row r="36" spans="1:11">
      <c r="A36">
        <f>Sheet1!A43</f>
        <v>169103</v>
      </c>
      <c r="B36" t="str">
        <f>Sheet1!B43</f>
        <v>传送人</v>
      </c>
      <c r="C36">
        <f>Sheet1!Q43</f>
        <v>781</v>
      </c>
      <c r="D36">
        <f>Sheet1!R43</f>
        <v>297</v>
      </c>
      <c r="E36">
        <f>Sheet1!U43</f>
        <v>3</v>
      </c>
      <c r="F36" t="str">
        <f t="shared" ref="F36" si="181">F35</f>
        <v>&lt;record id="</v>
      </c>
      <c r="G36" t="str">
        <f t="shared" ref="G36" si="182">G35</f>
        <v>" posx="</v>
      </c>
      <c r="H36" t="str">
        <f t="shared" ref="H36" si="183">H35</f>
        <v>" posy="</v>
      </c>
      <c r="I36" t="str">
        <f t="shared" ref="I36" si="184">I35</f>
        <v>" dir="</v>
      </c>
      <c r="J36" t="str">
        <f t="shared" ref="J36" si="185">J35</f>
        <v>"/&gt;</v>
      </c>
      <c r="K36" t="str">
        <f t="shared" ref="K36" si="186">F36&amp;A36&amp;G36&amp;C36&amp;H36&amp;D36&amp;I36&amp;E36&amp;J36</f>
        <v>&lt;record id="169103" posx="781" posy="297" dir="3"/&gt;</v>
      </c>
    </row>
    <row r="37" spans="1:11">
      <c r="A37">
        <f>Sheet1!A45</f>
        <v>13108</v>
      </c>
      <c r="B37" t="str">
        <f>Sheet1!B45</f>
        <v>空度禅师</v>
      </c>
      <c r="C37">
        <f>Sheet1!Q45</f>
        <v>1005</v>
      </c>
      <c r="D37">
        <f>Sheet1!R45</f>
        <v>463</v>
      </c>
      <c r="E37">
        <f>Sheet1!U45</f>
        <v>5</v>
      </c>
      <c r="F37" t="str">
        <f t="shared" ref="F37" si="187">F36</f>
        <v>&lt;record id="</v>
      </c>
      <c r="G37" t="str">
        <f t="shared" ref="G37" si="188">G36</f>
        <v>" posx="</v>
      </c>
      <c r="H37" t="str">
        <f t="shared" ref="H37" si="189">H36</f>
        <v>" posy="</v>
      </c>
      <c r="I37" t="str">
        <f t="shared" ref="I37" si="190">I36</f>
        <v>" dir="</v>
      </c>
      <c r="J37" t="str">
        <f t="shared" ref="J37" si="191">J36</f>
        <v>"/&gt;</v>
      </c>
      <c r="K37" t="str">
        <f t="shared" ref="K37" si="192">F37&amp;A37&amp;G37&amp;C37&amp;H37&amp;D37&amp;I37&amp;E37&amp;J37</f>
        <v>&lt;record id="13108" posx="1005" posy="463" dir="5"/&gt;</v>
      </c>
    </row>
    <row r="38" spans="1:11">
      <c r="A38">
        <f>Sheet1!A46</f>
        <v>169201</v>
      </c>
      <c r="B38" t="str">
        <f>Sheet1!B46</f>
        <v>恭喜发财</v>
      </c>
      <c r="C38">
        <f>Sheet1!Q46</f>
        <v>784</v>
      </c>
      <c r="D38">
        <f>Sheet1!R46</f>
        <v>400</v>
      </c>
      <c r="E38">
        <f>Sheet1!U46</f>
        <v>3</v>
      </c>
      <c r="F38" t="str">
        <f t="shared" ref="F38" si="193">F37</f>
        <v>&lt;record id="</v>
      </c>
      <c r="G38" t="str">
        <f t="shared" ref="G38" si="194">G37</f>
        <v>" posx="</v>
      </c>
      <c r="H38" t="str">
        <f t="shared" ref="H38" si="195">H37</f>
        <v>" posy="</v>
      </c>
      <c r="I38" t="str">
        <f t="shared" ref="I38" si="196">I37</f>
        <v>" dir="</v>
      </c>
      <c r="J38" t="str">
        <f t="shared" ref="J38" si="197">J37</f>
        <v>"/&gt;</v>
      </c>
      <c r="K38" t="str">
        <f t="shared" ref="K38" si="198">F38&amp;A38&amp;G38&amp;C38&amp;H38&amp;D38&amp;I38&amp;E38&amp;J38</f>
        <v>&lt;record id="169201" posx="784" posy="400" dir="3"/&gt;</v>
      </c>
    </row>
    <row r="39" spans="1:11">
      <c r="A39">
        <f>Sheet1!A47</f>
        <v>169202</v>
      </c>
      <c r="B39" t="str">
        <f>Sheet1!B47</f>
        <v>化生寺代表队</v>
      </c>
      <c r="C39">
        <f>Sheet1!Q47</f>
        <v>528</v>
      </c>
      <c r="D39">
        <f>Sheet1!R47</f>
        <v>432</v>
      </c>
      <c r="E39">
        <f>Sheet1!U47</f>
        <v>4</v>
      </c>
      <c r="F39" t="str">
        <f t="shared" ref="F39" si="199">F38</f>
        <v>&lt;record id="</v>
      </c>
      <c r="G39" t="str">
        <f t="shared" ref="G39" si="200">G38</f>
        <v>" posx="</v>
      </c>
      <c r="H39" t="str">
        <f t="shared" ref="H39" si="201">H38</f>
        <v>" posy="</v>
      </c>
      <c r="I39" t="str">
        <f t="shared" ref="I39" si="202">I38</f>
        <v>" dir="</v>
      </c>
      <c r="J39" t="str">
        <f t="shared" ref="J39" si="203">J38</f>
        <v>"/&gt;</v>
      </c>
      <c r="K39" t="str">
        <f t="shared" ref="K39" si="204">F39&amp;A39&amp;G39&amp;C39&amp;H39&amp;D39&amp;I39&amp;E39&amp;J39</f>
        <v>&lt;record id="169202" posx="528" posy="432" dir="4"/&gt;</v>
      </c>
    </row>
    <row r="40" spans="1:11">
      <c r="A40">
        <f>Sheet1!A48</f>
        <v>169203</v>
      </c>
      <c r="B40" t="str">
        <f>Sheet1!B48</f>
        <v>传送人</v>
      </c>
      <c r="C40">
        <f>Sheet1!Q48</f>
        <v>1092</v>
      </c>
      <c r="D40">
        <f>Sheet1!R48</f>
        <v>761</v>
      </c>
      <c r="E40">
        <f>Sheet1!U48</f>
        <v>3</v>
      </c>
      <c r="F40" t="str">
        <f t="shared" ref="F40" si="205">F39</f>
        <v>&lt;record id="</v>
      </c>
      <c r="G40" t="str">
        <f t="shared" ref="G40" si="206">G39</f>
        <v>" posx="</v>
      </c>
      <c r="H40" t="str">
        <f t="shared" ref="H40" si="207">H39</f>
        <v>" posy="</v>
      </c>
      <c r="I40" t="str">
        <f t="shared" ref="I40" si="208">I39</f>
        <v>" dir="</v>
      </c>
      <c r="J40" t="str">
        <f t="shared" ref="J40" si="209">J39</f>
        <v>"/&gt;</v>
      </c>
      <c r="K40" t="str">
        <f t="shared" ref="K40" si="210">F40&amp;A40&amp;G40&amp;C40&amp;H40&amp;D40&amp;I40&amp;E40&amp;J40</f>
        <v>&lt;record id="169203" posx="1092" posy="761" dir="3"/&gt;</v>
      </c>
    </row>
    <row r="41" spans="1:11">
      <c r="A41">
        <f>Sheet1!A66</f>
        <v>160501</v>
      </c>
      <c r="B41" t="str">
        <f>Sheet1!B66</f>
        <v>偷偷怪</v>
      </c>
      <c r="C41">
        <f>Sheet1!Q66</f>
        <v>608</v>
      </c>
      <c r="D41">
        <f>Sheet1!R66</f>
        <v>448</v>
      </c>
      <c r="E41">
        <f>Sheet1!U66</f>
        <v>3</v>
      </c>
      <c r="F41" t="str">
        <f t="shared" ref="F41" si="211">F40</f>
        <v>&lt;record id="</v>
      </c>
      <c r="G41" t="str">
        <f t="shared" ref="G41" si="212">G40</f>
        <v>" posx="</v>
      </c>
      <c r="H41" t="str">
        <f t="shared" ref="H41" si="213">H40</f>
        <v>" posy="</v>
      </c>
      <c r="I41" t="str">
        <f t="shared" ref="I41" si="214">I40</f>
        <v>" dir="</v>
      </c>
      <c r="J41" t="str">
        <f t="shared" ref="J41" si="215">J40</f>
        <v>"/&gt;</v>
      </c>
      <c r="K41" t="str">
        <f t="shared" ref="K41" si="216">F41&amp;A41&amp;G41&amp;C41&amp;H41&amp;D41&amp;I41&amp;E41&amp;J41</f>
        <v>&lt;record id="160501" posx="608" posy="448" dir="3"/&gt;</v>
      </c>
    </row>
    <row r="42" spans="1:11">
      <c r="A42">
        <f>Sheet1!A67</f>
        <v>160502</v>
      </c>
      <c r="B42" t="str">
        <f>Sheet1!B67</f>
        <v>勇者之剑</v>
      </c>
      <c r="C42">
        <f>Sheet1!Q67</f>
        <v>304</v>
      </c>
      <c r="D42">
        <f>Sheet1!R67</f>
        <v>656</v>
      </c>
      <c r="E42">
        <f>Sheet1!U67</f>
        <v>3</v>
      </c>
      <c r="F42" t="str">
        <f t="shared" ref="F42" si="217">F41</f>
        <v>&lt;record id="</v>
      </c>
      <c r="G42" t="str">
        <f t="shared" ref="G42" si="218">G41</f>
        <v>" posx="</v>
      </c>
      <c r="H42" t="str">
        <f t="shared" ref="H42" si="219">H41</f>
        <v>" posy="</v>
      </c>
      <c r="I42" t="str">
        <f t="shared" ref="I42" si="220">I41</f>
        <v>" dir="</v>
      </c>
      <c r="J42" t="str">
        <f t="shared" ref="J42" si="221">J41</f>
        <v>"/&gt;</v>
      </c>
      <c r="K42" t="str">
        <f t="shared" ref="K42" si="222">F42&amp;A42&amp;G42&amp;C42&amp;H42&amp;D42&amp;I42&amp;E42&amp;J42</f>
        <v>&lt;record id="160502" posx="304" posy="656" dir="3"/&gt;</v>
      </c>
    </row>
    <row r="43" spans="1:11">
      <c r="A43">
        <f>Sheet1!A68</f>
        <v>160503</v>
      </c>
      <c r="B43" t="str">
        <f>Sheet1!B68</f>
        <v>袁守城</v>
      </c>
      <c r="C43">
        <f>Sheet1!Q68</f>
        <v>0</v>
      </c>
      <c r="D43">
        <f>Sheet1!R68</f>
        <v>0</v>
      </c>
      <c r="E43">
        <f>Sheet1!U68</f>
        <v>3</v>
      </c>
      <c r="F43" t="str">
        <f t="shared" ref="F43" si="223">F42</f>
        <v>&lt;record id="</v>
      </c>
      <c r="G43" t="str">
        <f t="shared" ref="G43" si="224">G42</f>
        <v>" posx="</v>
      </c>
      <c r="H43" t="str">
        <f t="shared" ref="H43" si="225">H42</f>
        <v>" posy="</v>
      </c>
      <c r="I43" t="str">
        <f t="shared" ref="I43" si="226">I42</f>
        <v>" dir="</v>
      </c>
      <c r="J43" t="str">
        <f t="shared" ref="J43" si="227">J42</f>
        <v>"/&gt;</v>
      </c>
      <c r="K43" t="str">
        <f t="shared" ref="K43" si="228">F43&amp;A43&amp;G43&amp;C43&amp;H43&amp;D43&amp;I43&amp;E43&amp;J43</f>
        <v>&lt;record id="160503" posx="0" posy="0" dir="3"/&gt;</v>
      </c>
    </row>
    <row r="44" spans="1:11">
      <c r="A44">
        <f>Sheet1!A75</f>
        <v>160601</v>
      </c>
      <c r="B44" t="str">
        <f>Sheet1!B75</f>
        <v>小德子</v>
      </c>
      <c r="C44">
        <f>Sheet1!Q75</f>
        <v>436</v>
      </c>
      <c r="D44">
        <f>Sheet1!R75</f>
        <v>654</v>
      </c>
      <c r="E44">
        <f>Sheet1!U75</f>
        <v>3</v>
      </c>
      <c r="F44" t="str">
        <f t="shared" ref="F44" si="229">F43</f>
        <v>&lt;record id="</v>
      </c>
      <c r="G44" t="str">
        <f t="shared" ref="G44" si="230">G43</f>
        <v>" posx="</v>
      </c>
      <c r="H44" t="str">
        <f t="shared" ref="H44" si="231">H43</f>
        <v>" posy="</v>
      </c>
      <c r="I44" t="str">
        <f t="shared" ref="I44" si="232">I43</f>
        <v>" dir="</v>
      </c>
      <c r="J44" t="str">
        <f t="shared" ref="J44" si="233">J43</f>
        <v>"/&gt;</v>
      </c>
      <c r="K44" t="str">
        <f t="shared" ref="K44" si="234">F44&amp;A44&amp;G44&amp;C44&amp;H44&amp;D44&amp;I44&amp;E44&amp;J44</f>
        <v>&lt;record id="160601" posx="436" posy="654" dir="3"/&gt;</v>
      </c>
    </row>
    <row r="45" spans="1:11">
      <c r="A45">
        <f>Sheet1!A76</f>
        <v>160602</v>
      </c>
      <c r="B45" t="str">
        <f>Sheet1!B76</f>
        <v>小白龙</v>
      </c>
      <c r="C45">
        <f>Sheet1!Q76</f>
        <v>622</v>
      </c>
      <c r="D45">
        <f>Sheet1!R76</f>
        <v>553</v>
      </c>
      <c r="E45">
        <f>Sheet1!U76</f>
        <v>5</v>
      </c>
      <c r="F45" t="str">
        <f t="shared" ref="F45" si="235">F44</f>
        <v>&lt;record id="</v>
      </c>
      <c r="G45" t="str">
        <f t="shared" ref="G45" si="236">G44</f>
        <v>" posx="</v>
      </c>
      <c r="H45" t="str">
        <f t="shared" ref="H45" si="237">H44</f>
        <v>" posy="</v>
      </c>
      <c r="I45" t="str">
        <f t="shared" ref="I45" si="238">I44</f>
        <v>" dir="</v>
      </c>
      <c r="J45" t="str">
        <f t="shared" ref="J45" si="239">J44</f>
        <v>"/&gt;</v>
      </c>
      <c r="K45" t="str">
        <f t="shared" ref="K45" si="240">F45&amp;A45&amp;G45&amp;C45&amp;H45&amp;D45&amp;I45&amp;E45&amp;J45</f>
        <v>&lt;record id="160602" posx="622" posy="553" dir="5"/&gt;</v>
      </c>
    </row>
    <row r="46" spans="1:11">
      <c r="A46">
        <f>Sheet1!A77</f>
        <v>160603</v>
      </c>
      <c r="B46" t="str">
        <f>Sheet1!B77</f>
        <v>三太子</v>
      </c>
      <c r="C46">
        <f>Sheet1!Q77</f>
        <v>570</v>
      </c>
      <c r="D46">
        <f>Sheet1!R77</f>
        <v>490</v>
      </c>
      <c r="E46">
        <f>Sheet1!U77</f>
        <v>3</v>
      </c>
      <c r="F46" t="str">
        <f t="shared" ref="F46" si="241">F45</f>
        <v>&lt;record id="</v>
      </c>
      <c r="G46" t="str">
        <f t="shared" ref="G46" si="242">G45</f>
        <v>" posx="</v>
      </c>
      <c r="H46" t="str">
        <f t="shared" ref="H46" si="243">H45</f>
        <v>" posy="</v>
      </c>
      <c r="I46" t="str">
        <f t="shared" ref="I46" si="244">I45</f>
        <v>" dir="</v>
      </c>
      <c r="J46" t="str">
        <f t="shared" ref="J46" si="245">J45</f>
        <v>"/&gt;</v>
      </c>
      <c r="K46" t="str">
        <f t="shared" ref="K46" si="246">F46&amp;A46&amp;G46&amp;C46&amp;H46&amp;D46&amp;I46&amp;E46&amp;J46</f>
        <v>&lt;record id="160603" posx="570" posy="490" dir="3"/&gt;</v>
      </c>
    </row>
    <row r="47" spans="1:11">
      <c r="A47">
        <f>Sheet1!A78</f>
        <v>160604</v>
      </c>
      <c r="B47" t="str">
        <f>Sheet1!B78</f>
        <v>猴王</v>
      </c>
      <c r="C47">
        <f>Sheet1!Q78</f>
        <v>542</v>
      </c>
      <c r="D47">
        <f>Sheet1!R78</f>
        <v>1325</v>
      </c>
      <c r="E47">
        <f>Sheet1!U78</f>
        <v>3</v>
      </c>
      <c r="F47" t="str">
        <f t="shared" ref="F47" si="247">F46</f>
        <v>&lt;record id="</v>
      </c>
      <c r="G47" t="str">
        <f t="shared" ref="G47" si="248">G46</f>
        <v>" posx="</v>
      </c>
      <c r="H47" t="str">
        <f t="shared" ref="H47" si="249">H46</f>
        <v>" posy="</v>
      </c>
      <c r="I47" t="str">
        <f t="shared" ref="I47" si="250">I46</f>
        <v>" dir="</v>
      </c>
      <c r="J47" t="str">
        <f t="shared" ref="J47" si="251">J46</f>
        <v>"/&gt;</v>
      </c>
      <c r="K47" t="str">
        <f t="shared" ref="K47" si="252">F47&amp;A47&amp;G47&amp;C47&amp;H47&amp;D47&amp;I47&amp;E47&amp;J47</f>
        <v>&lt;record id="160604" posx="542" posy="1325" dir="3"/&gt;</v>
      </c>
    </row>
    <row r="48" spans="1:11">
      <c r="A48">
        <f>Sheet1!A79</f>
        <v>160605</v>
      </c>
      <c r="B48" t="str">
        <f>Sheet1!B79</f>
        <v>守卫</v>
      </c>
      <c r="C48">
        <f>Sheet1!Q79</f>
        <v>1414</v>
      </c>
      <c r="D48">
        <f>Sheet1!R79</f>
        <v>1574</v>
      </c>
      <c r="E48">
        <f>Sheet1!U79</f>
        <v>3</v>
      </c>
      <c r="F48" t="str">
        <f t="shared" ref="F48" si="253">F47</f>
        <v>&lt;record id="</v>
      </c>
      <c r="G48" t="str">
        <f t="shared" ref="G48" si="254">G47</f>
        <v>" posx="</v>
      </c>
      <c r="H48" t="str">
        <f t="shared" ref="H48" si="255">H47</f>
        <v>" posy="</v>
      </c>
      <c r="I48" t="str">
        <f t="shared" ref="I48" si="256">I47</f>
        <v>" dir="</v>
      </c>
      <c r="J48" t="str">
        <f t="shared" ref="J48" si="257">J47</f>
        <v>"/&gt;</v>
      </c>
      <c r="K48" t="str">
        <f t="shared" ref="K48" si="258">F48&amp;A48&amp;G48&amp;C48&amp;H48&amp;D48&amp;I48&amp;E48&amp;J48</f>
        <v>&lt;record id="160605" posx="1414" posy="1574" dir="3"/&gt;</v>
      </c>
    </row>
    <row r="49" spans="1:11">
      <c r="A49">
        <f>Sheet1!A80</f>
        <v>160606</v>
      </c>
      <c r="B49" t="str">
        <f>Sheet1!B80</f>
        <v>猴王</v>
      </c>
      <c r="C49">
        <f>Sheet1!Q80</f>
        <v>2001</v>
      </c>
      <c r="D49">
        <f>Sheet1!R80</f>
        <v>1319</v>
      </c>
      <c r="E49">
        <f>Sheet1!U80</f>
        <v>5</v>
      </c>
      <c r="F49" t="str">
        <f t="shared" ref="F49" si="259">F48</f>
        <v>&lt;record id="</v>
      </c>
      <c r="G49" t="str">
        <f t="shared" ref="G49" si="260">G48</f>
        <v>" posx="</v>
      </c>
      <c r="H49" t="str">
        <f t="shared" ref="H49" si="261">H48</f>
        <v>" posy="</v>
      </c>
      <c r="I49" t="str">
        <f t="shared" ref="I49" si="262">I48</f>
        <v>" dir="</v>
      </c>
      <c r="J49" t="str">
        <f t="shared" ref="J49" si="263">J48</f>
        <v>"/&gt;</v>
      </c>
      <c r="K49" t="str">
        <f t="shared" ref="K49" si="264">F49&amp;A49&amp;G49&amp;C49&amp;H49&amp;D49&amp;I49&amp;E49&amp;J49</f>
        <v>&lt;record id="160606" posx="2001" posy="1319" dir="5"/&gt;</v>
      </c>
    </row>
    <row r="50" spans="1:11">
      <c r="A50">
        <f>Sheet1!A81</f>
        <v>160607</v>
      </c>
      <c r="B50" t="str">
        <f>Sheet1!B81</f>
        <v>陈员外</v>
      </c>
      <c r="C50">
        <f>Sheet1!Q81</f>
        <v>1156</v>
      </c>
      <c r="D50">
        <f>Sheet1!R81</f>
        <v>1142</v>
      </c>
      <c r="E50">
        <f>Sheet1!U81</f>
        <v>3</v>
      </c>
      <c r="F50" t="str">
        <f t="shared" ref="F50" si="265">F49</f>
        <v>&lt;record id="</v>
      </c>
      <c r="G50" t="str">
        <f t="shared" ref="G50" si="266">G49</f>
        <v>" posx="</v>
      </c>
      <c r="H50" t="str">
        <f t="shared" ref="H50" si="267">H49</f>
        <v>" posy="</v>
      </c>
      <c r="I50" t="str">
        <f t="shared" ref="I50" si="268">I49</f>
        <v>" dir="</v>
      </c>
      <c r="J50" t="str">
        <f t="shared" ref="J50" si="269">J49</f>
        <v>"/&gt;</v>
      </c>
      <c r="K50" t="str">
        <f t="shared" ref="K50" si="270">F50&amp;A50&amp;G50&amp;C50&amp;H50&amp;D50&amp;I50&amp;E50&amp;J50</f>
        <v>&lt;record id="160607" posx="1156" posy="1142" dir="3"/&gt;</v>
      </c>
    </row>
    <row r="51" spans="1:11">
      <c r="A51">
        <f>Sheet1!A82</f>
        <v>160608</v>
      </c>
      <c r="B51" t="str">
        <f>Sheet1!B82</f>
        <v>珠宝商人</v>
      </c>
      <c r="C51">
        <f>Sheet1!Q82</f>
        <v>1117</v>
      </c>
      <c r="D51">
        <f>Sheet1!R82</f>
        <v>1015</v>
      </c>
      <c r="E51">
        <f>Sheet1!U82</f>
        <v>3</v>
      </c>
      <c r="F51" t="str">
        <f t="shared" ref="F51" si="271">F50</f>
        <v>&lt;record id="</v>
      </c>
      <c r="G51" t="str">
        <f t="shared" ref="G51" si="272">G50</f>
        <v>" posx="</v>
      </c>
      <c r="H51" t="str">
        <f t="shared" ref="H51" si="273">H50</f>
        <v>" posy="</v>
      </c>
      <c r="I51" t="str">
        <f t="shared" ref="I51" si="274">I50</f>
        <v>" dir="</v>
      </c>
      <c r="J51" t="str">
        <f t="shared" ref="J51" si="275">J50</f>
        <v>"/&gt;</v>
      </c>
      <c r="K51" t="str">
        <f t="shared" ref="K51" si="276">F51&amp;A51&amp;G51&amp;C51&amp;H51&amp;D51&amp;I51&amp;E51&amp;J51</f>
        <v>&lt;record id="160608" posx="1117" posy="1015" dir="3"/&gt;</v>
      </c>
    </row>
    <row r="52" spans="1:11">
      <c r="A52">
        <f>Sheet1!A83</f>
        <v>160609</v>
      </c>
      <c r="B52" t="str">
        <f>Sheet1!B83</f>
        <v>五火球教徒</v>
      </c>
      <c r="C52">
        <f>Sheet1!Q83</f>
        <v>1020</v>
      </c>
      <c r="D52">
        <f>Sheet1!R83</f>
        <v>1151</v>
      </c>
      <c r="E52">
        <f>Sheet1!U83</f>
        <v>3</v>
      </c>
      <c r="F52" t="str">
        <f t="shared" ref="F52" si="277">F51</f>
        <v>&lt;record id="</v>
      </c>
      <c r="G52" t="str">
        <f t="shared" ref="G52" si="278">G51</f>
        <v>" posx="</v>
      </c>
      <c r="H52" t="str">
        <f t="shared" ref="H52" si="279">H51</f>
        <v>" posy="</v>
      </c>
      <c r="I52" t="str">
        <f t="shared" ref="I52" si="280">I51</f>
        <v>" dir="</v>
      </c>
      <c r="J52" t="str">
        <f t="shared" ref="J52" si="281">J51</f>
        <v>"/&gt;</v>
      </c>
      <c r="K52" t="str">
        <f t="shared" ref="K52" si="282">F52&amp;A52&amp;G52&amp;C52&amp;H52&amp;D52&amp;I52&amp;E52&amp;J52</f>
        <v>&lt;record id="160609" posx="1020" posy="1151" dir="3"/&gt;</v>
      </c>
    </row>
    <row r="53" spans="1:11">
      <c r="A53">
        <f>Sheet1!A84</f>
        <v>160610</v>
      </c>
      <c r="B53" t="str">
        <f>Sheet1!B84</f>
        <v>五火球教徒</v>
      </c>
      <c r="C53">
        <f>Sheet1!Q84</f>
        <v>1257</v>
      </c>
      <c r="D53">
        <f>Sheet1!R84</f>
        <v>1070</v>
      </c>
      <c r="E53">
        <f>Sheet1!U84</f>
        <v>5</v>
      </c>
      <c r="F53" t="str">
        <f t="shared" ref="F53" si="283">F52</f>
        <v>&lt;record id="</v>
      </c>
      <c r="G53" t="str">
        <f t="shared" ref="G53" si="284">G52</f>
        <v>" posx="</v>
      </c>
      <c r="H53" t="str">
        <f t="shared" ref="H53" si="285">H52</f>
        <v>" posy="</v>
      </c>
      <c r="I53" t="str">
        <f t="shared" ref="I53" si="286">I52</f>
        <v>" dir="</v>
      </c>
      <c r="J53" t="str">
        <f t="shared" ref="J53" si="287">J52</f>
        <v>"/&gt;</v>
      </c>
      <c r="K53" t="str">
        <f t="shared" ref="K53" si="288">F53&amp;A53&amp;G53&amp;C53&amp;H53&amp;D53&amp;I53&amp;E53&amp;J53</f>
        <v>&lt;record id="160610" posx="1257" posy="1070" dir="5"/&gt;</v>
      </c>
    </row>
    <row r="54" spans="1:11">
      <c r="A54">
        <f>Sheet1!A85</f>
        <v>160611</v>
      </c>
      <c r="B54" t="str">
        <f>Sheet1!B85</f>
        <v>五火球教徒</v>
      </c>
      <c r="C54">
        <f>Sheet1!Q85</f>
        <v>1124</v>
      </c>
      <c r="D54">
        <f>Sheet1!R85</f>
        <v>1276</v>
      </c>
      <c r="E54">
        <f>Sheet1!U85</f>
        <v>1</v>
      </c>
      <c r="F54" t="str">
        <f t="shared" ref="F54" si="289">F53</f>
        <v>&lt;record id="</v>
      </c>
      <c r="G54" t="str">
        <f t="shared" ref="G54" si="290">G53</f>
        <v>" posx="</v>
      </c>
      <c r="H54" t="str">
        <f t="shared" ref="H54" si="291">H53</f>
        <v>" posy="</v>
      </c>
      <c r="I54" t="str">
        <f t="shared" ref="I54" si="292">I53</f>
        <v>" dir="</v>
      </c>
      <c r="J54" t="str">
        <f t="shared" ref="J54" si="293">J53</f>
        <v>"/&gt;</v>
      </c>
      <c r="K54" t="str">
        <f t="shared" ref="K54" si="294">F54&amp;A54&amp;G54&amp;C54&amp;H54&amp;D54&amp;I54&amp;E54&amp;J54</f>
        <v>&lt;record id="160611" posx="1124" posy="1276" dir="1"/&gt;</v>
      </c>
    </row>
    <row r="55" spans="1:11">
      <c r="A55">
        <f>Sheet1!A86</f>
        <v>160612</v>
      </c>
      <c r="B55" t="str">
        <f>Sheet1!B86</f>
        <v>五火球教徒</v>
      </c>
      <c r="C55">
        <f>Sheet1!Q86</f>
        <v>1251</v>
      </c>
      <c r="D55">
        <f>Sheet1!R86</f>
        <v>1129</v>
      </c>
      <c r="E55">
        <f>Sheet1!U86</f>
        <v>7</v>
      </c>
      <c r="F55" t="str">
        <f t="shared" ref="F55" si="295">F54</f>
        <v>&lt;record id="</v>
      </c>
      <c r="G55" t="str">
        <f t="shared" ref="G55" si="296">G54</f>
        <v>" posx="</v>
      </c>
      <c r="H55" t="str">
        <f t="shared" ref="H55" si="297">H54</f>
        <v>" posy="</v>
      </c>
      <c r="I55" t="str">
        <f t="shared" ref="I55" si="298">I54</f>
        <v>" dir="</v>
      </c>
      <c r="J55" t="str">
        <f t="shared" ref="J55" si="299">J54</f>
        <v>"/&gt;</v>
      </c>
      <c r="K55" t="str">
        <f t="shared" ref="K55" si="300">F55&amp;A55&amp;G55&amp;C55&amp;H55&amp;D55&amp;I55&amp;E55&amp;J55</f>
        <v>&lt;record id="160612" posx="1251" posy="1129" dir="7"/&gt;</v>
      </c>
    </row>
    <row r="56" spans="1:11">
      <c r="A56">
        <f>Sheet1!A91</f>
        <v>160701</v>
      </c>
      <c r="B56" t="str">
        <f>Sheet1!B91</f>
        <v>王母娘娘</v>
      </c>
      <c r="C56">
        <f>Sheet1!Q91</f>
        <v>0</v>
      </c>
      <c r="D56">
        <f>Sheet1!R91</f>
        <v>0</v>
      </c>
      <c r="E56">
        <f>Sheet1!U91</f>
        <v>1</v>
      </c>
      <c r="F56" t="str">
        <f t="shared" ref="F56" si="301">F55</f>
        <v>&lt;record id="</v>
      </c>
      <c r="G56" t="str">
        <f t="shared" ref="G56" si="302">G55</f>
        <v>" posx="</v>
      </c>
      <c r="H56" t="str">
        <f t="shared" ref="H56" si="303">H55</f>
        <v>" posy="</v>
      </c>
      <c r="I56" t="str">
        <f t="shared" ref="I56" si="304">I55</f>
        <v>" dir="</v>
      </c>
      <c r="J56" t="str">
        <f t="shared" ref="J56" si="305">J55</f>
        <v>"/&gt;</v>
      </c>
      <c r="K56" t="str">
        <f t="shared" ref="K56" si="306">F56&amp;A56&amp;G56&amp;C56&amp;H56&amp;D56&amp;I56&amp;E56&amp;J56</f>
        <v>&lt;record id="160701" posx="0" posy="0" dir="1"/&gt;</v>
      </c>
    </row>
    <row r="57" spans="1:11">
      <c r="A57">
        <f>Sheet1!A92</f>
        <v>160702</v>
      </c>
      <c r="B57" t="str">
        <f>Sheet1!B92</f>
        <v>太白金星</v>
      </c>
      <c r="C57">
        <f>Sheet1!Q92</f>
        <v>0</v>
      </c>
      <c r="D57">
        <f>Sheet1!R92</f>
        <v>0</v>
      </c>
      <c r="E57">
        <f>Sheet1!U92</f>
        <v>3</v>
      </c>
      <c r="F57" t="str">
        <f t="shared" ref="F57" si="307">F56</f>
        <v>&lt;record id="</v>
      </c>
      <c r="G57" t="str">
        <f t="shared" ref="G57" si="308">G56</f>
        <v>" posx="</v>
      </c>
      <c r="H57" t="str">
        <f t="shared" ref="H57" si="309">H56</f>
        <v>" posy="</v>
      </c>
      <c r="I57" t="str">
        <f t="shared" ref="I57" si="310">I56</f>
        <v>" dir="</v>
      </c>
      <c r="J57" t="str">
        <f t="shared" ref="J57" si="311">J56</f>
        <v>"/&gt;</v>
      </c>
      <c r="K57" t="str">
        <f t="shared" ref="K57" si="312">F57&amp;A57&amp;G57&amp;C57&amp;H57&amp;D57&amp;I57&amp;E57&amp;J57</f>
        <v>&lt;record id="160702" posx="0" posy="0" dir="3"/&gt;</v>
      </c>
    </row>
    <row r="58" spans="1:11">
      <c r="A58">
        <f>Sheet1!A93</f>
        <v>160703</v>
      </c>
      <c r="B58" t="str">
        <f>Sheet1!B93</f>
        <v>玉皇大帝</v>
      </c>
      <c r="C58">
        <f>Sheet1!Q93</f>
        <v>0</v>
      </c>
      <c r="D58">
        <f>Sheet1!R93</f>
        <v>0</v>
      </c>
      <c r="E58">
        <f>Sheet1!U93</f>
        <v>3</v>
      </c>
      <c r="F58" t="str">
        <f t="shared" ref="F58" si="313">F57</f>
        <v>&lt;record id="</v>
      </c>
      <c r="G58" t="str">
        <f t="shared" ref="G58" si="314">G57</f>
        <v>" posx="</v>
      </c>
      <c r="H58" t="str">
        <f t="shared" ref="H58" si="315">H57</f>
        <v>" posy="</v>
      </c>
      <c r="I58" t="str">
        <f t="shared" ref="I58" si="316">I57</f>
        <v>" dir="</v>
      </c>
      <c r="J58" t="str">
        <f t="shared" ref="J58" si="317">J57</f>
        <v>"/&gt;</v>
      </c>
      <c r="K58" t="str">
        <f t="shared" ref="K58" si="318">F58&amp;A58&amp;G58&amp;C58&amp;H58&amp;D58&amp;I58&amp;E58&amp;J58</f>
        <v>&lt;record id="160703" posx="0" posy="0" dir="3"/&gt;</v>
      </c>
    </row>
    <row r="59" spans="1:11">
      <c r="A59">
        <f>Sheet1!A95</f>
        <v>160801</v>
      </c>
      <c r="B59" t="str">
        <f>Sheet1!B95</f>
        <v>沉鱼</v>
      </c>
      <c r="C59">
        <f>Sheet1!Q95</f>
        <v>1911</v>
      </c>
      <c r="D59">
        <f>Sheet1!R95</f>
        <v>1050</v>
      </c>
      <c r="E59">
        <f>Sheet1!U95</f>
        <v>5</v>
      </c>
      <c r="F59" t="str">
        <f t="shared" ref="F59" si="319">F58</f>
        <v>&lt;record id="</v>
      </c>
      <c r="G59" t="str">
        <f t="shared" ref="G59" si="320">G58</f>
        <v>" posx="</v>
      </c>
      <c r="H59" t="str">
        <f t="shared" ref="H59" si="321">H58</f>
        <v>" posy="</v>
      </c>
      <c r="I59" t="str">
        <f t="shared" ref="I59" si="322">I58</f>
        <v>" dir="</v>
      </c>
      <c r="J59" t="str">
        <f t="shared" ref="J59" si="323">J58</f>
        <v>"/&gt;</v>
      </c>
      <c r="K59" t="str">
        <f t="shared" ref="K59" si="324">F59&amp;A59&amp;G59&amp;C59&amp;H59&amp;D59&amp;I59&amp;E59&amp;J59</f>
        <v>&lt;record id="160801" posx="1911" posy="1050" dir="5"/&gt;</v>
      </c>
    </row>
    <row r="60" spans="1:11">
      <c r="A60">
        <f>Sheet1!A96</f>
        <v>160802</v>
      </c>
      <c r="B60" t="str">
        <f>Sheet1!B96</f>
        <v>云乐游</v>
      </c>
      <c r="C60">
        <f>Sheet1!Q96</f>
        <v>552</v>
      </c>
      <c r="D60">
        <f>Sheet1!R96</f>
        <v>410</v>
      </c>
      <c r="E60">
        <f>Sheet1!U96</f>
        <v>5</v>
      </c>
      <c r="F60" t="str">
        <f t="shared" ref="F60" si="325">F59</f>
        <v>&lt;record id="</v>
      </c>
      <c r="G60" t="str">
        <f t="shared" ref="G60" si="326">G59</f>
        <v>" posx="</v>
      </c>
      <c r="H60" t="str">
        <f t="shared" ref="H60" si="327">H59</f>
        <v>" posy="</v>
      </c>
      <c r="I60" t="str">
        <f t="shared" ref="I60" si="328">I59</f>
        <v>" dir="</v>
      </c>
      <c r="J60" t="str">
        <f t="shared" ref="J60:J65" si="329">J59</f>
        <v>"/&gt;</v>
      </c>
      <c r="K60" t="str">
        <f t="shared" ref="K60" si="330">F60&amp;A60&amp;G60&amp;C60&amp;H60&amp;D60&amp;I60&amp;E60&amp;J60</f>
        <v>&lt;record id="160802" posx="552" posy="410" dir="5"/&gt;</v>
      </c>
    </row>
    <row r="61" spans="1:11">
      <c r="A61">
        <f>Sheet1!A97</f>
        <v>160803</v>
      </c>
      <c r="B61" t="str">
        <f>Sheet1!B97</f>
        <v>林老汉</v>
      </c>
      <c r="C61">
        <f>Sheet1!Q97</f>
        <v>260</v>
      </c>
      <c r="D61">
        <f>Sheet1!R97</f>
        <v>438</v>
      </c>
      <c r="E61">
        <f>Sheet1!U97</f>
        <v>3</v>
      </c>
      <c r="F61" t="str">
        <f t="shared" ref="F61" si="331">F60</f>
        <v>&lt;record id="</v>
      </c>
      <c r="G61" t="str">
        <f t="shared" ref="G61:G66" si="332">G60</f>
        <v>" posx="</v>
      </c>
      <c r="H61" t="str">
        <f t="shared" ref="H61" si="333">H60</f>
        <v>" posy="</v>
      </c>
      <c r="I61" t="str">
        <f t="shared" ref="I61" si="334">I60</f>
        <v>" dir="</v>
      </c>
      <c r="J61" t="str">
        <f t="shared" si="329"/>
        <v>"/&gt;</v>
      </c>
      <c r="K61" t="str">
        <f t="shared" ref="K61:K66" si="335">F61&amp;A61&amp;G61&amp;C61&amp;H61&amp;D61&amp;I61&amp;E61&amp;J61</f>
        <v>&lt;record id="160803" posx="260" posy="438" dir="3"/&gt;</v>
      </c>
    </row>
    <row r="62" spans="1:11">
      <c r="A62">
        <f>Sheet1!A98</f>
        <v>160804</v>
      </c>
      <c r="B62" t="str">
        <f>Sheet1!B98</f>
        <v>联盟猎人</v>
      </c>
      <c r="C62">
        <f>Sheet1!Q98</f>
        <v>1150</v>
      </c>
      <c r="D62">
        <f>Sheet1!R98</f>
        <v>865</v>
      </c>
      <c r="E62">
        <f>Sheet1!U98</f>
        <v>5</v>
      </c>
      <c r="F62" t="str">
        <f t="shared" ref="F62:F66" si="336">F61</f>
        <v>&lt;record id="</v>
      </c>
      <c r="G62" t="str">
        <f t="shared" si="332"/>
        <v>" posx="</v>
      </c>
      <c r="H62" t="str">
        <f t="shared" ref="H62" si="337">H61</f>
        <v>" posy="</v>
      </c>
      <c r="I62" t="str">
        <f t="shared" ref="I62:I65" si="338">I61</f>
        <v>" dir="</v>
      </c>
      <c r="J62" t="str">
        <f t="shared" si="329"/>
        <v>"/&gt;</v>
      </c>
      <c r="K62" t="str">
        <f t="shared" si="335"/>
        <v>&lt;record id="160804" posx="1150" posy="865" dir="5"/&gt;</v>
      </c>
    </row>
    <row r="63" spans="1:11">
      <c r="A63">
        <f>Sheet1!A99</f>
        <v>160805</v>
      </c>
      <c r="B63" t="str">
        <f>Sheet1!B99</f>
        <v>虾兵</v>
      </c>
      <c r="C63">
        <f>Sheet1!Q99</f>
        <v>1424</v>
      </c>
      <c r="D63">
        <f>Sheet1!R99</f>
        <v>1494</v>
      </c>
      <c r="E63">
        <f>Sheet1!U99</f>
        <v>3</v>
      </c>
      <c r="F63" t="str">
        <f t="shared" si="336"/>
        <v>&lt;record id="</v>
      </c>
      <c r="G63" t="str">
        <f t="shared" si="332"/>
        <v>" posx="</v>
      </c>
      <c r="H63" t="str">
        <f t="shared" ref="H63:H65" si="339">H62</f>
        <v>" posy="</v>
      </c>
      <c r="I63" t="str">
        <f t="shared" si="338"/>
        <v>" dir="</v>
      </c>
      <c r="J63" t="str">
        <f t="shared" si="329"/>
        <v>"/&gt;</v>
      </c>
      <c r="K63" t="str">
        <f t="shared" si="335"/>
        <v>&lt;record id="160805" posx="1424" posy="1494" dir="3"/&gt;</v>
      </c>
    </row>
    <row r="64" spans="1:11">
      <c r="A64">
        <f>Sheet1!A100</f>
        <v>160806</v>
      </c>
      <c r="B64" t="str">
        <f>Sheet1!B100</f>
        <v>潜行者</v>
      </c>
      <c r="C64">
        <f>Sheet1!Q100</f>
        <v>1124</v>
      </c>
      <c r="D64">
        <f>Sheet1!R100</f>
        <v>464</v>
      </c>
      <c r="E64">
        <f>Sheet1!U100</f>
        <v>3</v>
      </c>
      <c r="F64" t="str">
        <f t="shared" si="336"/>
        <v>&lt;record id="</v>
      </c>
      <c r="G64" t="str">
        <f t="shared" si="332"/>
        <v>" posx="</v>
      </c>
      <c r="H64" t="str">
        <f t="shared" si="339"/>
        <v>" posy="</v>
      </c>
      <c r="I64" t="str">
        <f t="shared" si="338"/>
        <v>" dir="</v>
      </c>
      <c r="J64" t="str">
        <f t="shared" si="329"/>
        <v>"/&gt;</v>
      </c>
      <c r="K64" t="str">
        <f t="shared" si="335"/>
        <v>&lt;record id="160806" posx="1124" posy="464" dir="3"/&gt;</v>
      </c>
    </row>
    <row r="65" spans="1:11">
      <c r="A65">
        <f>Sheet1!A101</f>
        <v>160807</v>
      </c>
      <c r="B65" t="str">
        <f>Sheet1!B101</f>
        <v>陈员外</v>
      </c>
      <c r="C65">
        <f>Sheet1!Q101</f>
        <v>1336</v>
      </c>
      <c r="D65">
        <f>Sheet1!R101</f>
        <v>464</v>
      </c>
      <c r="E65">
        <f>Sheet1!U101</f>
        <v>5</v>
      </c>
      <c r="F65" t="str">
        <f t="shared" si="336"/>
        <v>&lt;record id="</v>
      </c>
      <c r="G65" t="str">
        <f t="shared" si="332"/>
        <v>" posx="</v>
      </c>
      <c r="H65" t="str">
        <f t="shared" si="339"/>
        <v>" posy="</v>
      </c>
      <c r="I65" t="str">
        <f t="shared" si="338"/>
        <v>" dir="</v>
      </c>
      <c r="J65" t="str">
        <f t="shared" si="329"/>
        <v>"/&gt;</v>
      </c>
      <c r="K65" t="str">
        <f t="shared" si="335"/>
        <v>&lt;record id="160807" posx="1336" posy="464" dir="5"/&gt;</v>
      </c>
    </row>
    <row r="66" spans="1:11">
      <c r="A66">
        <f>Sheet1!A102</f>
        <v>160808</v>
      </c>
      <c r="B66" t="str">
        <f>Sheet1!B102</f>
        <v>小德</v>
      </c>
      <c r="C66">
        <f>Sheet1!Q102</f>
        <v>1674</v>
      </c>
      <c r="D66">
        <f>Sheet1!R102</f>
        <v>530</v>
      </c>
      <c r="E66">
        <f>Sheet1!U102</f>
        <v>3</v>
      </c>
      <c r="F66" t="str">
        <f t="shared" si="336"/>
        <v>&lt;record id="</v>
      </c>
      <c r="G66" t="str">
        <f t="shared" si="332"/>
        <v>" posx="</v>
      </c>
      <c r="H66" t="str">
        <f t="shared" ref="H66" si="340">H65</f>
        <v>" posy="</v>
      </c>
      <c r="I66" t="str">
        <f t="shared" ref="I66" si="341">I65</f>
        <v>" dir="</v>
      </c>
      <c r="J66" t="str">
        <f t="shared" ref="J66" si="342">J65</f>
        <v>"/&gt;</v>
      </c>
      <c r="K66" t="str">
        <f t="shared" si="335"/>
        <v>&lt;record id="160808" posx="1674" posy="530" dir="3"/&gt;</v>
      </c>
    </row>
    <row r="67" spans="1:11">
      <c r="A67">
        <f>Sheet1!A103</f>
        <v>160809</v>
      </c>
      <c r="B67" t="str">
        <f>Sheet1!B103</f>
        <v>楚恋依</v>
      </c>
      <c r="C67">
        <f>Sheet1!Q103</f>
        <v>792</v>
      </c>
      <c r="D67">
        <f>Sheet1!R103</f>
        <v>765</v>
      </c>
      <c r="E67">
        <f>Sheet1!U103</f>
        <v>3</v>
      </c>
      <c r="F67" t="str">
        <f t="shared" ref="F67" si="343">F66</f>
        <v>&lt;record id="</v>
      </c>
      <c r="G67" t="str">
        <f t="shared" ref="G67" si="344">G66</f>
        <v>" posx="</v>
      </c>
      <c r="H67" t="str">
        <f t="shared" ref="H67" si="345">H66</f>
        <v>" posy="</v>
      </c>
      <c r="I67" t="str">
        <f t="shared" ref="I67" si="346">I66</f>
        <v>" dir="</v>
      </c>
      <c r="J67" t="str">
        <f t="shared" ref="J67" si="347">J66</f>
        <v>"/&gt;</v>
      </c>
      <c r="K67" t="str">
        <f t="shared" ref="K67" si="348">F67&amp;A67&amp;G67&amp;C67&amp;H67&amp;D67&amp;I67&amp;E67&amp;J67</f>
        <v>&lt;record id="160809" posx="792" posy="765" dir="3"/&gt;</v>
      </c>
    </row>
    <row r="68" spans="1:11">
      <c r="A68">
        <f>Sheet1!A104</f>
        <v>160810</v>
      </c>
      <c r="B68" t="str">
        <f>Sheet1!B104</f>
        <v>炮姐</v>
      </c>
      <c r="C68">
        <f>Sheet1!Q104</f>
        <v>344</v>
      </c>
      <c r="D68">
        <f>Sheet1!R104</f>
        <v>1156</v>
      </c>
      <c r="E68">
        <f>Sheet1!U104</f>
        <v>3</v>
      </c>
      <c r="F68" t="str">
        <f t="shared" ref="F68" si="349">F67</f>
        <v>&lt;record id="</v>
      </c>
      <c r="G68" t="str">
        <f t="shared" ref="G68" si="350">G67</f>
        <v>" posx="</v>
      </c>
      <c r="H68" t="str">
        <f t="shared" ref="H68" si="351">H67</f>
        <v>" posy="</v>
      </c>
      <c r="I68" t="str">
        <f t="shared" ref="I68" si="352">I67</f>
        <v>" dir="</v>
      </c>
      <c r="J68" t="str">
        <f t="shared" ref="J68" si="353">J67</f>
        <v>"/&gt;</v>
      </c>
      <c r="K68" t="str">
        <f t="shared" ref="K68" si="354">F68&amp;A68&amp;G68&amp;C68&amp;H68&amp;D68&amp;I68&amp;E68&amp;J68</f>
        <v>&lt;record id="160810" posx="344" posy="1156" dir="3"/&gt;</v>
      </c>
    </row>
    <row r="69" spans="1:11">
      <c r="A69">
        <f>Sheet1!A105</f>
        <v>160811</v>
      </c>
      <c r="B69" t="str">
        <f>Sheet1!B105</f>
        <v>牧拿丁</v>
      </c>
      <c r="C69">
        <f>Sheet1!Q105</f>
        <v>283</v>
      </c>
      <c r="D69">
        <f>Sheet1!R105</f>
        <v>1270</v>
      </c>
      <c r="E69">
        <f>Sheet1!U105</f>
        <v>3</v>
      </c>
      <c r="F69" t="str">
        <f t="shared" ref="F69" si="355">F68</f>
        <v>&lt;record id="</v>
      </c>
      <c r="G69" t="str">
        <f t="shared" ref="G69" si="356">G68</f>
        <v>" posx="</v>
      </c>
      <c r="H69" t="str">
        <f t="shared" ref="H69" si="357">H68</f>
        <v>" posy="</v>
      </c>
      <c r="I69" t="str">
        <f t="shared" ref="I69" si="358">I68</f>
        <v>" dir="</v>
      </c>
      <c r="J69" t="str">
        <f t="shared" ref="J69" si="359">J68</f>
        <v>"/&gt;</v>
      </c>
      <c r="K69" t="str">
        <f t="shared" ref="K69" si="360">F69&amp;A69&amp;G69&amp;C69&amp;H69&amp;D69&amp;I69&amp;E69&amp;J69</f>
        <v>&lt;record id="160811" posx="283" posy="1270" dir="3"/&gt;</v>
      </c>
    </row>
    <row r="70" spans="1:11">
      <c r="A70">
        <f>Sheet1!A106</f>
        <v>160812</v>
      </c>
      <c r="B70" t="str">
        <f>Sheet1!B106</f>
        <v>熟人</v>
      </c>
      <c r="C70">
        <f>Sheet1!Q106</f>
        <v>457</v>
      </c>
      <c r="D70">
        <f>Sheet1!R106</f>
        <v>1030</v>
      </c>
      <c r="E70">
        <f>Sheet1!U106</f>
        <v>3</v>
      </c>
      <c r="F70" t="str">
        <f t="shared" ref="F70" si="361">F69</f>
        <v>&lt;record id="</v>
      </c>
      <c r="G70" t="str">
        <f t="shared" ref="G70" si="362">G69</f>
        <v>" posx="</v>
      </c>
      <c r="H70" t="str">
        <f t="shared" ref="H70" si="363">H69</f>
        <v>" posy="</v>
      </c>
      <c r="I70" t="str">
        <f t="shared" ref="I70" si="364">I69</f>
        <v>" dir="</v>
      </c>
      <c r="J70" t="str">
        <f t="shared" ref="J70" si="365">J69</f>
        <v>"/&gt;</v>
      </c>
      <c r="K70" t="str">
        <f t="shared" ref="K70" si="366">F70&amp;A70&amp;G70&amp;C70&amp;H70&amp;D70&amp;I70&amp;E70&amp;J70</f>
        <v>&lt;record id="160812" posx="457" posy="1030" dir="3"/&gt;</v>
      </c>
    </row>
    <row r="71" spans="1:11">
      <c r="A71">
        <f>Sheet1!A107</f>
        <v>160813</v>
      </c>
      <c r="B71" t="str">
        <f>Sheet1!B107</f>
        <v>陈员外</v>
      </c>
      <c r="C71">
        <f>Sheet1!Q107</f>
        <v>910</v>
      </c>
      <c r="D71">
        <f>Sheet1!R107</f>
        <v>752</v>
      </c>
      <c r="E71">
        <f>Sheet1!U107</f>
        <v>3</v>
      </c>
      <c r="F71" t="str">
        <f t="shared" ref="F71" si="367">F70</f>
        <v>&lt;record id="</v>
      </c>
      <c r="G71" t="str">
        <f t="shared" ref="G71" si="368">G70</f>
        <v>" posx="</v>
      </c>
      <c r="H71" t="str">
        <f t="shared" ref="H71" si="369">H70</f>
        <v>" posy="</v>
      </c>
      <c r="I71" t="str">
        <f t="shared" ref="I71" si="370">I70</f>
        <v>" dir="</v>
      </c>
      <c r="J71" t="str">
        <f t="shared" ref="J71" si="371">J70</f>
        <v>"/&gt;</v>
      </c>
      <c r="K71" t="str">
        <f t="shared" ref="K71" si="372">F71&amp;A71&amp;G71&amp;C71&amp;H71&amp;D71&amp;I71&amp;E71&amp;J71</f>
        <v>&lt;record id="160813" posx="910" posy="752" dir="3"/&gt;</v>
      </c>
    </row>
    <row r="72" spans="1:11">
      <c r="A72">
        <f>Sheet1!A108</f>
        <v>160814</v>
      </c>
      <c r="B72" t="str">
        <f>Sheet1!B108</f>
        <v>小霞</v>
      </c>
      <c r="C72">
        <f>Sheet1!Q108</f>
        <v>1080</v>
      </c>
      <c r="D72">
        <f>Sheet1!R108</f>
        <v>1007</v>
      </c>
      <c r="E72">
        <f>Sheet1!U108</f>
        <v>7</v>
      </c>
      <c r="F72" t="str">
        <f t="shared" ref="F72" si="373">F71</f>
        <v>&lt;record id="</v>
      </c>
      <c r="G72" t="str">
        <f t="shared" ref="G72" si="374">G71</f>
        <v>" posx="</v>
      </c>
      <c r="H72" t="str">
        <f t="shared" ref="H72" si="375">H71</f>
        <v>" posy="</v>
      </c>
      <c r="I72" t="str">
        <f t="shared" ref="I72" si="376">I71</f>
        <v>" dir="</v>
      </c>
      <c r="J72" t="str">
        <f t="shared" ref="J72" si="377">J71</f>
        <v>"/&gt;</v>
      </c>
      <c r="K72" t="str">
        <f t="shared" ref="K72" si="378">F72&amp;A72&amp;G72&amp;C72&amp;H72&amp;D72&amp;I72&amp;E72&amp;J72</f>
        <v>&lt;record id="160814" posx="1080" posy="1007" dir="7"/&gt;</v>
      </c>
    </row>
    <row r="73" spans="1:11">
      <c r="A73">
        <f>Sheet1!A109</f>
        <v>160815</v>
      </c>
      <c r="B73" t="str">
        <f>Sheet1!B109</f>
        <v>老虎</v>
      </c>
      <c r="C73">
        <f>Sheet1!Q109</f>
        <v>1944</v>
      </c>
      <c r="D73">
        <f>Sheet1!R109</f>
        <v>1290</v>
      </c>
      <c r="E73">
        <f>Sheet1!U109</f>
        <v>5</v>
      </c>
      <c r="F73" t="str">
        <f t="shared" ref="F73" si="379">F72</f>
        <v>&lt;record id="</v>
      </c>
      <c r="G73" t="str">
        <f t="shared" ref="G73" si="380">G72</f>
        <v>" posx="</v>
      </c>
      <c r="H73" t="str">
        <f t="shared" ref="H73" si="381">H72</f>
        <v>" posy="</v>
      </c>
      <c r="I73" t="str">
        <f t="shared" ref="I73" si="382">I72</f>
        <v>" dir="</v>
      </c>
      <c r="J73" t="str">
        <f t="shared" ref="J73" si="383">J72</f>
        <v>"/&gt;</v>
      </c>
      <c r="K73" t="str">
        <f t="shared" ref="K73" si="384">F73&amp;A73&amp;G73&amp;C73&amp;H73&amp;D73&amp;I73&amp;E73&amp;J73</f>
        <v>&lt;record id="160815" posx="1944" posy="1290" dir="5"/&gt;</v>
      </c>
    </row>
    <row r="74" spans="1:11">
      <c r="A74">
        <f>Sheet1!A111</f>
        <v>160901</v>
      </c>
      <c r="B74" t="str">
        <f>Sheet1!B111</f>
        <v>喽啰</v>
      </c>
      <c r="C74">
        <f>Sheet1!Q111</f>
        <v>372</v>
      </c>
      <c r="D74">
        <f>Sheet1!R111</f>
        <v>359</v>
      </c>
      <c r="E74">
        <f>Sheet1!U111</f>
        <v>7</v>
      </c>
      <c r="F74" t="str">
        <f t="shared" ref="F74" si="385">F73</f>
        <v>&lt;record id="</v>
      </c>
      <c r="G74" t="str">
        <f t="shared" ref="G74" si="386">G73</f>
        <v>" posx="</v>
      </c>
      <c r="H74" t="str">
        <f t="shared" ref="H74" si="387">H73</f>
        <v>" posy="</v>
      </c>
      <c r="I74" t="str">
        <f t="shared" ref="I74" si="388">I73</f>
        <v>" dir="</v>
      </c>
      <c r="J74" t="str">
        <f t="shared" ref="J74" si="389">J73</f>
        <v>"/&gt;</v>
      </c>
      <c r="K74" t="str">
        <f t="shared" ref="K74" si="390">F74&amp;A74&amp;G74&amp;C74&amp;H74&amp;D74&amp;I74&amp;E74&amp;J74</f>
        <v>&lt;record id="160901" posx="372" posy="359" dir="7"/&gt;</v>
      </c>
    </row>
    <row r="75" spans="1:11">
      <c r="A75">
        <f>Sheet1!A112</f>
        <v>160902</v>
      </c>
      <c r="B75" t="str">
        <f>Sheet1!B112</f>
        <v>喽啰</v>
      </c>
      <c r="C75">
        <f>Sheet1!Q112</f>
        <v>242</v>
      </c>
      <c r="D75">
        <f>Sheet1!R112</f>
        <v>396</v>
      </c>
      <c r="E75">
        <f>Sheet1!U112</f>
        <v>1</v>
      </c>
      <c r="F75" t="str">
        <f t="shared" ref="F75" si="391">F74</f>
        <v>&lt;record id="</v>
      </c>
      <c r="G75" t="str">
        <f t="shared" ref="G75" si="392">G74</f>
        <v>" posx="</v>
      </c>
      <c r="H75" t="str">
        <f t="shared" ref="H75" si="393">H74</f>
        <v>" posy="</v>
      </c>
      <c r="I75" t="str">
        <f t="shared" ref="I75" si="394">I74</f>
        <v>" dir="</v>
      </c>
      <c r="J75" t="str">
        <f t="shared" ref="J75" si="395">J74</f>
        <v>"/&gt;</v>
      </c>
      <c r="K75" t="str">
        <f t="shared" ref="K75" si="396">F75&amp;A75&amp;G75&amp;C75&amp;H75&amp;D75&amp;I75&amp;E75&amp;J75</f>
        <v>&lt;record id="160902" posx="242" posy="396" dir="1"/&gt;</v>
      </c>
    </row>
    <row r="76" spans="1:11">
      <c r="A76">
        <f>Sheet1!A113</f>
        <v>160903</v>
      </c>
      <c r="B76" t="str">
        <f>Sheet1!B113</f>
        <v>喽啰</v>
      </c>
      <c r="C76">
        <f>Sheet1!Q113</f>
        <v>421</v>
      </c>
      <c r="D76">
        <f>Sheet1!R113</f>
        <v>246</v>
      </c>
      <c r="E76">
        <f>Sheet1!U113</f>
        <v>5</v>
      </c>
      <c r="F76" t="str">
        <f t="shared" ref="F76" si="397">F75</f>
        <v>&lt;record id="</v>
      </c>
      <c r="G76" t="str">
        <f t="shared" ref="G76" si="398">G75</f>
        <v>" posx="</v>
      </c>
      <c r="H76" t="str">
        <f t="shared" ref="H76" si="399">H75</f>
        <v>" posy="</v>
      </c>
      <c r="I76" t="str">
        <f t="shared" ref="I76" si="400">I75</f>
        <v>" dir="</v>
      </c>
      <c r="J76" t="str">
        <f t="shared" ref="J76" si="401">J75</f>
        <v>"/&gt;</v>
      </c>
      <c r="K76" t="str">
        <f t="shared" ref="K76" si="402">F76&amp;A76&amp;G76&amp;C76&amp;H76&amp;D76&amp;I76&amp;E76&amp;J76</f>
        <v>&lt;record id="160903" posx="421" posy="246" dir="5"/&gt;</v>
      </c>
    </row>
    <row r="77" spans="1:11">
      <c r="A77">
        <f>Sheet1!A114</f>
        <v>160904</v>
      </c>
      <c r="B77" t="str">
        <f>Sheet1!B114</f>
        <v>白琉璃</v>
      </c>
      <c r="C77">
        <f>Sheet1!Q114</f>
        <v>608</v>
      </c>
      <c r="D77">
        <f>Sheet1!R114</f>
        <v>869</v>
      </c>
      <c r="E77">
        <f>Sheet1!U114</f>
        <v>3</v>
      </c>
      <c r="F77" t="str">
        <f t="shared" ref="F77" si="403">F76</f>
        <v>&lt;record id="</v>
      </c>
      <c r="G77" t="str">
        <f t="shared" ref="G77" si="404">G76</f>
        <v>" posx="</v>
      </c>
      <c r="H77" t="str">
        <f t="shared" ref="H77" si="405">H76</f>
        <v>" posy="</v>
      </c>
      <c r="I77" t="str">
        <f t="shared" ref="I77" si="406">I76</f>
        <v>" dir="</v>
      </c>
      <c r="J77" t="str">
        <f t="shared" ref="J77" si="407">J76</f>
        <v>"/&gt;</v>
      </c>
      <c r="K77" t="str">
        <f t="shared" ref="K77" si="408">F77&amp;A77&amp;G77&amp;C77&amp;H77&amp;D77&amp;I77&amp;E77&amp;J77</f>
        <v>&lt;record id="160904" posx="608" posy="869" dir="3"/&gt;</v>
      </c>
    </row>
    <row r="78" spans="1:11">
      <c r="A78">
        <f>Sheet1!A115</f>
        <v>160905</v>
      </c>
      <c r="B78" t="str">
        <f>Sheet1!B115</f>
        <v>阿紫</v>
      </c>
      <c r="C78">
        <f>Sheet1!Q115</f>
        <v>1342</v>
      </c>
      <c r="D78">
        <f>Sheet1!R115</f>
        <v>823</v>
      </c>
      <c r="E78">
        <f>Sheet1!U115</f>
        <v>5</v>
      </c>
      <c r="F78" t="str">
        <f t="shared" ref="F78" si="409">F77</f>
        <v>&lt;record id="</v>
      </c>
      <c r="G78" t="str">
        <f t="shared" ref="G78" si="410">G77</f>
        <v>" posx="</v>
      </c>
      <c r="H78" t="str">
        <f t="shared" ref="H78" si="411">H77</f>
        <v>" posy="</v>
      </c>
      <c r="I78" t="str">
        <f t="shared" ref="I78" si="412">I77</f>
        <v>" dir="</v>
      </c>
      <c r="J78" t="str">
        <f t="shared" ref="J78" si="413">J77</f>
        <v>"/&gt;</v>
      </c>
      <c r="K78" t="str">
        <f t="shared" ref="K78" si="414">F78&amp;A78&amp;G78&amp;C78&amp;H78&amp;D78&amp;I78&amp;E78&amp;J78</f>
        <v>&lt;record id="160905" posx="1342" posy="823" dir="5"/&gt;</v>
      </c>
    </row>
    <row r="79" spans="1:11">
      <c r="A79">
        <f>Sheet1!A116</f>
        <v>160906</v>
      </c>
      <c r="B79" t="str">
        <f>Sheet1!B116</f>
        <v>卷帘大将</v>
      </c>
      <c r="C79">
        <f>Sheet1!Q116</f>
        <v>1020</v>
      </c>
      <c r="D79">
        <f>Sheet1!R116</f>
        <v>639</v>
      </c>
      <c r="E79">
        <f>Sheet1!U116</f>
        <v>3</v>
      </c>
      <c r="F79" t="str">
        <f t="shared" ref="F79" si="415">F78</f>
        <v>&lt;record id="</v>
      </c>
      <c r="G79" t="str">
        <f t="shared" ref="G79" si="416">G78</f>
        <v>" posx="</v>
      </c>
      <c r="H79" t="str">
        <f t="shared" ref="H79" si="417">H78</f>
        <v>" posy="</v>
      </c>
      <c r="I79" t="str">
        <f t="shared" ref="I79" si="418">I78</f>
        <v>" dir="</v>
      </c>
      <c r="J79" t="str">
        <f t="shared" ref="J79" si="419">J78</f>
        <v>"/&gt;</v>
      </c>
      <c r="K79" t="str">
        <f t="shared" ref="K79" si="420">F79&amp;A79&amp;G79&amp;C79&amp;H79&amp;D79&amp;I79&amp;E79&amp;J79</f>
        <v>&lt;record id="160906" posx="1020" posy="639" dir="3"/&gt;</v>
      </c>
    </row>
    <row r="80" spans="1:11">
      <c r="A80">
        <f>Sheet1!A117</f>
        <v>160907</v>
      </c>
      <c r="B80" t="str">
        <f>Sheet1!B117</f>
        <v>妖风的同伙</v>
      </c>
      <c r="C80">
        <f>Sheet1!Q117</f>
        <v>1417</v>
      </c>
      <c r="D80">
        <f>Sheet1!R117</f>
        <v>419</v>
      </c>
      <c r="E80">
        <f>Sheet1!U117</f>
        <v>5</v>
      </c>
      <c r="F80" t="str">
        <f t="shared" ref="F80" si="421">F79</f>
        <v>&lt;record id="</v>
      </c>
      <c r="G80" t="str">
        <f t="shared" ref="G80" si="422">G79</f>
        <v>" posx="</v>
      </c>
      <c r="H80" t="str">
        <f t="shared" ref="H80" si="423">H79</f>
        <v>" posy="</v>
      </c>
      <c r="I80" t="str">
        <f t="shared" ref="I80" si="424">I79</f>
        <v>" dir="</v>
      </c>
      <c r="J80" t="str">
        <f t="shared" ref="J80" si="425">J79</f>
        <v>"/&gt;</v>
      </c>
      <c r="K80" t="str">
        <f t="shared" ref="K80" si="426">F80&amp;A80&amp;G80&amp;C80&amp;H80&amp;D80&amp;I80&amp;E80&amp;J80</f>
        <v>&lt;record id="160907" posx="1417" posy="419" dir="5"/&gt;</v>
      </c>
    </row>
    <row r="81" spans="1:11">
      <c r="A81">
        <f>Sheet1!A118</f>
        <v>160908</v>
      </c>
      <c r="B81" t="str">
        <f>Sheet1!B118</f>
        <v>袁守城</v>
      </c>
      <c r="C81">
        <f>Sheet1!Q118</f>
        <v>828</v>
      </c>
      <c r="D81">
        <f>Sheet1!R118</f>
        <v>242</v>
      </c>
      <c r="E81">
        <f>Sheet1!U118</f>
        <v>3</v>
      </c>
      <c r="F81" t="str">
        <f t="shared" ref="F81" si="427">F80</f>
        <v>&lt;record id="</v>
      </c>
      <c r="G81" t="str">
        <f t="shared" ref="G81" si="428">G80</f>
        <v>" posx="</v>
      </c>
      <c r="H81" t="str">
        <f t="shared" ref="H81" si="429">H80</f>
        <v>" posy="</v>
      </c>
      <c r="I81" t="str">
        <f t="shared" ref="I81" si="430">I80</f>
        <v>" dir="</v>
      </c>
      <c r="J81" t="str">
        <f t="shared" ref="J81" si="431">J80</f>
        <v>"/&gt;</v>
      </c>
      <c r="K81" t="str">
        <f t="shared" ref="K81" si="432">F81&amp;A81&amp;G81&amp;C81&amp;H81&amp;D81&amp;I81&amp;E81&amp;J81</f>
        <v>&lt;record id="160908" posx="828" posy="242" dir="3"/&gt;</v>
      </c>
    </row>
    <row r="82" spans="1:11">
      <c r="A82">
        <f>Sheet1!A119</f>
        <v>160909</v>
      </c>
      <c r="B82" t="str">
        <f>Sheet1!B119</f>
        <v>妖风</v>
      </c>
      <c r="C82">
        <f>Sheet1!Q119</f>
        <v>842</v>
      </c>
      <c r="D82">
        <f>Sheet1!R119</f>
        <v>971</v>
      </c>
      <c r="E82">
        <f>Sheet1!U119</f>
        <v>7</v>
      </c>
      <c r="F82" t="str">
        <f t="shared" ref="F82" si="433">F81</f>
        <v>&lt;record id="</v>
      </c>
      <c r="G82" t="str">
        <f t="shared" ref="G82" si="434">G81</f>
        <v>" posx="</v>
      </c>
      <c r="H82" t="str">
        <f t="shared" ref="H82" si="435">H81</f>
        <v>" posy="</v>
      </c>
      <c r="I82" t="str">
        <f t="shared" ref="I82" si="436">I81</f>
        <v>" dir="</v>
      </c>
      <c r="J82" t="str">
        <f t="shared" ref="J82" si="437">J81</f>
        <v>"/&gt;</v>
      </c>
      <c r="K82" t="str">
        <f t="shared" ref="K82" si="438">F82&amp;A82&amp;G82&amp;C82&amp;H82&amp;D82&amp;I82&amp;E82&amp;J82</f>
        <v>&lt;record id="160909" posx="842" posy="971" dir="7"/&gt;</v>
      </c>
    </row>
    <row r="83" spans="1:11">
      <c r="A83">
        <f>Sheet1!A120</f>
        <v>160910</v>
      </c>
      <c r="B83" t="str">
        <f>Sheet1!B120</f>
        <v>蟹将</v>
      </c>
      <c r="C83">
        <f>Sheet1!Q120</f>
        <v>851</v>
      </c>
      <c r="D83">
        <f>Sheet1!R120</f>
        <v>812</v>
      </c>
      <c r="E83">
        <f>Sheet1!U120</f>
        <v>5</v>
      </c>
      <c r="F83" t="str">
        <f t="shared" ref="F83" si="439">F82</f>
        <v>&lt;record id="</v>
      </c>
      <c r="G83" t="str">
        <f t="shared" ref="G83" si="440">G82</f>
        <v>" posx="</v>
      </c>
      <c r="H83" t="str">
        <f t="shared" ref="H83" si="441">H82</f>
        <v>" posy="</v>
      </c>
      <c r="I83" t="str">
        <f t="shared" ref="I83" si="442">I82</f>
        <v>" dir="</v>
      </c>
      <c r="J83" t="str">
        <f t="shared" ref="J83" si="443">J82</f>
        <v>"/&gt;</v>
      </c>
      <c r="K83" t="str">
        <f t="shared" ref="K83" si="444">F83&amp;A83&amp;G83&amp;C83&amp;H83&amp;D83&amp;I83&amp;E83&amp;J83</f>
        <v>&lt;record id="160910" posx="851" posy="812" dir="5"/&gt;</v>
      </c>
    </row>
    <row r="84" spans="1:11">
      <c r="A84">
        <f>Sheet1!A121</f>
        <v>160911</v>
      </c>
      <c r="B84" t="str">
        <f>Sheet1!B121</f>
        <v>蟹将</v>
      </c>
      <c r="C84">
        <f>Sheet1!Q121</f>
        <v>724</v>
      </c>
      <c r="D84">
        <f>Sheet1!R121</f>
        <v>1060</v>
      </c>
      <c r="E84">
        <f>Sheet1!U121</f>
        <v>7</v>
      </c>
      <c r="F84" t="str">
        <f t="shared" ref="F84" si="445">F83</f>
        <v>&lt;record id="</v>
      </c>
      <c r="G84" t="str">
        <f t="shared" ref="G84" si="446">G83</f>
        <v>" posx="</v>
      </c>
      <c r="H84" t="str">
        <f t="shared" ref="H84" si="447">H83</f>
        <v>" posy="</v>
      </c>
      <c r="I84" t="str">
        <f t="shared" ref="I84" si="448">I83</f>
        <v>" dir="</v>
      </c>
      <c r="J84" t="str">
        <f t="shared" ref="J84" si="449">J83</f>
        <v>"/&gt;</v>
      </c>
      <c r="K84" t="str">
        <f t="shared" ref="K84" si="450">F84&amp;A84&amp;G84&amp;C84&amp;H84&amp;D84&amp;I84&amp;E84&amp;J84</f>
        <v>&lt;record id="160911" posx="724" posy="1060" dir="7"/&gt;</v>
      </c>
    </row>
    <row r="85" spans="1:11">
      <c r="A85">
        <f>Sheet1!A124</f>
        <v>161001</v>
      </c>
      <c r="B85" t="str">
        <f>Sheet1!B124</f>
        <v>天蓬元帅</v>
      </c>
      <c r="C85">
        <f>Sheet1!Q124</f>
        <v>294</v>
      </c>
      <c r="D85">
        <f>Sheet1!R124</f>
        <v>278</v>
      </c>
      <c r="E85">
        <f>Sheet1!U124</f>
        <v>3</v>
      </c>
      <c r="F85" t="str">
        <f t="shared" ref="F85" si="451">F84</f>
        <v>&lt;record id="</v>
      </c>
      <c r="G85" t="str">
        <f t="shared" ref="G85" si="452">G84</f>
        <v>" posx="</v>
      </c>
      <c r="H85" t="str">
        <f t="shared" ref="H85" si="453">H84</f>
        <v>" posy="</v>
      </c>
      <c r="I85" t="str">
        <f t="shared" ref="I85" si="454">I84</f>
        <v>" dir="</v>
      </c>
      <c r="J85" t="str">
        <f t="shared" ref="J85" si="455">J84</f>
        <v>"/&gt;</v>
      </c>
      <c r="K85" t="str">
        <f t="shared" ref="K85" si="456">F85&amp;A85&amp;G85&amp;C85&amp;H85&amp;D85&amp;I85&amp;E85&amp;J85</f>
        <v>&lt;record id="161001" posx="294" posy="278" dir="3"/&gt;</v>
      </c>
    </row>
    <row r="86" spans="1:11">
      <c r="A86">
        <f>Sheet1!A125</f>
        <v>161002</v>
      </c>
      <c r="B86" t="str">
        <f>Sheet1!B125</f>
        <v>野猪精</v>
      </c>
      <c r="C86">
        <f>Sheet1!Q125</f>
        <v>630</v>
      </c>
      <c r="D86">
        <f>Sheet1!R125</f>
        <v>659</v>
      </c>
      <c r="E86">
        <f>Sheet1!U125</f>
        <v>3</v>
      </c>
      <c r="F86" t="str">
        <f t="shared" ref="F86" si="457">F85</f>
        <v>&lt;record id="</v>
      </c>
      <c r="G86" t="str">
        <f t="shared" ref="G86" si="458">G85</f>
        <v>" posx="</v>
      </c>
      <c r="H86" t="str">
        <f t="shared" ref="H86" si="459">H85</f>
        <v>" posy="</v>
      </c>
      <c r="I86" t="str">
        <f t="shared" ref="I86" si="460">I85</f>
        <v>" dir="</v>
      </c>
      <c r="J86" t="str">
        <f t="shared" ref="J86" si="461">J85</f>
        <v>"/&gt;</v>
      </c>
      <c r="K86" t="str">
        <f t="shared" ref="K86" si="462">F86&amp;A86&amp;G86&amp;C86&amp;H86&amp;D86&amp;I86&amp;E86&amp;J86</f>
        <v>&lt;record id="161002" posx="630" posy="659" dir="3"/&gt;</v>
      </c>
    </row>
    <row r="87" spans="1:11">
      <c r="A87">
        <f>Sheet1!A126</f>
        <v>161003</v>
      </c>
      <c r="B87" t="str">
        <f>Sheet1!B126</f>
        <v>高翠兰</v>
      </c>
      <c r="C87">
        <f>Sheet1!Q126</f>
        <v>638</v>
      </c>
      <c r="D87">
        <f>Sheet1!R126</f>
        <v>576</v>
      </c>
      <c r="E87">
        <f>Sheet1!U126</f>
        <v>3</v>
      </c>
      <c r="F87" t="str">
        <f t="shared" ref="F87" si="463">F86</f>
        <v>&lt;record id="</v>
      </c>
      <c r="G87" t="str">
        <f t="shared" ref="G87" si="464">G86</f>
        <v>" posx="</v>
      </c>
      <c r="H87" t="str">
        <f t="shared" ref="H87" si="465">H86</f>
        <v>" posy="</v>
      </c>
      <c r="I87" t="str">
        <f t="shared" ref="I87" si="466">I86</f>
        <v>" dir="</v>
      </c>
      <c r="J87" t="str">
        <f t="shared" ref="J87" si="467">J86</f>
        <v>"/&gt;</v>
      </c>
      <c r="K87" t="str">
        <f t="shared" ref="K87" si="468">F87&amp;A87&amp;G87&amp;C87&amp;H87&amp;D87&amp;I87&amp;E87&amp;J87</f>
        <v>&lt;record id="161003" posx="638" posy="576" dir="3"/&gt;</v>
      </c>
    </row>
    <row r="88" spans="1:11">
      <c r="A88">
        <f>Sheet1!A127</f>
        <v>161004</v>
      </c>
      <c r="B88" t="str">
        <f>Sheet1!B127</f>
        <v>白姑娘</v>
      </c>
      <c r="C88">
        <f>Sheet1!Q127</f>
        <v>556</v>
      </c>
      <c r="D88">
        <f>Sheet1!R127</f>
        <v>637</v>
      </c>
      <c r="E88">
        <f>Sheet1!U127</f>
        <v>3</v>
      </c>
      <c r="F88" t="str">
        <f t="shared" ref="F88" si="469">F87</f>
        <v>&lt;record id="</v>
      </c>
      <c r="G88" t="str">
        <f t="shared" ref="G88" si="470">G87</f>
        <v>" posx="</v>
      </c>
      <c r="H88" t="str">
        <f t="shared" ref="H88" si="471">H87</f>
        <v>" posy="</v>
      </c>
      <c r="I88" t="str">
        <f t="shared" ref="I88" si="472">I87</f>
        <v>" dir="</v>
      </c>
      <c r="J88" t="str">
        <f t="shared" ref="J88" si="473">J87</f>
        <v>"/&gt;</v>
      </c>
      <c r="K88" t="str">
        <f t="shared" ref="K88" si="474">F88&amp;A88&amp;G88&amp;C88&amp;H88&amp;D88&amp;I88&amp;E88&amp;J88</f>
        <v>&lt;record id="161004" posx="556" posy="637" dir="3"/&gt;</v>
      </c>
    </row>
    <row r="89" spans="1:11">
      <c r="A89">
        <f>Sheet1!A130</f>
        <v>161101</v>
      </c>
      <c r="B89" t="str">
        <f>Sheet1!B130</f>
        <v>野猪人将军</v>
      </c>
      <c r="C89">
        <f>Sheet1!Q130</f>
        <v>368</v>
      </c>
      <c r="D89">
        <f>Sheet1!R130</f>
        <v>347</v>
      </c>
      <c r="E89">
        <f>Sheet1!U130</f>
        <v>3</v>
      </c>
      <c r="F89" t="str">
        <f t="shared" ref="F89" si="475">F88</f>
        <v>&lt;record id="</v>
      </c>
      <c r="G89" t="str">
        <f t="shared" ref="G89" si="476">G88</f>
        <v>" posx="</v>
      </c>
      <c r="H89" t="str">
        <f t="shared" ref="H89" si="477">H88</f>
        <v>" posy="</v>
      </c>
      <c r="I89" t="str">
        <f t="shared" ref="I89" si="478">I88</f>
        <v>" dir="</v>
      </c>
      <c r="J89" t="str">
        <f t="shared" ref="J89" si="479">J88</f>
        <v>"/&gt;</v>
      </c>
      <c r="K89" t="str">
        <f t="shared" ref="K89" si="480">F89&amp;A89&amp;G89&amp;C89&amp;H89&amp;D89&amp;I89&amp;E89&amp;J89</f>
        <v>&lt;record id="161101" posx="368" posy="347" dir="3"/&gt;</v>
      </c>
    </row>
    <row r="90" spans="1:11">
      <c r="A90">
        <f>Sheet1!A131</f>
        <v>161102</v>
      </c>
      <c r="B90" t="str">
        <f>Sheet1!B131</f>
        <v>猪族统领</v>
      </c>
      <c r="C90">
        <f>Sheet1!Q131</f>
        <v>1386</v>
      </c>
      <c r="D90">
        <f>Sheet1!R131</f>
        <v>358</v>
      </c>
      <c r="E90">
        <f>Sheet1!U131</f>
        <v>3</v>
      </c>
      <c r="F90" t="str">
        <f t="shared" ref="F90" si="481">F89</f>
        <v>&lt;record id="</v>
      </c>
      <c r="G90" t="str">
        <f t="shared" ref="G90" si="482">G89</f>
        <v>" posx="</v>
      </c>
      <c r="H90" t="str">
        <f t="shared" ref="H90" si="483">H89</f>
        <v>" posy="</v>
      </c>
      <c r="I90" t="str">
        <f t="shared" ref="I90" si="484">I89</f>
        <v>" dir="</v>
      </c>
      <c r="J90" t="str">
        <f t="shared" ref="J90" si="485">J89</f>
        <v>"/&gt;</v>
      </c>
      <c r="K90" t="str">
        <f t="shared" ref="K90" si="486">F90&amp;A90&amp;G90&amp;C90&amp;H90&amp;D90&amp;I90&amp;E90&amp;J90</f>
        <v>&lt;record id="161102" posx="1386" posy="358" dir="3"/&gt;</v>
      </c>
    </row>
    <row r="91" spans="1:11">
      <c r="A91">
        <f>Sheet1!A132</f>
        <v>161103</v>
      </c>
      <c r="B91" t="str">
        <f>Sheet1!B132</f>
        <v>野猪精</v>
      </c>
      <c r="C91">
        <f>Sheet1!Q132</f>
        <v>1154</v>
      </c>
      <c r="D91">
        <f>Sheet1!R132</f>
        <v>329</v>
      </c>
      <c r="E91">
        <f>Sheet1!U132</f>
        <v>5</v>
      </c>
      <c r="F91" t="str">
        <f t="shared" ref="F91" si="487">F90</f>
        <v>&lt;record id="</v>
      </c>
      <c r="G91" t="str">
        <f t="shared" ref="G91" si="488">G90</f>
        <v>" posx="</v>
      </c>
      <c r="H91" t="str">
        <f t="shared" ref="H91" si="489">H90</f>
        <v>" posy="</v>
      </c>
      <c r="I91" t="str">
        <f t="shared" ref="I91" si="490">I90</f>
        <v>" dir="</v>
      </c>
      <c r="J91" t="str">
        <f t="shared" ref="J91" si="491">J90</f>
        <v>"/&gt;</v>
      </c>
      <c r="K91" t="str">
        <f t="shared" ref="K91" si="492">F91&amp;A91&amp;G91&amp;C91&amp;H91&amp;D91&amp;I91&amp;E91&amp;J91</f>
        <v>&lt;record id="161103" posx="1154" posy="329" dir="5"/&gt;</v>
      </c>
    </row>
    <row r="92" spans="1:11">
      <c r="A92">
        <f>Sheet1!A133</f>
        <v>161104</v>
      </c>
      <c r="B92" t="str">
        <f>Sheet1!B133</f>
        <v>野猪</v>
      </c>
      <c r="C92">
        <f>Sheet1!Q133</f>
        <v>804</v>
      </c>
      <c r="D92">
        <f>Sheet1!R133</f>
        <v>755</v>
      </c>
      <c r="E92">
        <f>Sheet1!U133</f>
        <v>5</v>
      </c>
      <c r="F92" t="str">
        <f t="shared" ref="F92" si="493">F91</f>
        <v>&lt;record id="</v>
      </c>
      <c r="G92" t="str">
        <f t="shared" ref="G92" si="494">G91</f>
        <v>" posx="</v>
      </c>
      <c r="H92" t="str">
        <f t="shared" ref="H92" si="495">H91</f>
        <v>" posy="</v>
      </c>
      <c r="I92" t="str">
        <f t="shared" ref="I92" si="496">I91</f>
        <v>" dir="</v>
      </c>
      <c r="J92" t="str">
        <f t="shared" ref="J92" si="497">J91</f>
        <v>"/&gt;</v>
      </c>
      <c r="K92" t="str">
        <f t="shared" ref="K92" si="498">F92&amp;A92&amp;G92&amp;C92&amp;H92&amp;D92&amp;I92&amp;E92&amp;J92</f>
        <v>&lt;record id="161104" posx="804" posy="755" dir="5"/&gt;</v>
      </c>
    </row>
    <row r="93" spans="1:11">
      <c r="A93">
        <f>Sheet1!A134</f>
        <v>161105</v>
      </c>
      <c r="B93" t="str">
        <f>Sheet1!B134</f>
        <v>鲛将军</v>
      </c>
      <c r="C93">
        <f>Sheet1!Q134</f>
        <v>378</v>
      </c>
      <c r="D93">
        <f>Sheet1!R134</f>
        <v>353</v>
      </c>
      <c r="E93">
        <f>Sheet1!U134</f>
        <v>3</v>
      </c>
      <c r="F93" t="str">
        <f t="shared" ref="F93" si="499">F92</f>
        <v>&lt;record id="</v>
      </c>
      <c r="G93" t="str">
        <f t="shared" ref="G93" si="500">G92</f>
        <v>" posx="</v>
      </c>
      <c r="H93" t="str">
        <f t="shared" ref="H93" si="501">H92</f>
        <v>" posy="</v>
      </c>
      <c r="I93" t="str">
        <f t="shared" ref="I93" si="502">I92</f>
        <v>" dir="</v>
      </c>
      <c r="J93" t="str">
        <f t="shared" ref="J93:J98" si="503">J92</f>
        <v>"/&gt;</v>
      </c>
      <c r="K93" t="str">
        <f t="shared" ref="K93" si="504">F93&amp;A93&amp;G93&amp;C93&amp;H93&amp;D93&amp;I93&amp;E93&amp;J93</f>
        <v>&lt;record id="161105" posx="378" posy="353" dir="3"/&gt;</v>
      </c>
    </row>
    <row r="94" spans="1:11">
      <c r="A94">
        <f>Sheet1!A137</f>
        <v>161201</v>
      </c>
      <c r="B94" t="str">
        <f>Sheet1!B137</f>
        <v>孙小圣</v>
      </c>
      <c r="C94">
        <f>Sheet1!Q137</f>
        <v>492</v>
      </c>
      <c r="D94">
        <f>Sheet1!R137</f>
        <v>970</v>
      </c>
      <c r="E94">
        <f>Sheet1!U137</f>
        <v>7</v>
      </c>
      <c r="F94" t="str">
        <f t="shared" ref="F94:F99" si="505">F93</f>
        <v>&lt;record id="</v>
      </c>
      <c r="G94" t="str">
        <f t="shared" ref="G94" si="506">G93</f>
        <v>" posx="</v>
      </c>
      <c r="H94" t="str">
        <f t="shared" ref="H94" si="507">H93</f>
        <v>" posy="</v>
      </c>
      <c r="I94" t="str">
        <f t="shared" ref="I94:I98" si="508">I93</f>
        <v>" dir="</v>
      </c>
      <c r="J94" t="str">
        <f t="shared" si="503"/>
        <v>"/&gt;</v>
      </c>
      <c r="K94" t="str">
        <f t="shared" ref="K94:K99" si="509">F94&amp;A94&amp;G94&amp;C94&amp;H94&amp;D94&amp;I94&amp;E94&amp;J94</f>
        <v>&lt;record id="161201" posx="492" posy="970" dir="7"/&gt;</v>
      </c>
    </row>
    <row r="95" spans="1:11">
      <c r="A95">
        <f>Sheet1!A138</f>
        <v>161202</v>
      </c>
      <c r="B95" t="str">
        <f>Sheet1!B138</f>
        <v>巴将军</v>
      </c>
      <c r="C95">
        <f>Sheet1!Q138</f>
        <v>794</v>
      </c>
      <c r="D95">
        <f>Sheet1!R138</f>
        <v>620</v>
      </c>
      <c r="E95">
        <f>Sheet1!U138</f>
        <v>3</v>
      </c>
      <c r="F95" t="str">
        <f t="shared" si="505"/>
        <v>&lt;record id="</v>
      </c>
      <c r="G95" t="str">
        <f t="shared" ref="G95" si="510">G94</f>
        <v>" posx="</v>
      </c>
      <c r="H95" t="str">
        <f t="shared" ref="H95:H98" si="511">H94</f>
        <v>" posy="</v>
      </c>
      <c r="I95" t="str">
        <f t="shared" si="508"/>
        <v>" dir="</v>
      </c>
      <c r="J95" t="str">
        <f t="shared" si="503"/>
        <v>"/&gt;</v>
      </c>
      <c r="K95" t="str">
        <f t="shared" si="509"/>
        <v>&lt;record id="161202" posx="794" posy="620" dir="3"/&gt;</v>
      </c>
    </row>
    <row r="96" spans="1:11">
      <c r="A96">
        <f>Sheet1!A139</f>
        <v>161203</v>
      </c>
      <c r="B96" t="str">
        <f>Sheet1!B139</f>
        <v>孙悟空</v>
      </c>
      <c r="C96">
        <f>Sheet1!Q139</f>
        <v>735</v>
      </c>
      <c r="D96">
        <f>Sheet1!R139</f>
        <v>376</v>
      </c>
      <c r="E96">
        <f>Sheet1!U139</f>
        <v>3</v>
      </c>
      <c r="F96" t="str">
        <f t="shared" si="505"/>
        <v>&lt;record id="</v>
      </c>
      <c r="G96" t="str">
        <f t="shared" ref="G96:G98" si="512">G95</f>
        <v>" posx="</v>
      </c>
      <c r="H96" t="str">
        <f t="shared" si="511"/>
        <v>" posy="</v>
      </c>
      <c r="I96" t="str">
        <f t="shared" si="508"/>
        <v>" dir="</v>
      </c>
      <c r="J96" t="str">
        <f t="shared" si="503"/>
        <v>"/&gt;</v>
      </c>
      <c r="K96" t="str">
        <f t="shared" si="509"/>
        <v>&lt;record id="161203" posx="735" posy="376" dir="3"/&gt;</v>
      </c>
    </row>
    <row r="97" spans="1:11">
      <c r="A97">
        <f>Sheet1!A140</f>
        <v>161204</v>
      </c>
      <c r="B97" t="str">
        <f>Sheet1!B140</f>
        <v>辛德拉强盗</v>
      </c>
      <c r="C97">
        <f>Sheet1!Q140</f>
        <v>1476</v>
      </c>
      <c r="D97">
        <f>Sheet1!R140</f>
        <v>1125</v>
      </c>
      <c r="E97">
        <f>Sheet1!U140</f>
        <v>3</v>
      </c>
      <c r="F97" t="str">
        <f t="shared" si="505"/>
        <v>&lt;record id="</v>
      </c>
      <c r="G97" t="str">
        <f t="shared" si="512"/>
        <v>" posx="</v>
      </c>
      <c r="H97" t="str">
        <f t="shared" si="511"/>
        <v>" posy="</v>
      </c>
      <c r="I97" t="str">
        <f t="shared" si="508"/>
        <v>" dir="</v>
      </c>
      <c r="J97" t="str">
        <f t="shared" si="503"/>
        <v>"/&gt;</v>
      </c>
      <c r="K97" t="str">
        <f t="shared" si="509"/>
        <v>&lt;record id="161204" posx="1476" posy="1125" dir="3"/&gt;</v>
      </c>
    </row>
    <row r="98" spans="1:11">
      <c r="A98">
        <f>Sheet1!A141</f>
        <v>161205</v>
      </c>
      <c r="B98" t="str">
        <f>Sheet1!B141</f>
        <v>辛德拉强盗</v>
      </c>
      <c r="C98">
        <f>Sheet1!Q141</f>
        <v>0</v>
      </c>
      <c r="D98">
        <f>Sheet1!R141</f>
        <v>0</v>
      </c>
      <c r="E98">
        <f>Sheet1!U141</f>
        <v>3</v>
      </c>
      <c r="F98" t="str">
        <f t="shared" si="505"/>
        <v>&lt;record id="</v>
      </c>
      <c r="G98" t="str">
        <f t="shared" si="512"/>
        <v>" posx="</v>
      </c>
      <c r="H98" t="str">
        <f t="shared" si="511"/>
        <v>" posy="</v>
      </c>
      <c r="I98" t="str">
        <f t="shared" si="508"/>
        <v>" dir="</v>
      </c>
      <c r="J98" t="str">
        <f t="shared" si="503"/>
        <v>"/&gt;</v>
      </c>
      <c r="K98" t="str">
        <f t="shared" si="509"/>
        <v>&lt;record id="161205" posx="0" posy="0" dir="3"/&gt;</v>
      </c>
    </row>
    <row r="99" spans="1:11">
      <c r="A99">
        <f>Sheet1!A143</f>
        <v>161301</v>
      </c>
      <c r="B99" t="str">
        <f>Sheet1!B143</f>
        <v>青龙堂总管</v>
      </c>
      <c r="C99">
        <f>Sheet1!Q143</f>
        <v>912</v>
      </c>
      <c r="D99">
        <f>Sheet1!R143</f>
        <v>544</v>
      </c>
      <c r="E99">
        <f>Sheet1!U143</f>
        <v>5</v>
      </c>
      <c r="F99" t="str">
        <f t="shared" si="505"/>
        <v>&lt;record id="</v>
      </c>
      <c r="G99" t="str">
        <f t="shared" ref="G99" si="513">G98</f>
        <v>" posx="</v>
      </c>
      <c r="H99" t="str">
        <f t="shared" ref="H99" si="514">H98</f>
        <v>" posy="</v>
      </c>
      <c r="I99" t="str">
        <f t="shared" ref="I99" si="515">I98</f>
        <v>" dir="</v>
      </c>
      <c r="J99" t="str">
        <f t="shared" ref="J99" si="516">J98</f>
        <v>"/&gt;</v>
      </c>
      <c r="K99" t="str">
        <f t="shared" si="509"/>
        <v>&lt;record id="161301" posx="912" posy="544" dir="5"/&gt;</v>
      </c>
    </row>
    <row r="100" spans="1:11">
      <c r="A100">
        <f>Sheet1!A144</f>
        <v>161302</v>
      </c>
      <c r="B100" t="str">
        <f>Sheet1!B144</f>
        <v>玄武堂总管</v>
      </c>
      <c r="C100">
        <f>Sheet1!Q144</f>
        <v>784</v>
      </c>
      <c r="D100">
        <f>Sheet1!R144</f>
        <v>464</v>
      </c>
      <c r="E100">
        <f>Sheet1!U144</f>
        <v>3</v>
      </c>
      <c r="F100" t="str">
        <f t="shared" ref="F100" si="517">F99</f>
        <v>&lt;record id="</v>
      </c>
      <c r="G100" t="str">
        <f t="shared" ref="G100" si="518">G99</f>
        <v>" posx="</v>
      </c>
      <c r="H100" t="str">
        <f t="shared" ref="H100" si="519">H99</f>
        <v>" posy="</v>
      </c>
      <c r="I100" t="str">
        <f t="shared" ref="I100" si="520">I99</f>
        <v>" dir="</v>
      </c>
      <c r="J100" t="str">
        <f t="shared" ref="J100" si="521">J99</f>
        <v>"/&gt;</v>
      </c>
      <c r="K100" t="str">
        <f t="shared" ref="K100" si="522">F100&amp;A100&amp;G100&amp;C100&amp;H100&amp;D100&amp;I100&amp;E100&amp;J100</f>
        <v>&lt;record id="161302" posx="784" posy="464" dir="3"/&gt;</v>
      </c>
    </row>
    <row r="101" spans="1:11">
      <c r="A101">
        <f>Sheet1!A145</f>
        <v>161303</v>
      </c>
      <c r="B101" t="str">
        <f>Sheet1!B145</f>
        <v>朱雀堂总管</v>
      </c>
      <c r="C101">
        <f>Sheet1!Q145</f>
        <v>304</v>
      </c>
      <c r="D101">
        <f>Sheet1!R145</f>
        <v>608</v>
      </c>
      <c r="E101">
        <f>Sheet1!U145</f>
        <v>3</v>
      </c>
      <c r="F101" t="str">
        <f t="shared" ref="F101" si="523">F100</f>
        <v>&lt;record id="</v>
      </c>
      <c r="G101" t="str">
        <f t="shared" ref="G101" si="524">G100</f>
        <v>" posx="</v>
      </c>
      <c r="H101" t="str">
        <f t="shared" ref="H101" si="525">H100</f>
        <v>" posy="</v>
      </c>
      <c r="I101" t="str">
        <f t="shared" ref="I101" si="526">I100</f>
        <v>" dir="</v>
      </c>
      <c r="J101" t="str">
        <f t="shared" ref="J101" si="527">J100</f>
        <v>"/&gt;</v>
      </c>
      <c r="K101" t="str">
        <f t="shared" ref="K101" si="528">F101&amp;A101&amp;G101&amp;C101&amp;H101&amp;D101&amp;I101&amp;E101&amp;J101</f>
        <v>&lt;record id="161303" posx="304" posy="608" dir="3"/&gt;</v>
      </c>
    </row>
    <row r="102" spans="1:11">
      <c r="A102">
        <f>Sheet1!A146</f>
        <v>161304</v>
      </c>
      <c r="B102" t="str">
        <f>Sheet1!B146</f>
        <v>白虎堂总管</v>
      </c>
      <c r="C102">
        <f>Sheet1!Q146</f>
        <v>416</v>
      </c>
      <c r="D102">
        <f>Sheet1!R146</f>
        <v>480</v>
      </c>
      <c r="E102">
        <f>Sheet1!U146</f>
        <v>5</v>
      </c>
      <c r="F102" t="str">
        <f t="shared" ref="F102" si="529">F101</f>
        <v>&lt;record id="</v>
      </c>
      <c r="G102" t="str">
        <f t="shared" ref="G102" si="530">G101</f>
        <v>" posx="</v>
      </c>
      <c r="H102" t="str">
        <f t="shared" ref="H102" si="531">H101</f>
        <v>" posy="</v>
      </c>
      <c r="I102" t="str">
        <f t="shared" ref="I102" si="532">I101</f>
        <v>" dir="</v>
      </c>
      <c r="J102" t="str">
        <f t="shared" ref="J102" si="533">J101</f>
        <v>"/&gt;</v>
      </c>
      <c r="K102" t="str">
        <f t="shared" ref="K102" si="534">F102&amp;A102&amp;G102&amp;C102&amp;H102&amp;D102&amp;I102&amp;E102&amp;J102</f>
        <v>&lt;record id="161304" posx="416" posy="480" dir="5"/&gt;</v>
      </c>
    </row>
    <row r="103" spans="1:11">
      <c r="A103">
        <f>Sheet1!A147</f>
        <v>161401</v>
      </c>
      <c r="B103" t="str">
        <f>Sheet1!B147</f>
        <v>卵二姐</v>
      </c>
      <c r="C103">
        <f>Sheet1!Q147</f>
        <v>462</v>
      </c>
      <c r="D103">
        <f>Sheet1!R147</f>
        <v>1446</v>
      </c>
      <c r="E103">
        <f>Sheet1!U147</f>
        <v>3</v>
      </c>
      <c r="F103" t="str">
        <f t="shared" ref="F103" si="535">F102</f>
        <v>&lt;record id="</v>
      </c>
      <c r="G103" t="str">
        <f t="shared" ref="G103" si="536">G102</f>
        <v>" posx="</v>
      </c>
      <c r="H103" t="str">
        <f t="shared" ref="H103" si="537">H102</f>
        <v>" posy="</v>
      </c>
      <c r="I103" t="str">
        <f t="shared" ref="I103" si="538">I102</f>
        <v>" dir="</v>
      </c>
      <c r="J103" t="str">
        <f t="shared" ref="J103" si="539">J102</f>
        <v>"/&gt;</v>
      </c>
      <c r="K103" t="str">
        <f t="shared" ref="K103" si="540">F103&amp;A103&amp;G103&amp;C103&amp;H103&amp;D103&amp;I103&amp;E103&amp;J103</f>
        <v>&lt;record id="161401" posx="462" posy="1446" dir="3"/&gt;</v>
      </c>
    </row>
    <row r="104" spans="1:11">
      <c r="A104">
        <f>Sheet1!A148</f>
        <v>161402</v>
      </c>
      <c r="B104" t="str">
        <f>Sheet1!B148</f>
        <v>陪审员</v>
      </c>
      <c r="C104">
        <f>Sheet1!Q148</f>
        <v>1698</v>
      </c>
      <c r="D104">
        <f>Sheet1!R148</f>
        <v>969</v>
      </c>
      <c r="E104">
        <f>Sheet1!U148</f>
        <v>5</v>
      </c>
      <c r="F104" t="str">
        <f t="shared" ref="F104" si="541">F103</f>
        <v>&lt;record id="</v>
      </c>
      <c r="G104" t="str">
        <f t="shared" ref="G104" si="542">G103</f>
        <v>" posx="</v>
      </c>
      <c r="H104" t="str">
        <f t="shared" ref="H104" si="543">H103</f>
        <v>" posy="</v>
      </c>
      <c r="I104" t="str">
        <f t="shared" ref="I104" si="544">I103</f>
        <v>" dir="</v>
      </c>
      <c r="J104" t="str">
        <f t="shared" ref="J104" si="545">J103</f>
        <v>"/&gt;</v>
      </c>
      <c r="K104" t="str">
        <f t="shared" ref="K104" si="546">F104&amp;A104&amp;G104&amp;C104&amp;H104&amp;D104&amp;I104&amp;E104&amp;J104</f>
        <v>&lt;record id="161402" posx="1698" posy="969" dir="5"/&gt;</v>
      </c>
    </row>
    <row r="105" spans="1:11">
      <c r="A105">
        <f>Sheet1!A149</f>
        <v>161403</v>
      </c>
      <c r="B105" t="str">
        <f>Sheet1!B149</f>
        <v>陪审员</v>
      </c>
      <c r="C105">
        <f>Sheet1!Q149</f>
        <v>905</v>
      </c>
      <c r="D105">
        <f>Sheet1!R149</f>
        <v>368</v>
      </c>
      <c r="E105">
        <f>Sheet1!U149</f>
        <v>5</v>
      </c>
      <c r="F105" t="str">
        <f t="shared" ref="F105" si="547">F104</f>
        <v>&lt;record id="</v>
      </c>
      <c r="G105" t="str">
        <f t="shared" ref="G105" si="548">G104</f>
        <v>" posx="</v>
      </c>
      <c r="H105" t="str">
        <f t="shared" ref="H105" si="549">H104</f>
        <v>" posy="</v>
      </c>
      <c r="I105" t="str">
        <f t="shared" ref="I105" si="550">I104</f>
        <v>" dir="</v>
      </c>
      <c r="J105" t="str">
        <f t="shared" ref="J105" si="551">J104</f>
        <v>"/&gt;</v>
      </c>
      <c r="K105" t="str">
        <f t="shared" ref="K105" si="552">F105&amp;A105&amp;G105&amp;C105&amp;H105&amp;D105&amp;I105&amp;E105&amp;J105</f>
        <v>&lt;record id="161403" posx="905" posy="368" dir="5"/&gt;</v>
      </c>
    </row>
    <row r="106" spans="1:11">
      <c r="A106">
        <f>Sheet1!A150</f>
        <v>161404</v>
      </c>
      <c r="B106" t="str">
        <f>Sheet1!B150</f>
        <v>陪审员</v>
      </c>
      <c r="C106">
        <f>Sheet1!Q150</f>
        <v>1543</v>
      </c>
      <c r="D106">
        <f>Sheet1!R150</f>
        <v>1310</v>
      </c>
      <c r="E106">
        <f>Sheet1!U150</f>
        <v>3</v>
      </c>
      <c r="F106" t="str">
        <f t="shared" ref="F106" si="553">F105</f>
        <v>&lt;record id="</v>
      </c>
      <c r="G106" t="str">
        <f t="shared" ref="G106" si="554">G105</f>
        <v>" posx="</v>
      </c>
      <c r="H106" t="str">
        <f t="shared" ref="H106" si="555">H105</f>
        <v>" posy="</v>
      </c>
      <c r="I106" t="str">
        <f t="shared" ref="I106" si="556">I105</f>
        <v>" dir="</v>
      </c>
      <c r="J106" t="str">
        <f t="shared" ref="J106" si="557">J105</f>
        <v>"/&gt;</v>
      </c>
      <c r="K106" t="str">
        <f t="shared" ref="K106" si="558">F106&amp;A106&amp;G106&amp;C106&amp;H106&amp;D106&amp;I106&amp;E106&amp;J106</f>
        <v>&lt;record id="161404" posx="1543" posy="1310" dir="3"/&gt;</v>
      </c>
    </row>
    <row r="107" spans="1:11">
      <c r="A107">
        <f>Sheet1!A151</f>
        <v>161405</v>
      </c>
      <c r="B107" t="str">
        <f>Sheet1!B151</f>
        <v>陪审员</v>
      </c>
      <c r="C107">
        <f>Sheet1!Q151</f>
        <v>1701</v>
      </c>
      <c r="D107">
        <f>Sheet1!R151</f>
        <v>427</v>
      </c>
      <c r="E107">
        <f>Sheet1!U151</f>
        <v>5</v>
      </c>
      <c r="F107" t="str">
        <f t="shared" ref="F107" si="559">F106</f>
        <v>&lt;record id="</v>
      </c>
      <c r="G107" t="str">
        <f t="shared" ref="G107" si="560">G106</f>
        <v>" posx="</v>
      </c>
      <c r="H107" t="str">
        <f t="shared" ref="H107" si="561">H106</f>
        <v>" posy="</v>
      </c>
      <c r="I107" t="str">
        <f t="shared" ref="I107" si="562">I106</f>
        <v>" dir="</v>
      </c>
      <c r="J107" t="str">
        <f t="shared" ref="J107" si="563">J106</f>
        <v>"/&gt;</v>
      </c>
      <c r="K107" t="str">
        <f t="shared" ref="K107" si="564">F107&amp;A107&amp;G107&amp;C107&amp;H107&amp;D107&amp;I107&amp;E107&amp;J107</f>
        <v>&lt;record id="161405" posx="1701" posy="427" dir="5"/&gt;</v>
      </c>
    </row>
    <row r="108" spans="1:11">
      <c r="A108">
        <f>Sheet1!A152</f>
        <v>161406</v>
      </c>
      <c r="B108" t="str">
        <f>Sheet1!B152</f>
        <v>陪审员</v>
      </c>
      <c r="C108">
        <f>Sheet1!Q152</f>
        <v>1117</v>
      </c>
      <c r="D108">
        <f>Sheet1!R152</f>
        <v>345</v>
      </c>
      <c r="E108">
        <f>Sheet1!U152</f>
        <v>3</v>
      </c>
      <c r="F108" t="str">
        <f t="shared" ref="F108" si="565">F107</f>
        <v>&lt;record id="</v>
      </c>
      <c r="G108" t="str">
        <f t="shared" ref="G108" si="566">G107</f>
        <v>" posx="</v>
      </c>
      <c r="H108" t="str">
        <f t="shared" ref="H108" si="567">H107</f>
        <v>" posy="</v>
      </c>
      <c r="I108" t="str">
        <f t="shared" ref="I108" si="568">I107</f>
        <v>" dir="</v>
      </c>
      <c r="J108" t="str">
        <f t="shared" ref="J108" si="569">J107</f>
        <v>"/&gt;</v>
      </c>
      <c r="K108" t="str">
        <f t="shared" ref="K108" si="570">F108&amp;A108&amp;G108&amp;C108&amp;H108&amp;D108&amp;I108&amp;E108&amp;J108</f>
        <v>&lt;record id="161406" posx="1117" posy="345" dir="3"/&gt;</v>
      </c>
    </row>
    <row r="109" spans="1:11">
      <c r="A109">
        <f>Sheet1!A153</f>
        <v>161407</v>
      </c>
      <c r="B109" t="str">
        <f>Sheet1!B153</f>
        <v>鬼将</v>
      </c>
      <c r="C109">
        <f>Sheet1!Q153</f>
        <v>880</v>
      </c>
      <c r="D109">
        <f>Sheet1!R153</f>
        <v>1296</v>
      </c>
      <c r="E109">
        <f>Sheet1!U153</f>
        <v>3</v>
      </c>
      <c r="F109" t="str">
        <f t="shared" ref="F109" si="571">F108</f>
        <v>&lt;record id="</v>
      </c>
      <c r="G109" t="str">
        <f t="shared" ref="G109" si="572">G108</f>
        <v>" posx="</v>
      </c>
      <c r="H109" t="str">
        <f t="shared" ref="H109" si="573">H108</f>
        <v>" posy="</v>
      </c>
      <c r="I109" t="str">
        <f t="shared" ref="I109" si="574">I108</f>
        <v>" dir="</v>
      </c>
      <c r="J109" t="str">
        <f t="shared" ref="J109" si="575">J108</f>
        <v>"/&gt;</v>
      </c>
      <c r="K109" t="str">
        <f t="shared" ref="K109" si="576">F109&amp;A109&amp;G109&amp;C109&amp;H109&amp;D109&amp;I109&amp;E109&amp;J109</f>
        <v>&lt;record id="161407" posx="880" posy="1296" dir="3"/&gt;</v>
      </c>
    </row>
    <row r="110" spans="1:11">
      <c r="A110">
        <f>Sheet1!A154</f>
        <v>161408</v>
      </c>
      <c r="B110" t="str">
        <f>Sheet1!B154</f>
        <v>圣圣</v>
      </c>
      <c r="C110">
        <f>Sheet1!Q154</f>
        <v>976</v>
      </c>
      <c r="D110">
        <f>Sheet1!R154</f>
        <v>1258</v>
      </c>
      <c r="E110">
        <f>Sheet1!U154</f>
        <v>5</v>
      </c>
      <c r="F110" t="str">
        <f t="shared" ref="F110" si="577">F109</f>
        <v>&lt;record id="</v>
      </c>
      <c r="G110" t="str">
        <f t="shared" ref="G110" si="578">G109</f>
        <v>" posx="</v>
      </c>
      <c r="H110" t="str">
        <f t="shared" ref="H110" si="579">H109</f>
        <v>" posy="</v>
      </c>
      <c r="I110" t="str">
        <f t="shared" ref="I110" si="580">I109</f>
        <v>" dir="</v>
      </c>
      <c r="J110" t="str">
        <f t="shared" ref="J110" si="581">J109</f>
        <v>"/&gt;</v>
      </c>
      <c r="K110" t="str">
        <f t="shared" ref="K110" si="582">F110&amp;A110&amp;G110&amp;C110&amp;H110&amp;D110&amp;I110&amp;E110&amp;J110</f>
        <v>&lt;record id="161408" posx="976" posy="1258" dir="5"/&gt;</v>
      </c>
    </row>
    <row r="111" spans="1:11">
      <c r="A111">
        <f>Sheet1!A155</f>
        <v>161409</v>
      </c>
      <c r="B111" t="str">
        <f>Sheet1!B155</f>
        <v>光光</v>
      </c>
      <c r="C111">
        <f>Sheet1!Q155</f>
        <v>1057</v>
      </c>
      <c r="D111">
        <f>Sheet1!R155</f>
        <v>1342</v>
      </c>
      <c r="E111">
        <f>Sheet1!U155</f>
        <v>5</v>
      </c>
      <c r="F111" t="str">
        <f t="shared" ref="F111" si="583">F110</f>
        <v>&lt;record id="</v>
      </c>
      <c r="G111" t="str">
        <f t="shared" ref="G111" si="584">G110</f>
        <v>" posx="</v>
      </c>
      <c r="H111" t="str">
        <f t="shared" ref="H111" si="585">H110</f>
        <v>" posy="</v>
      </c>
      <c r="I111" t="str">
        <f t="shared" ref="I111" si="586">I110</f>
        <v>" dir="</v>
      </c>
      <c r="J111" t="str">
        <f t="shared" ref="J111" si="587">J110</f>
        <v>"/&gt;</v>
      </c>
      <c r="K111" t="str">
        <f t="shared" ref="K111" si="588">F111&amp;A111&amp;G111&amp;C111&amp;H111&amp;D111&amp;I111&amp;E111&amp;J111</f>
        <v>&lt;record id="161409" posx="1057" posy="1342" dir="5"/&gt;</v>
      </c>
    </row>
    <row r="112" spans="1:11">
      <c r="A112">
        <f>Sheet1!A156</f>
        <v>161410</v>
      </c>
      <c r="B112" t="str">
        <f>Sheet1!B156</f>
        <v>棍棍</v>
      </c>
      <c r="C112">
        <f>Sheet1!Q156</f>
        <v>994</v>
      </c>
      <c r="D112">
        <f>Sheet1!R156</f>
        <v>1067</v>
      </c>
      <c r="E112">
        <f>Sheet1!U156</f>
        <v>7</v>
      </c>
      <c r="F112" t="str">
        <f t="shared" ref="F112" si="589">F111</f>
        <v>&lt;record id="</v>
      </c>
      <c r="G112" t="str">
        <f t="shared" ref="G112" si="590">G111</f>
        <v>" posx="</v>
      </c>
      <c r="H112" t="str">
        <f t="shared" ref="H112" si="591">H111</f>
        <v>" posy="</v>
      </c>
      <c r="I112" t="str">
        <f t="shared" ref="I112" si="592">I111</f>
        <v>" dir="</v>
      </c>
      <c r="J112" t="str">
        <f t="shared" ref="J112" si="593">J111</f>
        <v>"/&gt;</v>
      </c>
      <c r="K112" t="str">
        <f t="shared" ref="K112" si="594">F112&amp;A112&amp;G112&amp;C112&amp;H112&amp;D112&amp;I112&amp;E112&amp;J112</f>
        <v>&lt;record id="161410" posx="994" posy="1067" dir="7"/&gt;</v>
      </c>
    </row>
    <row r="113" spans="1:11">
      <c r="A113">
        <f>Sheet1!A157</f>
        <v>161411</v>
      </c>
      <c r="B113" t="str">
        <f>Sheet1!B157</f>
        <v>骑骑</v>
      </c>
      <c r="C113">
        <f>Sheet1!Q157</f>
        <v>889</v>
      </c>
      <c r="D113">
        <f>Sheet1!R157</f>
        <v>1527</v>
      </c>
      <c r="E113">
        <f>Sheet1!U157</f>
        <v>1</v>
      </c>
      <c r="F113" t="str">
        <f t="shared" ref="F113" si="595">F112</f>
        <v>&lt;record id="</v>
      </c>
      <c r="G113" t="str">
        <f t="shared" ref="G113" si="596">G112</f>
        <v>" posx="</v>
      </c>
      <c r="H113" t="str">
        <f t="shared" ref="H113" si="597">H112</f>
        <v>" posy="</v>
      </c>
      <c r="I113" t="str">
        <f t="shared" ref="I113" si="598">I112</f>
        <v>" dir="</v>
      </c>
      <c r="J113" t="str">
        <f t="shared" ref="J113" si="599">J112</f>
        <v>"/&gt;</v>
      </c>
      <c r="K113" t="str">
        <f t="shared" ref="K113" si="600">F113&amp;A113&amp;G113&amp;C113&amp;H113&amp;D113&amp;I113&amp;E113&amp;J113</f>
        <v>&lt;record id="161411" posx="889" posy="1527" dir="1"/&gt;</v>
      </c>
    </row>
    <row r="114" spans="1:11">
      <c r="A114">
        <f>Sheet1!A158</f>
        <v>161412</v>
      </c>
      <c r="B114" t="str">
        <f>Sheet1!B158</f>
        <v>士士</v>
      </c>
      <c r="C114">
        <f>Sheet1!Q158</f>
        <v>792</v>
      </c>
      <c r="D114">
        <f>Sheet1!R158</f>
        <v>1494</v>
      </c>
      <c r="E114">
        <f>Sheet1!U158</f>
        <v>1</v>
      </c>
      <c r="F114" t="str">
        <f t="shared" ref="F114" si="601">F113</f>
        <v>&lt;record id="</v>
      </c>
      <c r="G114" t="str">
        <f t="shared" ref="G114" si="602">G113</f>
        <v>" posx="</v>
      </c>
      <c r="H114" t="str">
        <f t="shared" ref="H114" si="603">H113</f>
        <v>" posy="</v>
      </c>
      <c r="I114" t="str">
        <f t="shared" ref="I114" si="604">I113</f>
        <v>" dir="</v>
      </c>
      <c r="J114" t="str">
        <f t="shared" ref="J114" si="605">J113</f>
        <v>"/&gt;</v>
      </c>
      <c r="K114" t="str">
        <f t="shared" ref="K114" si="606">F114&amp;A114&amp;G114&amp;C114&amp;H114&amp;D114&amp;I114&amp;E114&amp;J114</f>
        <v>&lt;record id="161412" posx="792" posy="1494" dir="1"/&gt;</v>
      </c>
    </row>
    <row r="115" spans="1:11">
      <c r="A115">
        <f>Sheet1!A159</f>
        <v>161413</v>
      </c>
      <c r="B115" t="str">
        <f>Sheet1!B159</f>
        <v>团团</v>
      </c>
      <c r="C115">
        <f>Sheet1!Q159</f>
        <v>784</v>
      </c>
      <c r="D115">
        <f>Sheet1!R159</f>
        <v>1368</v>
      </c>
      <c r="E115">
        <f>Sheet1!U159</f>
        <v>3</v>
      </c>
      <c r="F115" t="str">
        <f t="shared" ref="F115" si="607">F114</f>
        <v>&lt;record id="</v>
      </c>
      <c r="G115" t="str">
        <f t="shared" ref="G115" si="608">G114</f>
        <v>" posx="</v>
      </c>
      <c r="H115" t="str">
        <f t="shared" ref="H115" si="609">H114</f>
        <v>" posy="</v>
      </c>
      <c r="I115" t="str">
        <f t="shared" ref="I115" si="610">I114</f>
        <v>" dir="</v>
      </c>
      <c r="J115" t="str">
        <f t="shared" ref="J115" si="611">J114</f>
        <v>"/&gt;</v>
      </c>
      <c r="K115" t="str">
        <f t="shared" ref="K115" si="612">F115&amp;A115&amp;G115&amp;C115&amp;H115&amp;D115&amp;I115&amp;E115&amp;J115</f>
        <v>&lt;record id="161413" posx="784" posy="1368" dir="3"/&gt;</v>
      </c>
    </row>
    <row r="116" spans="1:11">
      <c r="A116">
        <f>Sheet1!A160</f>
        <v>161414</v>
      </c>
      <c r="B116" t="str">
        <f>Sheet1!B160</f>
        <v>元帅</v>
      </c>
      <c r="C116">
        <f>Sheet1!Q160</f>
        <v>830</v>
      </c>
      <c r="D116">
        <f>Sheet1!R160</f>
        <v>984</v>
      </c>
      <c r="E116">
        <f>Sheet1!U160</f>
        <v>3</v>
      </c>
      <c r="F116" t="str">
        <f t="shared" ref="F116" si="613">F115</f>
        <v>&lt;record id="</v>
      </c>
      <c r="G116" t="str">
        <f t="shared" ref="G116" si="614">G115</f>
        <v>" posx="</v>
      </c>
      <c r="H116" t="str">
        <f t="shared" ref="H116" si="615">H115</f>
        <v>" posy="</v>
      </c>
      <c r="I116" t="str">
        <f t="shared" ref="I116" si="616">I115</f>
        <v>" dir="</v>
      </c>
      <c r="J116" t="str">
        <f t="shared" ref="J116" si="617">J115</f>
        <v>"/&gt;</v>
      </c>
      <c r="K116" t="str">
        <f t="shared" ref="K116" si="618">F116&amp;A116&amp;G116&amp;C116&amp;H116&amp;D116&amp;I116&amp;E116&amp;J116</f>
        <v>&lt;record id="161414" posx="830" posy="984" dir="3"/&gt;</v>
      </c>
    </row>
    <row r="117" spans="1:11">
      <c r="A117">
        <f>Sheet1!A161</f>
        <v>161415</v>
      </c>
      <c r="B117" t="str">
        <f>Sheet1!B161</f>
        <v>苏小妹</v>
      </c>
      <c r="C117">
        <f>Sheet1!Q161</f>
        <v>1685</v>
      </c>
      <c r="D117">
        <f>Sheet1!R161</f>
        <v>548</v>
      </c>
      <c r="E117">
        <f>Sheet1!U161</f>
        <v>5</v>
      </c>
      <c r="F117" t="str">
        <f t="shared" ref="F117" si="619">F116</f>
        <v>&lt;record id="</v>
      </c>
      <c r="G117" t="str">
        <f t="shared" ref="G117" si="620">G116</f>
        <v>" posx="</v>
      </c>
      <c r="H117" t="str">
        <f t="shared" ref="H117" si="621">H116</f>
        <v>" posy="</v>
      </c>
      <c r="I117" t="str">
        <f t="shared" ref="I117" si="622">I116</f>
        <v>" dir="</v>
      </c>
      <c r="J117" t="str">
        <f t="shared" ref="J117" si="623">J116</f>
        <v>"/&gt;</v>
      </c>
      <c r="K117" t="str">
        <f t="shared" ref="K117" si="624">F117&amp;A117&amp;G117&amp;C117&amp;H117&amp;D117&amp;I117&amp;E117&amp;J117</f>
        <v>&lt;record id="161415" posx="1685" posy="548" dir="5"/&gt;</v>
      </c>
    </row>
    <row r="118" spans="1:11">
      <c r="A118">
        <f>Sheet1!A162</f>
        <v>161416</v>
      </c>
      <c r="B118" t="str">
        <f>Sheet1!B162</f>
        <v>司命星君</v>
      </c>
      <c r="C118">
        <f>Sheet1!Q162</f>
        <v>1880</v>
      </c>
      <c r="D118">
        <f>Sheet1!R162</f>
        <v>566</v>
      </c>
      <c r="E118">
        <f>Sheet1!U162</f>
        <v>5</v>
      </c>
      <c r="F118" t="str">
        <f t="shared" ref="F118" si="625">F117</f>
        <v>&lt;record id="</v>
      </c>
      <c r="G118" t="str">
        <f t="shared" ref="G118" si="626">G117</f>
        <v>" posx="</v>
      </c>
      <c r="H118" t="str">
        <f t="shared" ref="H118" si="627">H117</f>
        <v>" posy="</v>
      </c>
      <c r="I118" t="str">
        <f t="shared" ref="I118" si="628">I117</f>
        <v>" dir="</v>
      </c>
      <c r="J118" t="str">
        <f t="shared" ref="J118" si="629">J117</f>
        <v>"/&gt;</v>
      </c>
      <c r="K118" t="str">
        <f t="shared" ref="K118" si="630">F118&amp;A118&amp;G118&amp;C118&amp;H118&amp;D118&amp;I118&amp;E118&amp;J118</f>
        <v>&lt;record id="161416" posx="1880" posy="566" dir="5"/&gt;</v>
      </c>
    </row>
    <row r="119" spans="1:11">
      <c r="A119">
        <f>Sheet1!A163</f>
        <v>161417</v>
      </c>
      <c r="B119" t="str">
        <f>Sheet1!B163</f>
        <v>战神山传送人</v>
      </c>
      <c r="C119">
        <f>Sheet1!Q163</f>
        <v>2120</v>
      </c>
      <c r="D119">
        <f>Sheet1!R163</f>
        <v>1163</v>
      </c>
      <c r="E119">
        <f>Sheet1!U163</f>
        <v>7</v>
      </c>
      <c r="F119" t="str">
        <f t="shared" ref="F119" si="631">F118</f>
        <v>&lt;record id="</v>
      </c>
      <c r="G119" t="str">
        <f t="shared" ref="G119" si="632">G118</f>
        <v>" posx="</v>
      </c>
      <c r="H119" t="str">
        <f t="shared" ref="H119" si="633">H118</f>
        <v>" posy="</v>
      </c>
      <c r="I119" t="str">
        <f t="shared" ref="I119" si="634">I118</f>
        <v>" dir="</v>
      </c>
      <c r="J119" t="str">
        <f t="shared" ref="J119" si="635">J118</f>
        <v>"/&gt;</v>
      </c>
      <c r="K119" t="str">
        <f t="shared" ref="K119" si="636">F119&amp;A119&amp;G119&amp;C119&amp;H119&amp;D119&amp;I119&amp;E119&amp;J119</f>
        <v>&lt;record id="161417" posx="2120" posy="1163" dir="7"/&gt;</v>
      </c>
    </row>
    <row r="120" spans="1:11">
      <c r="A120">
        <f>Sheet1!A164</f>
        <v>161418</v>
      </c>
      <c r="B120" t="str">
        <f>Sheet1!B164</f>
        <v>卫兵</v>
      </c>
      <c r="C120">
        <f>Sheet1!Q164</f>
        <v>782</v>
      </c>
      <c r="D120">
        <f>Sheet1!R164</f>
        <v>477</v>
      </c>
      <c r="E120">
        <f>Sheet1!U164</f>
        <v>5</v>
      </c>
      <c r="F120" t="str">
        <f t="shared" ref="F120" si="637">F119</f>
        <v>&lt;record id="</v>
      </c>
      <c r="G120" t="str">
        <f t="shared" ref="G120" si="638">G119</f>
        <v>" posx="</v>
      </c>
      <c r="H120" t="str">
        <f t="shared" ref="H120" si="639">H119</f>
        <v>" posy="</v>
      </c>
      <c r="I120" t="str">
        <f t="shared" ref="I120" si="640">I119</f>
        <v>" dir="</v>
      </c>
      <c r="J120" t="str">
        <f t="shared" ref="J120" si="641">J119</f>
        <v>"/&gt;</v>
      </c>
      <c r="K120" t="str">
        <f t="shared" ref="K120" si="642">F120&amp;A120&amp;G120&amp;C120&amp;H120&amp;D120&amp;I120&amp;E120&amp;J120</f>
        <v>&lt;record id="161418" posx="782" posy="477" dir="5"/&gt;</v>
      </c>
    </row>
    <row r="121" spans="1:11">
      <c r="A121">
        <f>Sheet1!A165</f>
        <v>161419</v>
      </c>
      <c r="B121" t="str">
        <f>Sheet1!B165</f>
        <v>卫兵</v>
      </c>
      <c r="C121">
        <f>Sheet1!Q165</f>
        <v>539</v>
      </c>
      <c r="D121">
        <f>Sheet1!R165</f>
        <v>501</v>
      </c>
      <c r="E121">
        <f>Sheet1!U165</f>
        <v>3</v>
      </c>
      <c r="F121" t="str">
        <f t="shared" ref="F121" si="643">F120</f>
        <v>&lt;record id="</v>
      </c>
      <c r="G121" t="str">
        <f t="shared" ref="G121" si="644">G120</f>
        <v>" posx="</v>
      </c>
      <c r="H121" t="str">
        <f t="shared" ref="H121" si="645">H120</f>
        <v>" posy="</v>
      </c>
      <c r="I121" t="str">
        <f t="shared" ref="I121" si="646">I120</f>
        <v>" dir="</v>
      </c>
      <c r="J121" t="str">
        <f t="shared" ref="J121" si="647">J120</f>
        <v>"/&gt;</v>
      </c>
      <c r="K121" t="str">
        <f t="shared" ref="K121" si="648">F121&amp;A121&amp;G121&amp;C121&amp;H121&amp;D121&amp;I121&amp;E121&amp;J121</f>
        <v>&lt;record id="161419" posx="539" posy="501" dir="3"/&gt;</v>
      </c>
    </row>
    <row r="122" spans="1:11">
      <c r="A122">
        <f>Sheet1!A166</f>
        <v>161420</v>
      </c>
      <c r="B122" t="str">
        <f>Sheet1!B166</f>
        <v>卫兵</v>
      </c>
      <c r="C122">
        <f>Sheet1!Q166</f>
        <v>775</v>
      </c>
      <c r="D122">
        <f>Sheet1!R166</f>
        <v>744</v>
      </c>
      <c r="E122">
        <f>Sheet1!U166</f>
        <v>7</v>
      </c>
      <c r="F122" t="str">
        <f t="shared" ref="F122" si="649">F121</f>
        <v>&lt;record id="</v>
      </c>
      <c r="G122" t="str">
        <f t="shared" ref="G122" si="650">G121</f>
        <v>" posx="</v>
      </c>
      <c r="H122" t="str">
        <f t="shared" ref="H122" si="651">H121</f>
        <v>" posy="</v>
      </c>
      <c r="I122" t="str">
        <f t="shared" ref="I122" si="652">I121</f>
        <v>" dir="</v>
      </c>
      <c r="J122" t="str">
        <f t="shared" ref="J122" si="653">J121</f>
        <v>"/&gt;</v>
      </c>
      <c r="K122" t="str">
        <f t="shared" ref="K122" si="654">F122&amp;A122&amp;G122&amp;C122&amp;H122&amp;D122&amp;I122&amp;E122&amp;J122</f>
        <v>&lt;record id="161420" posx="775" posy="744" dir="7"/&gt;</v>
      </c>
    </row>
    <row r="123" spans="1:11">
      <c r="A123">
        <f>Sheet1!A167</f>
        <v>161421</v>
      </c>
      <c r="B123" t="str">
        <f>Sheet1!B167</f>
        <v>卫兵</v>
      </c>
      <c r="C123">
        <f>Sheet1!Q167</f>
        <v>530</v>
      </c>
      <c r="D123">
        <f>Sheet1!R167</f>
        <v>747</v>
      </c>
      <c r="E123">
        <f>Sheet1!U167</f>
        <v>1</v>
      </c>
      <c r="F123" t="str">
        <f t="shared" ref="F123" si="655">F122</f>
        <v>&lt;record id="</v>
      </c>
      <c r="G123" t="str">
        <f t="shared" ref="G123" si="656">G122</f>
        <v>" posx="</v>
      </c>
      <c r="H123" t="str">
        <f t="shared" ref="H123" si="657">H122</f>
        <v>" posy="</v>
      </c>
      <c r="I123" t="str">
        <f t="shared" ref="I123" si="658">I122</f>
        <v>" dir="</v>
      </c>
      <c r="J123" t="str">
        <f t="shared" ref="J123" si="659">J122</f>
        <v>"/&gt;</v>
      </c>
      <c r="K123" t="str">
        <f t="shared" ref="K123" si="660">F123&amp;A123&amp;G123&amp;C123&amp;H123&amp;D123&amp;I123&amp;E123&amp;J123</f>
        <v>&lt;record id="161421" posx="530" posy="747" dir="1"/&gt;</v>
      </c>
    </row>
    <row r="124" spans="1:11">
      <c r="A124">
        <f>Sheet1!A168</f>
        <v>161422</v>
      </c>
      <c r="B124" t="str">
        <f>Sheet1!B168</f>
        <v>卫兵</v>
      </c>
      <c r="C124">
        <f>Sheet1!Q168</f>
        <v>1371</v>
      </c>
      <c r="D124">
        <f>Sheet1!R168</f>
        <v>784</v>
      </c>
      <c r="E124">
        <f>Sheet1!U168</f>
        <v>5</v>
      </c>
      <c r="F124" t="str">
        <f t="shared" ref="F124" si="661">F123</f>
        <v>&lt;record id="</v>
      </c>
      <c r="G124" t="str">
        <f t="shared" ref="G124" si="662">G123</f>
        <v>" posx="</v>
      </c>
      <c r="H124" t="str">
        <f t="shared" ref="H124" si="663">H123</f>
        <v>" posy="</v>
      </c>
      <c r="I124" t="str">
        <f t="shared" ref="I124" si="664">I123</f>
        <v>" dir="</v>
      </c>
      <c r="J124" t="str">
        <f t="shared" ref="J124:J129" si="665">J123</f>
        <v>"/&gt;</v>
      </c>
      <c r="K124" t="str">
        <f t="shared" ref="K124" si="666">F124&amp;A124&amp;G124&amp;C124&amp;H124&amp;D124&amp;I124&amp;E124&amp;J124</f>
        <v>&lt;record id="161422" posx="1371" posy="784" dir="5"/&gt;</v>
      </c>
    </row>
    <row r="125" spans="1:11">
      <c r="A125">
        <f>Sheet1!A169</f>
        <v>161423</v>
      </c>
      <c r="B125" t="str">
        <f>Sheet1!B169</f>
        <v>卫兵</v>
      </c>
      <c r="C125">
        <f>Sheet1!Q169</f>
        <v>1498</v>
      </c>
      <c r="D125">
        <f>Sheet1!R169</f>
        <v>892</v>
      </c>
      <c r="E125">
        <f>Sheet1!U169</f>
        <v>5</v>
      </c>
      <c r="F125" t="str">
        <f t="shared" ref="F125" si="667">F124</f>
        <v>&lt;record id="</v>
      </c>
      <c r="G125" t="str">
        <f t="shared" ref="G125:G130" si="668">G124</f>
        <v>" posx="</v>
      </c>
      <c r="H125" t="str">
        <f t="shared" ref="H125" si="669">H124</f>
        <v>" posy="</v>
      </c>
      <c r="I125" t="str">
        <f t="shared" ref="I125" si="670">I124</f>
        <v>" dir="</v>
      </c>
      <c r="J125" t="str">
        <f t="shared" si="665"/>
        <v>"/&gt;</v>
      </c>
      <c r="K125" t="str">
        <f t="shared" ref="K125:K130" si="671">F125&amp;A125&amp;G125&amp;C125&amp;H125&amp;D125&amp;I125&amp;E125&amp;J125</f>
        <v>&lt;record id="161423" posx="1498" posy="892" dir="5"/&gt;</v>
      </c>
    </row>
    <row r="126" spans="1:11">
      <c r="A126">
        <f>Sheet1!A170</f>
        <v>161424</v>
      </c>
      <c r="B126" t="str">
        <f>Sheet1!B170</f>
        <v>猴王</v>
      </c>
      <c r="C126">
        <f>Sheet1!Q170</f>
        <v>1242</v>
      </c>
      <c r="D126">
        <f>Sheet1!R170</f>
        <v>852</v>
      </c>
      <c r="E126">
        <f>Sheet1!U170</f>
        <v>3</v>
      </c>
      <c r="F126" t="str">
        <f t="shared" ref="F126" si="672">F125</f>
        <v>&lt;record id="</v>
      </c>
      <c r="G126" t="str">
        <f t="shared" si="668"/>
        <v>" posx="</v>
      </c>
      <c r="H126" t="str">
        <f t="shared" ref="H126" si="673">H125</f>
        <v>" posy="</v>
      </c>
      <c r="I126" t="str">
        <f t="shared" ref="I126:I129" si="674">I125</f>
        <v>" dir="</v>
      </c>
      <c r="J126" t="str">
        <f t="shared" si="665"/>
        <v>"/&gt;</v>
      </c>
      <c r="K126" t="str">
        <f t="shared" si="671"/>
        <v>&lt;record id="161424" posx="1242" posy="852" dir="3"/&gt;</v>
      </c>
    </row>
    <row r="127" spans="1:11">
      <c r="A127">
        <f>Sheet1!A171</f>
        <v>161425</v>
      </c>
      <c r="B127" t="str">
        <f>Sheet1!B171</f>
        <v>路不平</v>
      </c>
      <c r="C127">
        <f>Sheet1!Q171</f>
        <v>1874</v>
      </c>
      <c r="D127">
        <f>Sheet1!R171</f>
        <v>1033</v>
      </c>
      <c r="E127">
        <f>Sheet1!U171</f>
        <v>5</v>
      </c>
      <c r="F127" t="str">
        <f t="shared" ref="F127:F130" si="675">F126</f>
        <v>&lt;record id="</v>
      </c>
      <c r="G127" t="str">
        <f t="shared" si="668"/>
        <v>" posx="</v>
      </c>
      <c r="H127" t="str">
        <f t="shared" ref="H127:H129" si="676">H126</f>
        <v>" posy="</v>
      </c>
      <c r="I127" t="str">
        <f t="shared" si="674"/>
        <v>" dir="</v>
      </c>
      <c r="J127" t="str">
        <f t="shared" si="665"/>
        <v>"/&gt;</v>
      </c>
      <c r="K127" t="str">
        <f t="shared" si="671"/>
        <v>&lt;record id="161425" posx="1874" posy="1033" dir="5"/&gt;</v>
      </c>
    </row>
    <row r="128" spans="1:11">
      <c r="A128">
        <f>Sheet1!A172</f>
        <v>161426</v>
      </c>
      <c r="B128" t="str">
        <f>Sheet1!B172</f>
        <v>鬼将</v>
      </c>
      <c r="C128">
        <f>Sheet1!Q172</f>
        <v>2060</v>
      </c>
      <c r="D128">
        <f>Sheet1!R172</f>
        <v>1089</v>
      </c>
      <c r="E128">
        <f>Sheet1!U172</f>
        <v>3</v>
      </c>
      <c r="F128" t="str">
        <f t="shared" si="675"/>
        <v>&lt;record id="</v>
      </c>
      <c r="G128" t="str">
        <f t="shared" si="668"/>
        <v>" posx="</v>
      </c>
      <c r="H128" t="str">
        <f t="shared" si="676"/>
        <v>" posy="</v>
      </c>
      <c r="I128" t="str">
        <f t="shared" si="674"/>
        <v>" dir="</v>
      </c>
      <c r="J128" t="str">
        <f t="shared" si="665"/>
        <v>"/&gt;</v>
      </c>
      <c r="K128" t="str">
        <f t="shared" si="671"/>
        <v>&lt;record id="161426" posx="2060" posy="1089" dir="3"/&gt;</v>
      </c>
    </row>
    <row r="129" spans="1:11">
      <c r="A129">
        <f>Sheet1!A173</f>
        <v>161427</v>
      </c>
      <c r="B129" t="str">
        <f>Sheet1!B173</f>
        <v>时空守护者</v>
      </c>
      <c r="C129">
        <f>Sheet1!Q173</f>
        <v>665</v>
      </c>
      <c r="D129">
        <f>Sheet1!R173</f>
        <v>243</v>
      </c>
      <c r="E129">
        <f>Sheet1!U173</f>
        <v>3</v>
      </c>
      <c r="F129" t="str">
        <f t="shared" si="675"/>
        <v>&lt;record id="</v>
      </c>
      <c r="G129" t="str">
        <f t="shared" si="668"/>
        <v>" posx="</v>
      </c>
      <c r="H129" t="str">
        <f t="shared" si="676"/>
        <v>" posy="</v>
      </c>
      <c r="I129" t="str">
        <f t="shared" si="674"/>
        <v>" dir="</v>
      </c>
      <c r="J129" t="str">
        <f t="shared" si="665"/>
        <v>"/&gt;</v>
      </c>
      <c r="K129" t="str">
        <f t="shared" si="671"/>
        <v>&lt;record id="161427" posx="665" posy="243" dir="3"/&gt;</v>
      </c>
    </row>
    <row r="130" spans="1:11">
      <c r="A130">
        <f>Sheet1!A178</f>
        <v>161501</v>
      </c>
      <c r="B130" t="str">
        <f>Sheet1!B178</f>
        <v>钟馗</v>
      </c>
      <c r="C130">
        <f>Sheet1!Q178</f>
        <v>1609</v>
      </c>
      <c r="D130">
        <f>Sheet1!R178</f>
        <v>2120</v>
      </c>
      <c r="E130">
        <f>Sheet1!U178</f>
        <v>3</v>
      </c>
      <c r="F130" t="str">
        <f t="shared" si="675"/>
        <v>&lt;record id="</v>
      </c>
      <c r="G130" t="str">
        <f t="shared" si="668"/>
        <v>" posx="</v>
      </c>
      <c r="H130" t="str">
        <f t="shared" ref="H130" si="677">H129</f>
        <v>" posy="</v>
      </c>
      <c r="I130" t="str">
        <f t="shared" ref="I130" si="678">I129</f>
        <v>" dir="</v>
      </c>
      <c r="J130" t="str">
        <f t="shared" ref="J130" si="679">J129</f>
        <v>"/&gt;</v>
      </c>
      <c r="K130" t="str">
        <f t="shared" si="671"/>
        <v>&lt;record id="161501" posx="1609" posy="2120" dir="3"/&gt;</v>
      </c>
    </row>
    <row r="131" spans="1:11">
      <c r="A131">
        <f>Sheet1!A179</f>
        <v>161502</v>
      </c>
      <c r="B131" t="str">
        <f>Sheet1!B179</f>
        <v>药店老板</v>
      </c>
      <c r="C131">
        <f>Sheet1!Q179</f>
        <v>964</v>
      </c>
      <c r="D131">
        <f>Sheet1!R179</f>
        <v>1072</v>
      </c>
      <c r="E131">
        <f>Sheet1!U179</f>
        <v>3</v>
      </c>
      <c r="F131" t="str">
        <f t="shared" ref="F131" si="680">F130</f>
        <v>&lt;record id="</v>
      </c>
      <c r="G131" t="str">
        <f t="shared" ref="G131" si="681">G130</f>
        <v>" posx="</v>
      </c>
      <c r="H131" t="str">
        <f t="shared" ref="H131" si="682">H130</f>
        <v>" posy="</v>
      </c>
      <c r="I131" t="str">
        <f t="shared" ref="I131" si="683">I130</f>
        <v>" dir="</v>
      </c>
      <c r="J131" t="str">
        <f t="shared" ref="J131" si="684">J130</f>
        <v>"/&gt;</v>
      </c>
      <c r="K131" t="str">
        <f t="shared" ref="K131" si="685">F131&amp;A131&amp;G131&amp;C131&amp;H131&amp;D131&amp;I131&amp;E131&amp;J131</f>
        <v>&lt;record id="161502" posx="964" posy="1072" dir="3"/&gt;</v>
      </c>
    </row>
    <row r="132" spans="1:11">
      <c r="A132">
        <f>Sheet1!A180</f>
        <v>161503</v>
      </c>
      <c r="B132" t="str">
        <f>Sheet1!B180</f>
        <v>酒店老板</v>
      </c>
      <c r="C132">
        <f>Sheet1!Q180</f>
        <v>3394</v>
      </c>
      <c r="D132">
        <f>Sheet1!R180</f>
        <v>2503</v>
      </c>
      <c r="E132">
        <f>Sheet1!U180</f>
        <v>5</v>
      </c>
      <c r="F132" t="str">
        <f t="shared" ref="F132" si="686">F131</f>
        <v>&lt;record id="</v>
      </c>
      <c r="G132" t="str">
        <f t="shared" ref="G132" si="687">G131</f>
        <v>" posx="</v>
      </c>
      <c r="H132" t="str">
        <f t="shared" ref="H132" si="688">H131</f>
        <v>" posy="</v>
      </c>
      <c r="I132" t="str">
        <f t="shared" ref="I132" si="689">I131</f>
        <v>" dir="</v>
      </c>
      <c r="J132" t="str">
        <f t="shared" ref="J132" si="690">J131</f>
        <v>"/&gt;</v>
      </c>
      <c r="K132" t="str">
        <f t="shared" ref="K132" si="691">F132&amp;A132&amp;G132&amp;C132&amp;H132&amp;D132&amp;I132&amp;E132&amp;J132</f>
        <v>&lt;record id="161503" posx="3394" posy="2503" dir="5"/&gt;</v>
      </c>
    </row>
    <row r="133" spans="1:11">
      <c r="A133">
        <f>Sheet1!A181</f>
        <v>161504</v>
      </c>
      <c r="B133" t="str">
        <f>Sheet1!B181</f>
        <v>兵器铺老板</v>
      </c>
      <c r="C133">
        <f>Sheet1!Q181</f>
        <v>3368</v>
      </c>
      <c r="D133">
        <f>Sheet1!R181</f>
        <v>3994</v>
      </c>
      <c r="E133">
        <f>Sheet1!U181</f>
        <v>5</v>
      </c>
      <c r="F133" t="str">
        <f t="shared" ref="F133" si="692">F132</f>
        <v>&lt;record id="</v>
      </c>
      <c r="G133" t="str">
        <f t="shared" ref="G133" si="693">G132</f>
        <v>" posx="</v>
      </c>
      <c r="H133" t="str">
        <f t="shared" ref="H133" si="694">H132</f>
        <v>" posy="</v>
      </c>
      <c r="I133" t="str">
        <f t="shared" ref="I133" si="695">I132</f>
        <v>" dir="</v>
      </c>
      <c r="J133" t="str">
        <f t="shared" ref="J133" si="696">J132</f>
        <v>"/&gt;</v>
      </c>
      <c r="K133" t="str">
        <f t="shared" ref="K133" si="697">F133&amp;A133&amp;G133&amp;C133&amp;H133&amp;D133&amp;I133&amp;E133&amp;J133</f>
        <v>&lt;record id="161504" posx="3368" posy="3994" dir="5"/&gt;</v>
      </c>
    </row>
    <row r="134" spans="1:11">
      <c r="A134">
        <f>Sheet1!A182</f>
        <v>161505</v>
      </c>
      <c r="B134" t="str">
        <f>Sheet1!B182</f>
        <v>花香香</v>
      </c>
      <c r="C134">
        <f>Sheet1!Q182</f>
        <v>1290</v>
      </c>
      <c r="D134">
        <f>Sheet1!R182</f>
        <v>2651</v>
      </c>
      <c r="E134">
        <f>Sheet1!U182</f>
        <v>3</v>
      </c>
      <c r="F134" t="str">
        <f t="shared" ref="F134" si="698">F133</f>
        <v>&lt;record id="</v>
      </c>
      <c r="G134" t="str">
        <f t="shared" ref="G134" si="699">G133</f>
        <v>" posx="</v>
      </c>
      <c r="H134" t="str">
        <f t="shared" ref="H134" si="700">H133</f>
        <v>" posy="</v>
      </c>
      <c r="I134" t="str">
        <f t="shared" ref="I134" si="701">I133</f>
        <v>" dir="</v>
      </c>
      <c r="J134" t="str">
        <f t="shared" ref="J134" si="702">J133</f>
        <v>"/&gt;</v>
      </c>
      <c r="K134" t="str">
        <f t="shared" ref="K134" si="703">F134&amp;A134&amp;G134&amp;C134&amp;H134&amp;D134&amp;I134&amp;E134&amp;J134</f>
        <v>&lt;record id="161505" posx="1290" posy="2651" dir="3"/&gt;</v>
      </c>
    </row>
    <row r="135" spans="1:11">
      <c r="A135">
        <f>Sheet1!A183</f>
        <v>161506</v>
      </c>
      <c r="B135" t="str">
        <f>Sheet1!B183</f>
        <v>商会</v>
      </c>
      <c r="C135">
        <f>Sheet1!Q183</f>
        <v>3115</v>
      </c>
      <c r="D135">
        <f>Sheet1!R183</f>
        <v>1277</v>
      </c>
      <c r="E135">
        <f>Sheet1!U183</f>
        <v>3</v>
      </c>
      <c r="F135" t="str">
        <f t="shared" ref="F135" si="704">F134</f>
        <v>&lt;record id="</v>
      </c>
      <c r="G135" t="str">
        <f t="shared" ref="G135" si="705">G134</f>
        <v>" posx="</v>
      </c>
      <c r="H135" t="str">
        <f t="shared" ref="H135" si="706">H134</f>
        <v>" posy="</v>
      </c>
      <c r="I135" t="str">
        <f t="shared" ref="I135" si="707">I134</f>
        <v>" dir="</v>
      </c>
      <c r="J135" t="str">
        <f t="shared" ref="J135" si="708">J134</f>
        <v>"/&gt;</v>
      </c>
      <c r="K135" t="str">
        <f t="shared" ref="K135" si="709">F135&amp;A135&amp;G135&amp;C135&amp;H135&amp;D135&amp;I135&amp;E135&amp;J135</f>
        <v>&lt;record id="161506" posx="3115" posy="1277" dir="3"/&gt;</v>
      </c>
    </row>
    <row r="136" spans="1:11">
      <c r="A136">
        <f>Sheet1!A184</f>
        <v>161507</v>
      </c>
      <c r="B136" t="str">
        <f>Sheet1!B184</f>
        <v>袁守城</v>
      </c>
      <c r="C136">
        <f>Sheet1!Q184</f>
        <v>1762</v>
      </c>
      <c r="D136">
        <f>Sheet1!R184</f>
        <v>713</v>
      </c>
      <c r="E136">
        <f>Sheet1!U184</f>
        <v>3</v>
      </c>
      <c r="F136" t="str">
        <f t="shared" ref="F136" si="710">F135</f>
        <v>&lt;record id="</v>
      </c>
      <c r="G136" t="str">
        <f t="shared" ref="G136" si="711">G135</f>
        <v>" posx="</v>
      </c>
      <c r="H136" t="str">
        <f t="shared" ref="H136" si="712">H135</f>
        <v>" posy="</v>
      </c>
      <c r="I136" t="str">
        <f t="shared" ref="I136" si="713">I135</f>
        <v>" dir="</v>
      </c>
      <c r="J136" t="str">
        <f t="shared" ref="J136" si="714">J135</f>
        <v>"/&gt;</v>
      </c>
      <c r="K136" t="str">
        <f t="shared" ref="K136" si="715">F136&amp;A136&amp;G136&amp;C136&amp;H136&amp;D136&amp;I136&amp;E136&amp;J136</f>
        <v>&lt;record id="161507" posx="1762" posy="713" dir="3"/&gt;</v>
      </c>
    </row>
    <row r="137" spans="1:11">
      <c r="A137">
        <f>Sheet1!A185</f>
        <v>161508</v>
      </c>
      <c r="B137" t="str">
        <f>Sheet1!B185</f>
        <v>罗道人</v>
      </c>
      <c r="C137">
        <f>Sheet1!Q185</f>
        <v>2176</v>
      </c>
      <c r="D137">
        <f>Sheet1!R185</f>
        <v>562</v>
      </c>
      <c r="E137">
        <f>Sheet1!U185</f>
        <v>3</v>
      </c>
      <c r="F137" t="str">
        <f t="shared" ref="F137" si="716">F136</f>
        <v>&lt;record id="</v>
      </c>
      <c r="G137" t="str">
        <f t="shared" ref="G137" si="717">G136</f>
        <v>" posx="</v>
      </c>
      <c r="H137" t="str">
        <f t="shared" ref="H137" si="718">H136</f>
        <v>" posy="</v>
      </c>
      <c r="I137" t="str">
        <f t="shared" ref="I137" si="719">I136</f>
        <v>" dir="</v>
      </c>
      <c r="J137" t="str">
        <f t="shared" ref="J137" si="720">J136</f>
        <v>"/&gt;</v>
      </c>
      <c r="K137" t="str">
        <f t="shared" ref="K137" si="721">F137&amp;A137&amp;G137&amp;C137&amp;H137&amp;D137&amp;I137&amp;E137&amp;J137</f>
        <v>&lt;record id="161508" posx="2176" posy="562" dir="3"/&gt;</v>
      </c>
    </row>
    <row r="138" spans="1:11">
      <c r="A138">
        <f>Sheet1!A186</f>
        <v>161509</v>
      </c>
      <c r="B138" t="str">
        <f>Sheet1!B186</f>
        <v>神兽商店</v>
      </c>
      <c r="C138">
        <f>Sheet1!Q186</f>
        <v>2688</v>
      </c>
      <c r="D138">
        <f>Sheet1!R186</f>
        <v>950</v>
      </c>
      <c r="E138">
        <f>Sheet1!U186</f>
        <v>3</v>
      </c>
      <c r="F138" t="str">
        <f t="shared" ref="F138" si="722">F137</f>
        <v>&lt;record id="</v>
      </c>
      <c r="G138" t="str">
        <f t="shared" ref="G138" si="723">G137</f>
        <v>" posx="</v>
      </c>
      <c r="H138" t="str">
        <f t="shared" ref="H138" si="724">H137</f>
        <v>" posy="</v>
      </c>
      <c r="I138" t="str">
        <f t="shared" ref="I138" si="725">I137</f>
        <v>" dir="</v>
      </c>
      <c r="J138" t="str">
        <f t="shared" ref="J138" si="726">J137</f>
        <v>"/&gt;</v>
      </c>
      <c r="K138" t="str">
        <f t="shared" ref="K138" si="727">F138&amp;A138&amp;G138&amp;C138&amp;H138&amp;D138&amp;I138&amp;E138&amp;J138</f>
        <v>&lt;record id="161509" posx="2688" posy="950" dir="3"/&gt;</v>
      </c>
    </row>
    <row r="139" spans="1:11">
      <c r="A139">
        <f>Sheet1!A187</f>
        <v>161510</v>
      </c>
      <c r="B139" t="str">
        <f>Sheet1!B187</f>
        <v>店小二</v>
      </c>
      <c r="C139">
        <f>Sheet1!Q187</f>
        <v>475</v>
      </c>
      <c r="D139">
        <f>Sheet1!R187</f>
        <v>1423</v>
      </c>
      <c r="E139">
        <f>Sheet1!U187</f>
        <v>3</v>
      </c>
      <c r="F139" t="str">
        <f t="shared" ref="F139" si="728">F138</f>
        <v>&lt;record id="</v>
      </c>
      <c r="G139" t="str">
        <f t="shared" ref="G139" si="729">G138</f>
        <v>" posx="</v>
      </c>
      <c r="H139" t="str">
        <f t="shared" ref="H139" si="730">H138</f>
        <v>" posy="</v>
      </c>
      <c r="I139" t="str">
        <f t="shared" ref="I139" si="731">I138</f>
        <v>" dir="</v>
      </c>
      <c r="J139" t="str">
        <f t="shared" ref="J139" si="732">J138</f>
        <v>"/&gt;</v>
      </c>
      <c r="K139" t="str">
        <f t="shared" ref="K139" si="733">F139&amp;A139&amp;G139&amp;C139&amp;H139&amp;D139&amp;I139&amp;E139&amp;J139</f>
        <v>&lt;record id="161510" posx="475" posy="1423" dir="3"/&gt;</v>
      </c>
    </row>
    <row r="140" spans="1:11">
      <c r="A140">
        <f>Sheet1!A188</f>
        <v>161511</v>
      </c>
      <c r="B140" t="str">
        <f>Sheet1!B188</f>
        <v>副本管理员</v>
      </c>
      <c r="C140">
        <f>Sheet1!Q188</f>
        <v>2266</v>
      </c>
      <c r="D140">
        <f>Sheet1!R188</f>
        <v>1609</v>
      </c>
      <c r="E140">
        <f>Sheet1!U188</f>
        <v>3</v>
      </c>
      <c r="F140" t="str">
        <f t="shared" ref="F140" si="734">F139</f>
        <v>&lt;record id="</v>
      </c>
      <c r="G140" t="str">
        <f t="shared" ref="G140" si="735">G139</f>
        <v>" posx="</v>
      </c>
      <c r="H140" t="str">
        <f t="shared" ref="H140" si="736">H139</f>
        <v>" posy="</v>
      </c>
      <c r="I140" t="str">
        <f t="shared" ref="I140" si="737">I139</f>
        <v>" dir="</v>
      </c>
      <c r="J140" t="str">
        <f t="shared" ref="J140" si="738">J139</f>
        <v>"/&gt;</v>
      </c>
      <c r="K140" t="str">
        <f t="shared" ref="K140" si="739">F140&amp;A140&amp;G140&amp;C140&amp;H140&amp;D140&amp;I140&amp;E140&amp;J140</f>
        <v>&lt;record id="161511" posx="2266" posy="1609" dir="3"/&gt;</v>
      </c>
    </row>
    <row r="141" spans="1:11">
      <c r="A141">
        <f>Sheet1!A189</f>
        <v>161512</v>
      </c>
      <c r="B141" t="str">
        <f>Sheet1!B189</f>
        <v>擂台管理员</v>
      </c>
      <c r="C141">
        <f>Sheet1!Q189</f>
        <v>888</v>
      </c>
      <c r="D141">
        <f>Sheet1!R189</f>
        <v>3157</v>
      </c>
      <c r="E141">
        <f>Sheet1!U189</f>
        <v>3</v>
      </c>
      <c r="F141" t="str">
        <f t="shared" ref="F141" si="740">F140</f>
        <v>&lt;record id="</v>
      </c>
      <c r="G141" t="str">
        <f t="shared" ref="G141" si="741">G140</f>
        <v>" posx="</v>
      </c>
      <c r="H141" t="str">
        <f t="shared" ref="H141" si="742">H140</f>
        <v>" posy="</v>
      </c>
      <c r="I141" t="str">
        <f t="shared" ref="I141" si="743">I140</f>
        <v>" dir="</v>
      </c>
      <c r="J141" t="str">
        <f t="shared" ref="J141" si="744">J140</f>
        <v>"/&gt;</v>
      </c>
      <c r="K141" t="str">
        <f t="shared" ref="K141" si="745">F141&amp;A141&amp;G141&amp;C141&amp;H141&amp;D141&amp;I141&amp;E141&amp;J141</f>
        <v>&lt;record id="161512" posx="888" posy="3157" dir="3"/&gt;</v>
      </c>
    </row>
    <row r="142" spans="1:11">
      <c r="A142">
        <f>Sheet1!A190</f>
        <v>161513</v>
      </c>
      <c r="B142" t="str">
        <f>Sheet1!B190</f>
        <v>合成强化重铸</v>
      </c>
      <c r="C142">
        <f>Sheet1!Q190</f>
        <v>2894</v>
      </c>
      <c r="D142">
        <f>Sheet1!R190</f>
        <v>2107</v>
      </c>
      <c r="E142">
        <f>Sheet1!U190</f>
        <v>3</v>
      </c>
      <c r="F142" t="str">
        <f t="shared" ref="F142" si="746">F141</f>
        <v>&lt;record id="</v>
      </c>
      <c r="G142" t="str">
        <f t="shared" ref="G142" si="747">G141</f>
        <v>" posx="</v>
      </c>
      <c r="H142" t="str">
        <f t="shared" ref="H142" si="748">H141</f>
        <v>" posy="</v>
      </c>
      <c r="I142" t="str">
        <f t="shared" ref="I142" si="749">I141</f>
        <v>" dir="</v>
      </c>
      <c r="J142" t="str">
        <f t="shared" ref="J142" si="750">J141</f>
        <v>"/&gt;</v>
      </c>
      <c r="K142" t="str">
        <f t="shared" ref="K142" si="751">F142&amp;A142&amp;G142&amp;C142&amp;H142&amp;D142&amp;I142&amp;E142&amp;J142</f>
        <v>&lt;record id="161513" posx="2894" posy="2107" dir="3"/&gt;</v>
      </c>
    </row>
    <row r="143" spans="1:11">
      <c r="A143">
        <f>Sheet1!A191</f>
        <v>161515</v>
      </c>
      <c r="B143" t="str">
        <f>Sheet1!B191</f>
        <v>门派闯关使者</v>
      </c>
      <c r="C143">
        <f>Sheet1!Q191</f>
        <v>6144</v>
      </c>
      <c r="D143">
        <f>Sheet1!R191</f>
        <v>2256</v>
      </c>
      <c r="E143">
        <f>Sheet1!U191</f>
        <v>5</v>
      </c>
      <c r="F143" t="str">
        <f t="shared" ref="F143" si="752">F142</f>
        <v>&lt;record id="</v>
      </c>
      <c r="G143" t="str">
        <f t="shared" ref="G143" si="753">G142</f>
        <v>" posx="</v>
      </c>
      <c r="H143" t="str">
        <f t="shared" ref="H143" si="754">H142</f>
        <v>" posy="</v>
      </c>
      <c r="I143" t="str">
        <f t="shared" ref="I143" si="755">I142</f>
        <v>" dir="</v>
      </c>
      <c r="J143" t="str">
        <f t="shared" ref="J143" si="756">J142</f>
        <v>"/&gt;</v>
      </c>
      <c r="K143" t="str">
        <f t="shared" ref="K143" si="757">F143&amp;A143&amp;G143&amp;C143&amp;H143&amp;D143&amp;I143&amp;E143&amp;J143</f>
        <v>&lt;record id="161515" posx="6144" posy="2256" dir="5"/&gt;</v>
      </c>
    </row>
    <row r="144" spans="1:11">
      <c r="A144">
        <f>Sheet1!A192</f>
        <v>161516</v>
      </c>
      <c r="B144" t="str">
        <f>Sheet1!B192</f>
        <v>染色师</v>
      </c>
      <c r="C144">
        <f>Sheet1!Q192</f>
        <v>1016</v>
      </c>
      <c r="D144">
        <f>Sheet1!R192</f>
        <v>1723</v>
      </c>
      <c r="E144">
        <f>Sheet1!U192</f>
        <v>3</v>
      </c>
      <c r="F144" t="str">
        <f t="shared" ref="F144" si="758">F143</f>
        <v>&lt;record id="</v>
      </c>
      <c r="G144" t="str">
        <f t="shared" ref="G144" si="759">G143</f>
        <v>" posx="</v>
      </c>
      <c r="H144" t="str">
        <f t="shared" ref="H144" si="760">H143</f>
        <v>" posy="</v>
      </c>
      <c r="I144" t="str">
        <f t="shared" ref="I144" si="761">I143</f>
        <v>" dir="</v>
      </c>
      <c r="J144" t="str">
        <f t="shared" ref="J144" si="762">J143</f>
        <v>"/&gt;</v>
      </c>
      <c r="K144" t="str">
        <f t="shared" ref="K144" si="763">F144&amp;A144&amp;G144&amp;C144&amp;H144&amp;D144&amp;I144&amp;E144&amp;J144</f>
        <v>&lt;record id="161516" posx="1016" posy="1723" dir="3"/&gt;</v>
      </c>
    </row>
    <row r="145" spans="1:11">
      <c r="A145">
        <f>Sheet1!A193</f>
        <v>161517</v>
      </c>
      <c r="B145" t="str">
        <f>Sheet1!B193</f>
        <v>陈员外</v>
      </c>
      <c r="C145">
        <f>Sheet1!Q193</f>
        <v>3676</v>
      </c>
      <c r="D145">
        <f>Sheet1!R193</f>
        <v>2688</v>
      </c>
      <c r="E145">
        <f>Sheet1!U193</f>
        <v>5</v>
      </c>
      <c r="F145" t="str">
        <f t="shared" ref="F145" si="764">F144</f>
        <v>&lt;record id="</v>
      </c>
      <c r="G145" t="str">
        <f t="shared" ref="G145" si="765">G144</f>
        <v>" posx="</v>
      </c>
      <c r="H145" t="str">
        <f t="shared" ref="H145" si="766">H144</f>
        <v>" posy="</v>
      </c>
      <c r="I145" t="str">
        <f t="shared" ref="I145" si="767">I144</f>
        <v>" dir="</v>
      </c>
      <c r="J145" t="str">
        <f t="shared" ref="J145" si="768">J144</f>
        <v>"/&gt;</v>
      </c>
      <c r="K145" t="str">
        <f t="shared" ref="K145" si="769">F145&amp;A145&amp;G145&amp;C145&amp;H145&amp;D145&amp;I145&amp;E145&amp;J145</f>
        <v>&lt;record id="161517" posx="3676" posy="2688" dir="5"/&gt;</v>
      </c>
    </row>
    <row r="146" spans="1:11">
      <c r="A146">
        <f>Sheet1!A194</f>
        <v>161518</v>
      </c>
      <c r="B146" t="str">
        <f>Sheet1!B194</f>
        <v>单人竞技场</v>
      </c>
      <c r="C146">
        <f>Sheet1!Q194</f>
        <v>2000</v>
      </c>
      <c r="D146">
        <f>Sheet1!R194</f>
        <v>2368</v>
      </c>
      <c r="E146">
        <f>Sheet1!U194</f>
        <v>3</v>
      </c>
      <c r="F146" t="str">
        <f t="shared" ref="F146" si="770">F145</f>
        <v>&lt;record id="</v>
      </c>
      <c r="G146" t="str">
        <f t="shared" ref="G146" si="771">G145</f>
        <v>" posx="</v>
      </c>
      <c r="H146" t="str">
        <f t="shared" ref="H146" si="772">H145</f>
        <v>" posy="</v>
      </c>
      <c r="I146" t="str">
        <f t="shared" ref="I146" si="773">I145</f>
        <v>" dir="</v>
      </c>
      <c r="J146" t="str">
        <f t="shared" ref="J146" si="774">J145</f>
        <v>"/&gt;</v>
      </c>
      <c r="K146" t="str">
        <f t="shared" ref="K146" si="775">F146&amp;A146&amp;G146&amp;C146&amp;H146&amp;D146&amp;I146&amp;E146&amp;J146</f>
        <v>&lt;record id="161518" posx="2000" posy="2368" dir="3"/&gt;</v>
      </c>
    </row>
    <row r="147" spans="1:11">
      <c r="A147">
        <f>Sheet1!A195</f>
        <v>161519</v>
      </c>
      <c r="B147" t="str">
        <f>Sheet1!B195</f>
        <v>决战华山</v>
      </c>
      <c r="C147">
        <f>Sheet1!Q195</f>
        <v>2000</v>
      </c>
      <c r="D147">
        <f>Sheet1!R195</f>
        <v>2368</v>
      </c>
      <c r="E147">
        <f>Sheet1!U195</f>
        <v>3</v>
      </c>
      <c r="F147" t="str">
        <f t="shared" ref="F147" si="776">F146</f>
        <v>&lt;record id="</v>
      </c>
      <c r="G147" t="str">
        <f t="shared" ref="G147" si="777">G146</f>
        <v>" posx="</v>
      </c>
      <c r="H147" t="str">
        <f t="shared" ref="H147" si="778">H146</f>
        <v>" posy="</v>
      </c>
      <c r="I147" t="str">
        <f t="shared" ref="I147" si="779">I146</f>
        <v>" dir="</v>
      </c>
      <c r="J147" t="str">
        <f t="shared" ref="J147" si="780">J146</f>
        <v>"/&gt;</v>
      </c>
      <c r="K147" t="str">
        <f t="shared" ref="K147" si="781">F147&amp;A147&amp;G147&amp;C147&amp;H147&amp;D147&amp;I147&amp;E147&amp;J147</f>
        <v>&lt;record id="161519" posx="2000" posy="2368" dir="3"/&gt;</v>
      </c>
    </row>
    <row r="148" spans="1:11">
      <c r="A148">
        <f>Sheet1!A196</f>
        <v>161520</v>
      </c>
      <c r="B148" t="str">
        <f>Sheet1!B196</f>
        <v>天下比武大会</v>
      </c>
      <c r="C148">
        <f>Sheet1!Q196</f>
        <v>2000</v>
      </c>
      <c r="D148">
        <f>Sheet1!R196</f>
        <v>2368</v>
      </c>
      <c r="E148">
        <f>Sheet1!U196</f>
        <v>3</v>
      </c>
      <c r="F148" t="str">
        <f t="shared" ref="F148" si="782">F147</f>
        <v>&lt;record id="</v>
      </c>
      <c r="G148" t="str">
        <f t="shared" ref="G148" si="783">G147</f>
        <v>" posx="</v>
      </c>
      <c r="H148" t="str">
        <f t="shared" ref="H148" si="784">H147</f>
        <v>" posy="</v>
      </c>
      <c r="I148" t="str">
        <f t="shared" ref="I148" si="785">I147</f>
        <v>" dir="</v>
      </c>
      <c r="J148" t="str">
        <f t="shared" ref="J148" si="786">J147</f>
        <v>"/&gt;</v>
      </c>
      <c r="K148" t="str">
        <f t="shared" ref="K148" si="787">F148&amp;A148&amp;G148&amp;C148&amp;H148&amp;D148&amp;I148&amp;E148&amp;J148</f>
        <v>&lt;record id="161520" posx="2000" posy="2368" dir="3"/&gt;</v>
      </c>
    </row>
    <row r="149" spans="1:11">
      <c r="A149">
        <f>Sheet1!A197</f>
        <v>161521</v>
      </c>
      <c r="B149" t="str">
        <f>Sheet1!B197</f>
        <v>秘境降妖</v>
      </c>
      <c r="C149">
        <f>Sheet1!Q197</f>
        <v>1214</v>
      </c>
      <c r="D149">
        <f>Sheet1!R197</f>
        <v>2129</v>
      </c>
      <c r="E149">
        <f>Sheet1!U197</f>
        <v>7</v>
      </c>
      <c r="F149" t="str">
        <f t="shared" ref="F149" si="788">F148</f>
        <v>&lt;record id="</v>
      </c>
      <c r="G149" t="str">
        <f t="shared" ref="G149" si="789">G148</f>
        <v>" posx="</v>
      </c>
      <c r="H149" t="str">
        <f t="shared" ref="H149" si="790">H148</f>
        <v>" posy="</v>
      </c>
      <c r="I149" t="str">
        <f t="shared" ref="I149" si="791">I148</f>
        <v>" dir="</v>
      </c>
      <c r="J149" t="str">
        <f t="shared" ref="J149" si="792">J148</f>
        <v>"/&gt;</v>
      </c>
      <c r="K149" t="str">
        <f t="shared" ref="K149" si="793">F149&amp;A149&amp;G149&amp;C149&amp;H149&amp;D149&amp;I149&amp;E149&amp;J149</f>
        <v>&lt;record id="161521" posx="1214" posy="2129" dir="7"/&gt;</v>
      </c>
    </row>
    <row r="150" spans="1:11">
      <c r="A150">
        <f>Sheet1!A198</f>
        <v>161522</v>
      </c>
      <c r="B150" t="str">
        <f>Sheet1!B198</f>
        <v>家园管理员</v>
      </c>
      <c r="C150">
        <f>Sheet1!Q198</f>
        <v>0</v>
      </c>
      <c r="D150">
        <f>Sheet1!R198</f>
        <v>0</v>
      </c>
      <c r="E150">
        <f>Sheet1!U198</f>
        <v>3</v>
      </c>
      <c r="F150" t="str">
        <f t="shared" ref="F150" si="794">F149</f>
        <v>&lt;record id="</v>
      </c>
      <c r="G150" t="str">
        <f t="shared" ref="G150" si="795">G149</f>
        <v>" posx="</v>
      </c>
      <c r="H150" t="str">
        <f t="shared" ref="H150" si="796">H149</f>
        <v>" posy="</v>
      </c>
      <c r="I150" t="str">
        <f t="shared" ref="I150" si="797">I149</f>
        <v>" dir="</v>
      </c>
      <c r="J150" t="str">
        <f t="shared" ref="J150" si="798">J149</f>
        <v>"/&gt;</v>
      </c>
      <c r="K150" t="str">
        <f t="shared" ref="K150" si="799">F150&amp;A150&amp;G150&amp;C150&amp;H150&amp;D150&amp;I150&amp;E150&amp;J150</f>
        <v>&lt;record id="161522" posx="0" posy="0" dir="3"/&gt;</v>
      </c>
    </row>
    <row r="151" spans="1:11">
      <c r="A151">
        <f>Sheet1!A199</f>
        <v>161523</v>
      </c>
      <c r="B151" t="str">
        <f>Sheet1!B199</f>
        <v>传送妖精</v>
      </c>
      <c r="C151">
        <f>Sheet1!Q199</f>
        <v>2832</v>
      </c>
      <c r="D151">
        <f>Sheet1!R199</f>
        <v>3343</v>
      </c>
      <c r="E151">
        <f>Sheet1!U199</f>
        <v>5</v>
      </c>
      <c r="F151" t="str">
        <f t="shared" ref="F151" si="800">F150</f>
        <v>&lt;record id="</v>
      </c>
      <c r="G151" t="str">
        <f t="shared" ref="G151" si="801">G150</f>
        <v>" posx="</v>
      </c>
      <c r="H151" t="str">
        <f t="shared" ref="H151" si="802">H150</f>
        <v>" posy="</v>
      </c>
      <c r="I151" t="str">
        <f t="shared" ref="I151" si="803">I150</f>
        <v>" dir="</v>
      </c>
      <c r="J151" t="str">
        <f t="shared" ref="J151" si="804">J150</f>
        <v>"/&gt;</v>
      </c>
      <c r="K151" t="str">
        <f t="shared" ref="K151" si="805">F151&amp;A151&amp;G151&amp;C151&amp;H151&amp;D151&amp;I151&amp;E151&amp;J151</f>
        <v>&lt;record id="161523" posx="2832" posy="3343" dir="5"/&gt;</v>
      </c>
    </row>
    <row r="152" spans="1:11">
      <c r="A152">
        <f>Sheet1!A200</f>
        <v>161524</v>
      </c>
      <c r="B152" t="str">
        <f>Sheet1!B200</f>
        <v>袁天罡</v>
      </c>
      <c r="C152">
        <f>Sheet1!Q200</f>
        <v>3751</v>
      </c>
      <c r="D152">
        <f>Sheet1!R200</f>
        <v>2775</v>
      </c>
      <c r="E152">
        <f>Sheet1!U200</f>
        <v>7</v>
      </c>
      <c r="F152" t="str">
        <f t="shared" ref="F152" si="806">F151</f>
        <v>&lt;record id="</v>
      </c>
      <c r="G152" t="str">
        <f t="shared" ref="G152" si="807">G151</f>
        <v>" posx="</v>
      </c>
      <c r="H152" t="str">
        <f t="shared" ref="H152" si="808">H151</f>
        <v>" posy="</v>
      </c>
      <c r="I152" t="str">
        <f t="shared" ref="I152" si="809">I151</f>
        <v>" dir="</v>
      </c>
      <c r="J152" t="str">
        <f t="shared" ref="J152" si="810">J151</f>
        <v>"/&gt;</v>
      </c>
      <c r="K152" t="str">
        <f t="shared" ref="K152" si="811">F152&amp;A152&amp;G152&amp;C152&amp;H152&amp;D152&amp;I152&amp;E152&amp;J152</f>
        <v>&lt;record id="161524" posx="3751" posy="2775" dir="7"/&gt;</v>
      </c>
    </row>
    <row r="153" spans="1:11">
      <c r="A153">
        <f>Sheet1!A219</f>
        <v>161601</v>
      </c>
      <c r="B153" t="str">
        <f>Sheet1!B219</f>
        <v>可疑的家伙</v>
      </c>
      <c r="C153">
        <f>Sheet1!Q219</f>
        <v>991</v>
      </c>
      <c r="D153">
        <f>Sheet1!R219</f>
        <v>946</v>
      </c>
      <c r="E153">
        <f>Sheet1!U219</f>
        <v>3</v>
      </c>
      <c r="F153" t="str">
        <f t="shared" ref="F153" si="812">F152</f>
        <v>&lt;record id="</v>
      </c>
      <c r="G153" t="str">
        <f t="shared" ref="G153" si="813">G152</f>
        <v>" posx="</v>
      </c>
      <c r="H153" t="str">
        <f t="shared" ref="H153" si="814">H152</f>
        <v>" posy="</v>
      </c>
      <c r="I153" t="str">
        <f t="shared" ref="I153" si="815">I152</f>
        <v>" dir="</v>
      </c>
      <c r="J153" t="str">
        <f t="shared" ref="J153" si="816">J152</f>
        <v>"/&gt;</v>
      </c>
      <c r="K153" t="str">
        <f t="shared" ref="K153" si="817">F153&amp;A153&amp;G153&amp;C153&amp;H153&amp;D153&amp;I153&amp;E153&amp;J153</f>
        <v>&lt;record id="161601" posx="991" posy="946" dir="3"/&gt;</v>
      </c>
    </row>
    <row r="154" spans="1:11">
      <c r="A154">
        <f>Sheet1!A220</f>
        <v>161602</v>
      </c>
      <c r="B154" t="str">
        <f>Sheet1!B220</f>
        <v>雷黑子</v>
      </c>
      <c r="C154">
        <f>Sheet1!Q220</f>
        <v>1443</v>
      </c>
      <c r="D154">
        <f>Sheet1!R220</f>
        <v>762</v>
      </c>
      <c r="E154">
        <f>Sheet1!U220</f>
        <v>3</v>
      </c>
      <c r="F154" t="str">
        <f t="shared" ref="F154" si="818">F153</f>
        <v>&lt;record id="</v>
      </c>
      <c r="G154" t="str">
        <f t="shared" ref="G154" si="819">G153</f>
        <v>" posx="</v>
      </c>
      <c r="H154" t="str">
        <f t="shared" ref="H154" si="820">H153</f>
        <v>" posy="</v>
      </c>
      <c r="I154" t="str">
        <f t="shared" ref="I154" si="821">I153</f>
        <v>" dir="</v>
      </c>
      <c r="J154" t="str">
        <f t="shared" ref="J154" si="822">J153</f>
        <v>"/&gt;</v>
      </c>
      <c r="K154" t="str">
        <f t="shared" ref="K154" si="823">F154&amp;A154&amp;G154&amp;C154&amp;H154&amp;D154&amp;I154&amp;E154&amp;J154</f>
        <v>&lt;record id="161602" posx="1443" posy="762" dir="3"/&gt;</v>
      </c>
    </row>
    <row r="155" spans="1:11">
      <c r="A155">
        <f>Sheet1!A221</f>
        <v>161603</v>
      </c>
      <c r="B155" t="str">
        <f>Sheet1!B221</f>
        <v>李善人</v>
      </c>
      <c r="C155">
        <f>Sheet1!Q221</f>
        <v>1532</v>
      </c>
      <c r="D155">
        <f>Sheet1!R221</f>
        <v>819</v>
      </c>
      <c r="E155">
        <f>Sheet1!U221</f>
        <v>5</v>
      </c>
      <c r="F155" t="str">
        <f t="shared" ref="F155" si="824">F154</f>
        <v>&lt;record id="</v>
      </c>
      <c r="G155" t="str">
        <f t="shared" ref="G155" si="825">G154</f>
        <v>" posx="</v>
      </c>
      <c r="H155" t="str">
        <f t="shared" ref="H155" si="826">H154</f>
        <v>" posy="</v>
      </c>
      <c r="I155" t="str">
        <f t="shared" ref="I155" si="827">I154</f>
        <v>" dir="</v>
      </c>
      <c r="J155" t="str">
        <f t="shared" ref="J155" si="828">J154</f>
        <v>"/&gt;</v>
      </c>
      <c r="K155" t="str">
        <f t="shared" ref="K155" si="829">F155&amp;A155&amp;G155&amp;C155&amp;H155&amp;D155&amp;I155&amp;E155&amp;J155</f>
        <v>&lt;record id="161603" posx="1532" posy="819" dir="5"/&gt;</v>
      </c>
    </row>
    <row r="156" spans="1:11">
      <c r="A156">
        <f>Sheet1!A222</f>
        <v>161605</v>
      </c>
      <c r="B156" t="str">
        <f>Sheet1!B222</f>
        <v>老孙头</v>
      </c>
      <c r="C156">
        <f>Sheet1!Q222</f>
        <v>3062</v>
      </c>
      <c r="D156">
        <f>Sheet1!R222</f>
        <v>923</v>
      </c>
      <c r="E156">
        <f>Sheet1!U222</f>
        <v>5</v>
      </c>
      <c r="F156" t="str">
        <f t="shared" ref="F156" si="830">F155</f>
        <v>&lt;record id="</v>
      </c>
      <c r="G156" t="str">
        <f t="shared" ref="G156" si="831">G155</f>
        <v>" posx="</v>
      </c>
      <c r="H156" t="str">
        <f t="shared" ref="H156" si="832">H155</f>
        <v>" posy="</v>
      </c>
      <c r="I156" t="str">
        <f t="shared" ref="I156" si="833">I155</f>
        <v>" dir="</v>
      </c>
      <c r="J156" t="str">
        <f t="shared" ref="J156" si="834">J155</f>
        <v>"/&gt;</v>
      </c>
      <c r="K156" t="str">
        <f t="shared" ref="K156" si="835">F156&amp;A156&amp;G156&amp;C156&amp;H156&amp;D156&amp;I156&amp;E156&amp;J156</f>
        <v>&lt;record id="161605" posx="3062" posy="923" dir="5"/&gt;</v>
      </c>
    </row>
    <row r="157" spans="1:11">
      <c r="A157">
        <f>Sheet1!A223</f>
        <v>161606</v>
      </c>
      <c r="B157" t="str">
        <f>Sheet1!B223</f>
        <v>宠物仙子</v>
      </c>
      <c r="C157">
        <f>Sheet1!Q223</f>
        <v>858</v>
      </c>
      <c r="D157">
        <f>Sheet1!R223</f>
        <v>1512</v>
      </c>
      <c r="E157">
        <f>Sheet1!U223</f>
        <v>5</v>
      </c>
      <c r="F157" t="str">
        <f t="shared" ref="F157" si="836">F156</f>
        <v>&lt;record id="</v>
      </c>
      <c r="G157" t="str">
        <f t="shared" ref="G157" si="837">G156</f>
        <v>" posx="</v>
      </c>
      <c r="H157" t="str">
        <f t="shared" ref="H157" si="838">H156</f>
        <v>" posy="</v>
      </c>
      <c r="I157" t="str">
        <f t="shared" ref="I157" si="839">I156</f>
        <v>" dir="</v>
      </c>
      <c r="J157" t="str">
        <f t="shared" ref="J157:J162" si="840">J156</f>
        <v>"/&gt;</v>
      </c>
      <c r="K157" t="str">
        <f t="shared" ref="K157" si="841">F157&amp;A157&amp;G157&amp;C157&amp;H157&amp;D157&amp;I157&amp;E157&amp;J157</f>
        <v>&lt;record id="161606" posx="858" posy="1512" dir="5"/&gt;</v>
      </c>
    </row>
    <row r="158" spans="1:11">
      <c r="A158" t="e">
        <f>Sheet1!#REF!</f>
        <v>#REF!</v>
      </c>
      <c r="B158" t="e">
        <f>Sheet1!#REF!</f>
        <v>#REF!</v>
      </c>
      <c r="C158" t="e">
        <f>Sheet1!#REF!</f>
        <v>#REF!</v>
      </c>
      <c r="D158" t="e">
        <f>Sheet1!#REF!</f>
        <v>#REF!</v>
      </c>
      <c r="E158" t="e">
        <f>Sheet1!#REF!</f>
        <v>#REF!</v>
      </c>
      <c r="F158" t="str">
        <f t="shared" ref="F158:F163" si="842">F157</f>
        <v>&lt;record id="</v>
      </c>
      <c r="G158" t="str">
        <f t="shared" ref="G158" si="843">G157</f>
        <v>" posx="</v>
      </c>
      <c r="H158" t="str">
        <f t="shared" ref="H158" si="844">H157</f>
        <v>" posy="</v>
      </c>
      <c r="I158" t="str">
        <f t="shared" ref="I158:I162" si="845">I157</f>
        <v>" dir="</v>
      </c>
      <c r="J158" t="str">
        <f t="shared" si="840"/>
        <v>"/&gt;</v>
      </c>
      <c r="K158" t="e">
        <f t="shared" ref="K158:K163" si="846">F158&amp;A158&amp;G158&amp;C158&amp;H158&amp;D158&amp;I158&amp;E158&amp;J158</f>
        <v>#REF!</v>
      </c>
    </row>
    <row r="159" spans="1:11">
      <c r="A159">
        <f>Sheet1!A224</f>
        <v>161608</v>
      </c>
      <c r="B159" t="str">
        <f>Sheet1!B224</f>
        <v>小德</v>
      </c>
      <c r="C159">
        <f>Sheet1!Q224</f>
        <v>3058</v>
      </c>
      <c r="D159">
        <f>Sheet1!R224</f>
        <v>2982</v>
      </c>
      <c r="E159">
        <f>Sheet1!U224</f>
        <v>5</v>
      </c>
      <c r="F159" t="str">
        <f t="shared" si="842"/>
        <v>&lt;record id="</v>
      </c>
      <c r="G159" t="str">
        <f t="shared" ref="G159" si="847">G158</f>
        <v>" posx="</v>
      </c>
      <c r="H159" t="str">
        <f t="shared" ref="H159:H162" si="848">H158</f>
        <v>" posy="</v>
      </c>
      <c r="I159" t="str">
        <f t="shared" si="845"/>
        <v>" dir="</v>
      </c>
      <c r="J159" t="str">
        <f t="shared" si="840"/>
        <v>"/&gt;</v>
      </c>
      <c r="K159" t="str">
        <f t="shared" si="846"/>
        <v>&lt;record id="161608" posx="3058" posy="2982" dir="5"/&gt;</v>
      </c>
    </row>
    <row r="160" spans="1:11">
      <c r="A160">
        <f>Sheet1!A225</f>
        <v>161609</v>
      </c>
      <c r="B160" t="str">
        <f>Sheet1!B225</f>
        <v>小白龙</v>
      </c>
      <c r="C160">
        <f>Sheet1!Q225</f>
        <v>621</v>
      </c>
      <c r="D160">
        <f>Sheet1!R225</f>
        <v>2717</v>
      </c>
      <c r="E160">
        <f>Sheet1!U225</f>
        <v>3</v>
      </c>
      <c r="F160" t="str">
        <f t="shared" si="842"/>
        <v>&lt;record id="</v>
      </c>
      <c r="G160" t="str">
        <f t="shared" ref="G160:G162" si="849">G159</f>
        <v>" posx="</v>
      </c>
      <c r="H160" t="str">
        <f t="shared" si="848"/>
        <v>" posy="</v>
      </c>
      <c r="I160" t="str">
        <f t="shared" si="845"/>
        <v>" dir="</v>
      </c>
      <c r="J160" t="str">
        <f t="shared" si="840"/>
        <v>"/&gt;</v>
      </c>
      <c r="K160" t="str">
        <f t="shared" si="846"/>
        <v>&lt;record id="161609" posx="621" posy="2717" dir="3"/&gt;</v>
      </c>
    </row>
    <row r="161" spans="1:11">
      <c r="A161">
        <f>Sheet1!A226</f>
        <v>161610</v>
      </c>
      <c r="B161" t="str">
        <f>Sheet1!B226</f>
        <v>隐匿者</v>
      </c>
      <c r="C161">
        <f>Sheet1!Q226</f>
        <v>731</v>
      </c>
      <c r="D161">
        <f>Sheet1!R226</f>
        <v>2693</v>
      </c>
      <c r="E161">
        <f>Sheet1!U226</f>
        <v>3</v>
      </c>
      <c r="F161" t="str">
        <f t="shared" si="842"/>
        <v>&lt;record id="</v>
      </c>
      <c r="G161" t="str">
        <f t="shared" si="849"/>
        <v>" posx="</v>
      </c>
      <c r="H161" t="str">
        <f t="shared" si="848"/>
        <v>" posy="</v>
      </c>
      <c r="I161" t="str">
        <f t="shared" si="845"/>
        <v>" dir="</v>
      </c>
      <c r="J161" t="str">
        <f t="shared" si="840"/>
        <v>"/&gt;</v>
      </c>
      <c r="K161" t="str">
        <f t="shared" si="846"/>
        <v>&lt;record id="161610" posx="731" posy="2693" dir="3"/&gt;</v>
      </c>
    </row>
    <row r="162" spans="1:11">
      <c r="A162">
        <f>Sheet1!A227</f>
        <v>161611</v>
      </c>
      <c r="B162" t="str">
        <f>Sheet1!B227</f>
        <v>小妖</v>
      </c>
      <c r="C162">
        <f>Sheet1!Q227</f>
        <v>542</v>
      </c>
      <c r="D162">
        <f>Sheet1!R227</f>
        <v>2821</v>
      </c>
      <c r="E162">
        <f>Sheet1!U227</f>
        <v>3</v>
      </c>
      <c r="F162" t="str">
        <f t="shared" si="842"/>
        <v>&lt;record id="</v>
      </c>
      <c r="G162" t="str">
        <f t="shared" si="849"/>
        <v>" posx="</v>
      </c>
      <c r="H162" t="str">
        <f t="shared" si="848"/>
        <v>" posy="</v>
      </c>
      <c r="I162" t="str">
        <f t="shared" si="845"/>
        <v>" dir="</v>
      </c>
      <c r="J162" t="str">
        <f t="shared" si="840"/>
        <v>"/&gt;</v>
      </c>
      <c r="K162" t="str">
        <f t="shared" si="846"/>
        <v>&lt;record id="161611" posx="542" posy="2821" dir="3"/&gt;</v>
      </c>
    </row>
    <row r="163" spans="1:11">
      <c r="A163">
        <f>Sheet1!A228</f>
        <v>161612</v>
      </c>
      <c r="B163" t="str">
        <f>Sheet1!B228</f>
        <v>传送妖精</v>
      </c>
      <c r="C163">
        <f>Sheet1!Q228</f>
        <v>963</v>
      </c>
      <c r="D163">
        <f>Sheet1!R228</f>
        <v>188</v>
      </c>
      <c r="E163">
        <f>Sheet1!U228</f>
        <v>3</v>
      </c>
      <c r="F163" t="str">
        <f t="shared" si="842"/>
        <v>&lt;record id="</v>
      </c>
      <c r="G163" t="str">
        <f t="shared" ref="G163" si="850">G162</f>
        <v>" posx="</v>
      </c>
      <c r="H163" t="str">
        <f t="shared" ref="H163" si="851">H162</f>
        <v>" posy="</v>
      </c>
      <c r="I163" t="str">
        <f t="shared" ref="I163" si="852">I162</f>
        <v>" dir="</v>
      </c>
      <c r="J163" t="str">
        <f t="shared" ref="J163" si="853">J162</f>
        <v>"/&gt;</v>
      </c>
      <c r="K163" t="str">
        <f t="shared" si="846"/>
        <v>&lt;record id="161612" posx="963" posy="188" dir="3"/&gt;</v>
      </c>
    </row>
    <row r="164" spans="1:11">
      <c r="A164">
        <f>Sheet1!A229</f>
        <v>161613</v>
      </c>
      <c r="B164" t="str">
        <f>Sheet1!B229</f>
        <v>艾格纳</v>
      </c>
      <c r="C164">
        <f>Sheet1!Q229</f>
        <v>2980</v>
      </c>
      <c r="D164">
        <f>Sheet1!R229</f>
        <v>2812</v>
      </c>
      <c r="E164">
        <f>Sheet1!U229</f>
        <v>5</v>
      </c>
      <c r="F164" t="str">
        <f t="shared" ref="F164" si="854">F163</f>
        <v>&lt;record id="</v>
      </c>
      <c r="G164" t="str">
        <f t="shared" ref="G164" si="855">G163</f>
        <v>" posx="</v>
      </c>
      <c r="H164" t="str">
        <f t="shared" ref="H164" si="856">H163</f>
        <v>" posy="</v>
      </c>
      <c r="I164" t="str">
        <f t="shared" ref="I164" si="857">I163</f>
        <v>" dir="</v>
      </c>
      <c r="J164" t="str">
        <f t="shared" ref="J164" si="858">J163</f>
        <v>"/&gt;</v>
      </c>
      <c r="K164" t="str">
        <f t="shared" ref="K164" si="859">F164&amp;A164&amp;G164&amp;C164&amp;H164&amp;D164&amp;I164&amp;E164&amp;J164</f>
        <v>&lt;record id="161613" posx="2980" posy="2812" dir="5"/&gt;</v>
      </c>
    </row>
    <row r="165" spans="1:11">
      <c r="A165">
        <f>Sheet1!A234</f>
        <v>161802</v>
      </c>
      <c r="B165" t="str">
        <f>Sheet1!B234</f>
        <v>程夫人</v>
      </c>
      <c r="C165">
        <f>Sheet1!Q234</f>
        <v>0</v>
      </c>
      <c r="D165">
        <f>Sheet1!R234</f>
        <v>0</v>
      </c>
      <c r="E165">
        <f>Sheet1!U234</f>
        <v>0</v>
      </c>
      <c r="F165" t="str">
        <f t="shared" ref="F165" si="860">F164</f>
        <v>&lt;record id="</v>
      </c>
      <c r="G165" t="str">
        <f t="shared" ref="G165" si="861">G164</f>
        <v>" posx="</v>
      </c>
      <c r="H165" t="str">
        <f t="shared" ref="H165" si="862">H164</f>
        <v>" posy="</v>
      </c>
      <c r="I165" t="str">
        <f t="shared" ref="I165" si="863">I164</f>
        <v>" dir="</v>
      </c>
      <c r="J165" t="str">
        <f t="shared" ref="J165" si="864">J164</f>
        <v>"/&gt;</v>
      </c>
      <c r="K165" t="str">
        <f t="shared" ref="K165" si="865">F165&amp;A165&amp;G165&amp;C165&amp;H165&amp;D165&amp;I165&amp;E165&amp;J165</f>
        <v>&lt;record id="161802" posx="0" posy="0" dir="0"/&gt;</v>
      </c>
    </row>
    <row r="166" spans="1:11">
      <c r="A166">
        <f>Sheet1!A235</f>
        <v>162401</v>
      </c>
      <c r="B166" t="str">
        <f>Sheet1!B235</f>
        <v>陈员外</v>
      </c>
      <c r="C166">
        <f>Sheet1!Q235</f>
        <v>856</v>
      </c>
      <c r="D166">
        <f>Sheet1!R235</f>
        <v>733</v>
      </c>
      <c r="E166">
        <f>Sheet1!U235</f>
        <v>3</v>
      </c>
      <c r="F166" t="str">
        <f t="shared" ref="F166" si="866">F165</f>
        <v>&lt;record id="</v>
      </c>
      <c r="G166" t="str">
        <f t="shared" ref="G166" si="867">G165</f>
        <v>" posx="</v>
      </c>
      <c r="H166" t="str">
        <f t="shared" ref="H166" si="868">H165</f>
        <v>" posy="</v>
      </c>
      <c r="I166" t="str">
        <f t="shared" ref="I166" si="869">I165</f>
        <v>" dir="</v>
      </c>
      <c r="J166" t="str">
        <f t="shared" ref="J166" si="870">J165</f>
        <v>"/&gt;</v>
      </c>
      <c r="K166" t="str">
        <f t="shared" ref="K166" si="871">F166&amp;A166&amp;G166&amp;C166&amp;H166&amp;D166&amp;I166&amp;E166&amp;J166</f>
        <v>&lt;record id="162401" posx="856" posy="733" dir="3"/&gt;</v>
      </c>
    </row>
    <row r="167" spans="1:11">
      <c r="A167">
        <f>Sheet1!A236</f>
        <v>162402</v>
      </c>
      <c r="B167" t="str">
        <f>Sheet1!B236</f>
        <v>野猪</v>
      </c>
      <c r="C167">
        <f>Sheet1!Q236</f>
        <v>1074</v>
      </c>
      <c r="D167">
        <f>Sheet1!R236</f>
        <v>662</v>
      </c>
      <c r="E167">
        <f>Sheet1!U236</f>
        <v>3</v>
      </c>
      <c r="F167" t="str">
        <f t="shared" ref="F167" si="872">F166</f>
        <v>&lt;record id="</v>
      </c>
      <c r="G167" t="str">
        <f t="shared" ref="G167" si="873">G166</f>
        <v>" posx="</v>
      </c>
      <c r="H167" t="str">
        <f t="shared" ref="H167" si="874">H166</f>
        <v>" posy="</v>
      </c>
      <c r="I167" t="str">
        <f t="shared" ref="I167" si="875">I166</f>
        <v>" dir="</v>
      </c>
      <c r="J167" t="str">
        <f t="shared" ref="J167" si="876">J166</f>
        <v>"/&gt;</v>
      </c>
      <c r="K167" t="str">
        <f t="shared" ref="K167" si="877">F167&amp;A167&amp;G167&amp;C167&amp;H167&amp;D167&amp;I167&amp;E167&amp;J167</f>
        <v>&lt;record id="162402" posx="1074" posy="662" dir="3"/&gt;</v>
      </c>
    </row>
    <row r="168" spans="1:11">
      <c r="A168">
        <f>Sheet1!A237</f>
        <v>162403</v>
      </c>
      <c r="B168" t="str">
        <f>Sheet1!B237</f>
        <v>鳄鱼</v>
      </c>
      <c r="C168">
        <f>Sheet1!Q237</f>
        <v>570</v>
      </c>
      <c r="D168">
        <f>Sheet1!R237</f>
        <v>1166</v>
      </c>
      <c r="E168">
        <f>Sheet1!U237</f>
        <v>3</v>
      </c>
      <c r="F168" t="str">
        <f t="shared" ref="F168" si="878">F167</f>
        <v>&lt;record id="</v>
      </c>
      <c r="G168" t="str">
        <f t="shared" ref="G168" si="879">G167</f>
        <v>" posx="</v>
      </c>
      <c r="H168" t="str">
        <f t="shared" ref="H168" si="880">H167</f>
        <v>" posy="</v>
      </c>
      <c r="I168" t="str">
        <f t="shared" ref="I168" si="881">I167</f>
        <v>" dir="</v>
      </c>
      <c r="J168" t="str">
        <f t="shared" ref="J168" si="882">J167</f>
        <v>"/&gt;</v>
      </c>
      <c r="K168" t="str">
        <f t="shared" ref="K168" si="883">F168&amp;A168&amp;G168&amp;C168&amp;H168&amp;D168&amp;I168&amp;E168&amp;J168</f>
        <v>&lt;record id="162403" posx="570" posy="1166" dir="3"/&gt;</v>
      </c>
    </row>
    <row r="169" spans="1:11">
      <c r="A169">
        <f>Sheet1!A238</f>
        <v>165001</v>
      </c>
      <c r="B169" t="str">
        <f>Sheet1!B238</f>
        <v>灵魂医者</v>
      </c>
      <c r="C169">
        <f>Sheet1!Q238</f>
        <v>0</v>
      </c>
      <c r="D169">
        <f>Sheet1!R238</f>
        <v>0</v>
      </c>
      <c r="E169">
        <f>Sheet1!U238</f>
        <v>0</v>
      </c>
      <c r="F169" t="str">
        <f t="shared" ref="F169" si="884">F168</f>
        <v>&lt;record id="</v>
      </c>
      <c r="G169" t="str">
        <f t="shared" ref="G169" si="885">G168</f>
        <v>" posx="</v>
      </c>
      <c r="H169" t="str">
        <f t="shared" ref="H169" si="886">H168</f>
        <v>" posy="</v>
      </c>
      <c r="I169" t="str">
        <f t="shared" ref="I169" si="887">I168</f>
        <v>" dir="</v>
      </c>
      <c r="J169" t="str">
        <f t="shared" ref="J169" si="888">J168</f>
        <v>"/&gt;</v>
      </c>
      <c r="K169" t="str">
        <f t="shared" ref="K169" si="889">F169&amp;A169&amp;G169&amp;C169&amp;H169&amp;D169&amp;I169&amp;E169&amp;J169</f>
        <v>&lt;record id="165001" posx="0" posy="0" dir="0"/&gt;</v>
      </c>
    </row>
    <row r="170" spans="1:11">
      <c r="A170">
        <f>Sheet1!A239</f>
        <v>165101</v>
      </c>
      <c r="B170" t="str">
        <f>Sheet1!B239</f>
        <v>黑兽</v>
      </c>
      <c r="C170">
        <f>Sheet1!Q239</f>
        <v>0</v>
      </c>
      <c r="D170">
        <f>Sheet1!R239</f>
        <v>0</v>
      </c>
      <c r="E170">
        <f>Sheet1!U239</f>
        <v>0</v>
      </c>
      <c r="F170" t="str">
        <f t="shared" ref="F170" si="890">F169</f>
        <v>&lt;record id="</v>
      </c>
      <c r="G170" t="str">
        <f t="shared" ref="G170" si="891">G169</f>
        <v>" posx="</v>
      </c>
      <c r="H170" t="str">
        <f t="shared" ref="H170" si="892">H169</f>
        <v>" posy="</v>
      </c>
      <c r="I170" t="str">
        <f t="shared" ref="I170" si="893">I169</f>
        <v>" dir="</v>
      </c>
      <c r="J170" t="str">
        <f t="shared" ref="J170" si="894">J169</f>
        <v>"/&gt;</v>
      </c>
      <c r="K170" t="str">
        <f t="shared" ref="K170" si="895">F170&amp;A170&amp;G170&amp;C170&amp;H170&amp;D170&amp;I170&amp;E170&amp;J170</f>
        <v>&lt;record id="165101" posx="0" posy="0" dir="0"/&gt;</v>
      </c>
    </row>
    <row r="171" spans="1:11">
      <c r="A171">
        <f>Sheet1!A240</f>
        <v>165102</v>
      </c>
      <c r="B171" t="str">
        <f>Sheet1!B240</f>
        <v>黑兽</v>
      </c>
      <c r="C171">
        <f>Sheet1!Q240</f>
        <v>0</v>
      </c>
      <c r="D171">
        <f>Sheet1!R240</f>
        <v>0</v>
      </c>
      <c r="E171">
        <f>Sheet1!U240</f>
        <v>0</v>
      </c>
      <c r="F171" t="str">
        <f t="shared" ref="F171" si="896">F170</f>
        <v>&lt;record id="</v>
      </c>
      <c r="G171" t="str">
        <f t="shared" ref="G171" si="897">G170</f>
        <v>" posx="</v>
      </c>
      <c r="H171" t="str">
        <f t="shared" ref="H171" si="898">H170</f>
        <v>" posy="</v>
      </c>
      <c r="I171" t="str">
        <f t="shared" ref="I171" si="899">I170</f>
        <v>" dir="</v>
      </c>
      <c r="J171" t="str">
        <f t="shared" ref="J171" si="900">J170</f>
        <v>"/&gt;</v>
      </c>
      <c r="K171" t="str">
        <f t="shared" ref="K171" si="901">F171&amp;A171&amp;G171&amp;C171&amp;H171&amp;D171&amp;I171&amp;E171&amp;J171</f>
        <v>&lt;record id="165102" posx="0" posy="0" dir="0"/&gt;</v>
      </c>
    </row>
    <row r="172" spans="1:11">
      <c r="A172">
        <f>Sheet1!A241</f>
        <v>165103</v>
      </c>
      <c r="B172" t="str">
        <f>Sheet1!B241</f>
        <v>黑兽</v>
      </c>
      <c r="C172">
        <f>Sheet1!Q241</f>
        <v>0</v>
      </c>
      <c r="D172">
        <f>Sheet1!R241</f>
        <v>0</v>
      </c>
      <c r="E172">
        <f>Sheet1!U241</f>
        <v>0</v>
      </c>
      <c r="F172" t="str">
        <f t="shared" ref="F172" si="902">F171</f>
        <v>&lt;record id="</v>
      </c>
      <c r="G172" t="str">
        <f t="shared" ref="G172" si="903">G171</f>
        <v>" posx="</v>
      </c>
      <c r="H172" t="str">
        <f t="shared" ref="H172" si="904">H171</f>
        <v>" posy="</v>
      </c>
      <c r="I172" t="str">
        <f t="shared" ref="I172" si="905">I171</f>
        <v>" dir="</v>
      </c>
      <c r="J172" t="str">
        <f t="shared" ref="J172" si="906">J171</f>
        <v>"/&gt;</v>
      </c>
      <c r="K172" t="str">
        <f t="shared" ref="K172" si="907">F172&amp;A172&amp;G172&amp;C172&amp;H172&amp;D172&amp;I172&amp;E172&amp;J172</f>
        <v>&lt;record id="165103" posx="0" posy="0" dir="0"/&gt;</v>
      </c>
    </row>
    <row r="173" spans="1:11">
      <c r="A173">
        <f>Sheet1!A242</f>
        <v>165104</v>
      </c>
      <c r="B173" t="str">
        <f>Sheet1!B242</f>
        <v>黑兽</v>
      </c>
      <c r="C173">
        <f>Sheet1!Q242</f>
        <v>0</v>
      </c>
      <c r="D173">
        <f>Sheet1!R242</f>
        <v>0</v>
      </c>
      <c r="E173">
        <f>Sheet1!U242</f>
        <v>0</v>
      </c>
      <c r="F173" t="str">
        <f t="shared" ref="F173" si="908">F172</f>
        <v>&lt;record id="</v>
      </c>
      <c r="G173" t="str">
        <f t="shared" ref="G173" si="909">G172</f>
        <v>" posx="</v>
      </c>
      <c r="H173" t="str">
        <f t="shared" ref="H173" si="910">H172</f>
        <v>" posy="</v>
      </c>
      <c r="I173" t="str">
        <f t="shared" ref="I173" si="911">I172</f>
        <v>" dir="</v>
      </c>
      <c r="J173" t="str">
        <f t="shared" ref="J173" si="912">J172</f>
        <v>"/&gt;</v>
      </c>
      <c r="K173" t="str">
        <f t="shared" ref="K173" si="913">F173&amp;A173&amp;G173&amp;C173&amp;H173&amp;D173&amp;I173&amp;E173&amp;J173</f>
        <v>&lt;record id="165104" posx="0" posy="0" dir="0"/&gt;</v>
      </c>
    </row>
    <row r="174" spans="1:11">
      <c r="A174">
        <f>Sheet1!A243</f>
        <v>165105</v>
      </c>
      <c r="B174" t="str">
        <f>Sheet1!B243</f>
        <v>黑兽</v>
      </c>
      <c r="C174">
        <f>Sheet1!Q243</f>
        <v>0</v>
      </c>
      <c r="D174">
        <f>Sheet1!R243</f>
        <v>0</v>
      </c>
      <c r="E174">
        <f>Sheet1!U243</f>
        <v>0</v>
      </c>
      <c r="F174" t="str">
        <f t="shared" ref="F174" si="914">F173</f>
        <v>&lt;record id="</v>
      </c>
      <c r="G174" t="str">
        <f t="shared" ref="G174" si="915">G173</f>
        <v>" posx="</v>
      </c>
      <c r="H174" t="str">
        <f t="shared" ref="H174" si="916">H173</f>
        <v>" posy="</v>
      </c>
      <c r="I174" t="str">
        <f t="shared" ref="I174" si="917">I173</f>
        <v>" dir="</v>
      </c>
      <c r="J174" t="str">
        <f t="shared" ref="J174" si="918">J173</f>
        <v>"/&gt;</v>
      </c>
      <c r="K174" t="str">
        <f t="shared" ref="K174" si="919">F174&amp;A174&amp;G174&amp;C174&amp;H174&amp;D174&amp;I174&amp;E174&amp;J174</f>
        <v>&lt;record id="165105" posx="0" posy="0" dir="0"/&gt;</v>
      </c>
    </row>
    <row r="175" spans="1:11">
      <c r="A175">
        <f>Sheet1!A244</f>
        <v>165106</v>
      </c>
      <c r="B175" t="str">
        <f>Sheet1!B244</f>
        <v>黑兽</v>
      </c>
      <c r="C175">
        <f>Sheet1!Q244</f>
        <v>0</v>
      </c>
      <c r="D175">
        <f>Sheet1!R244</f>
        <v>0</v>
      </c>
      <c r="E175">
        <f>Sheet1!U244</f>
        <v>0</v>
      </c>
      <c r="F175" t="str">
        <f t="shared" ref="F175" si="920">F174</f>
        <v>&lt;record id="</v>
      </c>
      <c r="G175" t="str">
        <f t="shared" ref="G175" si="921">G174</f>
        <v>" posx="</v>
      </c>
      <c r="H175" t="str">
        <f t="shared" ref="H175" si="922">H174</f>
        <v>" posy="</v>
      </c>
      <c r="I175" t="str">
        <f t="shared" ref="I175" si="923">I174</f>
        <v>" dir="</v>
      </c>
      <c r="J175" t="str">
        <f t="shared" ref="J175" si="924">J174</f>
        <v>"/&gt;</v>
      </c>
      <c r="K175" t="str">
        <f t="shared" ref="K175" si="925">F175&amp;A175&amp;G175&amp;C175&amp;H175&amp;D175&amp;I175&amp;E175&amp;J175</f>
        <v>&lt;record id="165106" posx="0" posy="0" dir="0"/&gt;</v>
      </c>
    </row>
    <row r="176" spans="1:11">
      <c r="A176">
        <f>Sheet1!A245</f>
        <v>165107</v>
      </c>
      <c r="B176" t="str">
        <f>Sheet1!B245</f>
        <v>黑兽</v>
      </c>
      <c r="C176">
        <f>Sheet1!Q245</f>
        <v>0</v>
      </c>
      <c r="D176">
        <f>Sheet1!R245</f>
        <v>0</v>
      </c>
      <c r="E176">
        <f>Sheet1!U245</f>
        <v>0</v>
      </c>
      <c r="F176" t="str">
        <f t="shared" ref="F176" si="926">F175</f>
        <v>&lt;record id="</v>
      </c>
      <c r="G176" t="str">
        <f t="shared" ref="G176" si="927">G175</f>
        <v>" posx="</v>
      </c>
      <c r="H176" t="str">
        <f t="shared" ref="H176" si="928">H175</f>
        <v>" posy="</v>
      </c>
      <c r="I176" t="str">
        <f t="shared" ref="I176" si="929">I175</f>
        <v>" dir="</v>
      </c>
      <c r="J176" t="str">
        <f t="shared" ref="J176" si="930">J175</f>
        <v>"/&gt;</v>
      </c>
      <c r="K176" t="str">
        <f t="shared" ref="K176" si="931">F176&amp;A176&amp;G176&amp;C176&amp;H176&amp;D176&amp;I176&amp;E176&amp;J176</f>
        <v>&lt;record id="165107" posx="0" posy="0" dir="0"/&gt;</v>
      </c>
    </row>
    <row r="177" spans="1:11">
      <c r="A177">
        <f>Sheet1!A246</f>
        <v>165108</v>
      </c>
      <c r="B177" t="str">
        <f>Sheet1!B246</f>
        <v>黑兽</v>
      </c>
      <c r="C177">
        <f>Sheet1!Q246</f>
        <v>0</v>
      </c>
      <c r="D177">
        <f>Sheet1!R246</f>
        <v>0</v>
      </c>
      <c r="E177">
        <f>Sheet1!U246</f>
        <v>0</v>
      </c>
      <c r="F177" t="str">
        <f t="shared" ref="F177" si="932">F176</f>
        <v>&lt;record id="</v>
      </c>
      <c r="G177" t="str">
        <f t="shared" ref="G177" si="933">G176</f>
        <v>" posx="</v>
      </c>
      <c r="H177" t="str">
        <f t="shared" ref="H177" si="934">H176</f>
        <v>" posy="</v>
      </c>
      <c r="I177" t="str">
        <f t="shared" ref="I177" si="935">I176</f>
        <v>" dir="</v>
      </c>
      <c r="J177" t="str">
        <f t="shared" ref="J177" si="936">J176</f>
        <v>"/&gt;</v>
      </c>
      <c r="K177" t="str">
        <f t="shared" ref="K177" si="937">F177&amp;A177&amp;G177&amp;C177&amp;H177&amp;D177&amp;I177&amp;E177&amp;J177</f>
        <v>&lt;record id="165108" posx="0" posy="0" dir="0"/&gt;</v>
      </c>
    </row>
    <row r="178" spans="1:11">
      <c r="A178">
        <f>Sheet1!A247</f>
        <v>165109</v>
      </c>
      <c r="B178" t="str">
        <f>Sheet1!B247</f>
        <v>黑兽</v>
      </c>
      <c r="C178">
        <f>Sheet1!Q247</f>
        <v>0</v>
      </c>
      <c r="D178">
        <f>Sheet1!R247</f>
        <v>0</v>
      </c>
      <c r="E178">
        <f>Sheet1!U247</f>
        <v>0</v>
      </c>
      <c r="F178" t="str">
        <f t="shared" ref="F178" si="938">F177</f>
        <v>&lt;record id="</v>
      </c>
      <c r="G178" t="str">
        <f t="shared" ref="G178" si="939">G177</f>
        <v>" posx="</v>
      </c>
      <c r="H178" t="str">
        <f t="shared" ref="H178" si="940">H177</f>
        <v>" posy="</v>
      </c>
      <c r="I178" t="str">
        <f t="shared" ref="I178" si="941">I177</f>
        <v>" dir="</v>
      </c>
      <c r="J178" t="str">
        <f t="shared" ref="J178" si="942">J177</f>
        <v>"/&gt;</v>
      </c>
      <c r="K178" t="str">
        <f t="shared" ref="K178" si="943">F178&amp;A178&amp;G178&amp;C178&amp;H178&amp;D178&amp;I178&amp;E178&amp;J178</f>
        <v>&lt;record id="165109" posx="0" posy="0" dir="0"/&gt;</v>
      </c>
    </row>
    <row r="179" spans="1:11">
      <c r="A179">
        <f>Sheet1!A248</f>
        <v>165110</v>
      </c>
      <c r="B179" t="str">
        <f>Sheet1!B248</f>
        <v>黑兽</v>
      </c>
      <c r="C179">
        <f>Sheet1!Q248</f>
        <v>0</v>
      </c>
      <c r="D179">
        <f>Sheet1!R248</f>
        <v>0</v>
      </c>
      <c r="E179">
        <f>Sheet1!U248</f>
        <v>0</v>
      </c>
      <c r="F179" t="str">
        <f t="shared" ref="F179" si="944">F178</f>
        <v>&lt;record id="</v>
      </c>
      <c r="G179" t="str">
        <f t="shared" ref="G179" si="945">G178</f>
        <v>" posx="</v>
      </c>
      <c r="H179" t="str">
        <f t="shared" ref="H179" si="946">H178</f>
        <v>" posy="</v>
      </c>
      <c r="I179" t="str">
        <f t="shared" ref="I179" si="947">I178</f>
        <v>" dir="</v>
      </c>
      <c r="J179" t="str">
        <f t="shared" ref="J179" si="948">J178</f>
        <v>"/&gt;</v>
      </c>
      <c r="K179" t="str">
        <f t="shared" ref="K179" si="949">F179&amp;A179&amp;G179&amp;C179&amp;H179&amp;D179&amp;I179&amp;E179&amp;J179</f>
        <v>&lt;record id="165110" posx="0" posy="0" dir="0"/&gt;</v>
      </c>
    </row>
    <row r="180" spans="1:11">
      <c r="A180">
        <f>Sheet1!A249</f>
        <v>165111</v>
      </c>
      <c r="B180" t="str">
        <f>Sheet1!B249</f>
        <v>黑兽</v>
      </c>
      <c r="C180">
        <f>Sheet1!Q249</f>
        <v>0</v>
      </c>
      <c r="D180">
        <f>Sheet1!R249</f>
        <v>0</v>
      </c>
      <c r="E180">
        <f>Sheet1!U249</f>
        <v>0</v>
      </c>
      <c r="F180" t="str">
        <f t="shared" ref="F180" si="950">F179</f>
        <v>&lt;record id="</v>
      </c>
      <c r="G180" t="str">
        <f t="shared" ref="G180" si="951">G179</f>
        <v>" posx="</v>
      </c>
      <c r="H180" t="str">
        <f t="shared" ref="H180" si="952">H179</f>
        <v>" posy="</v>
      </c>
      <c r="I180" t="str">
        <f t="shared" ref="I180" si="953">I179</f>
        <v>" dir="</v>
      </c>
      <c r="J180" t="str">
        <f t="shared" ref="J180" si="954">J179</f>
        <v>"/&gt;</v>
      </c>
      <c r="K180" t="str">
        <f t="shared" ref="K180" si="955">F180&amp;A180&amp;G180&amp;C180&amp;H180&amp;D180&amp;I180&amp;E180&amp;J180</f>
        <v>&lt;record id="165111" posx="0" posy="0" dir="0"/&gt;</v>
      </c>
    </row>
    <row r="181" spans="1:11">
      <c r="A181">
        <f>Sheet1!A250</f>
        <v>165112</v>
      </c>
      <c r="B181" t="str">
        <f>Sheet1!B250</f>
        <v>黑兽</v>
      </c>
      <c r="C181">
        <f>Sheet1!Q250</f>
        <v>0</v>
      </c>
      <c r="D181">
        <f>Sheet1!R250</f>
        <v>0</v>
      </c>
      <c r="E181">
        <f>Sheet1!U250</f>
        <v>0</v>
      </c>
      <c r="F181" t="str">
        <f t="shared" ref="F181" si="956">F180</f>
        <v>&lt;record id="</v>
      </c>
      <c r="G181" t="str">
        <f t="shared" ref="G181" si="957">G180</f>
        <v>" posx="</v>
      </c>
      <c r="H181" t="str">
        <f t="shared" ref="H181" si="958">H180</f>
        <v>" posy="</v>
      </c>
      <c r="I181" t="str">
        <f t="shared" ref="I181" si="959">I180</f>
        <v>" dir="</v>
      </c>
      <c r="J181" t="str">
        <f t="shared" ref="J181" si="960">J180</f>
        <v>"/&gt;</v>
      </c>
      <c r="K181" t="str">
        <f t="shared" ref="K181" si="961">F181&amp;A181&amp;G181&amp;C181&amp;H181&amp;D181&amp;I181&amp;E181&amp;J181</f>
        <v>&lt;record id="165112" posx="0" posy="0" dir="0"/&gt;</v>
      </c>
    </row>
    <row r="182" spans="1:11">
      <c r="A182">
        <f>Sheet1!A251</f>
        <v>165113</v>
      </c>
      <c r="B182" t="str">
        <f>Sheet1!B251</f>
        <v>黑兽</v>
      </c>
      <c r="C182">
        <f>Sheet1!Q251</f>
        <v>0</v>
      </c>
      <c r="D182">
        <f>Sheet1!R251</f>
        <v>0</v>
      </c>
      <c r="E182">
        <f>Sheet1!U251</f>
        <v>0</v>
      </c>
      <c r="F182" t="str">
        <f t="shared" ref="F182" si="962">F181</f>
        <v>&lt;record id="</v>
      </c>
      <c r="G182" t="str">
        <f t="shared" ref="G182" si="963">G181</f>
        <v>" posx="</v>
      </c>
      <c r="H182" t="str">
        <f t="shared" ref="H182" si="964">H181</f>
        <v>" posy="</v>
      </c>
      <c r="I182" t="str">
        <f t="shared" ref="I182" si="965">I181</f>
        <v>" dir="</v>
      </c>
      <c r="J182" t="str">
        <f t="shared" ref="J182" si="966">J181</f>
        <v>"/&gt;</v>
      </c>
      <c r="K182" t="str">
        <f t="shared" ref="K182" si="967">F182&amp;A182&amp;G182&amp;C182&amp;H182&amp;D182&amp;I182&amp;E182&amp;J182</f>
        <v>&lt;record id="165113" posx="0" posy="0" dir="0"/&gt;</v>
      </c>
    </row>
    <row r="183" spans="1:11">
      <c r="A183">
        <f>Sheet1!A252</f>
        <v>165114</v>
      </c>
      <c r="B183" t="str">
        <f>Sheet1!B252</f>
        <v>黑兽</v>
      </c>
      <c r="C183">
        <f>Sheet1!Q252</f>
        <v>0</v>
      </c>
      <c r="D183">
        <f>Sheet1!R252</f>
        <v>0</v>
      </c>
      <c r="E183">
        <f>Sheet1!U252</f>
        <v>0</v>
      </c>
      <c r="F183" t="str">
        <f t="shared" ref="F183" si="968">F182</f>
        <v>&lt;record id="</v>
      </c>
      <c r="G183" t="str">
        <f t="shared" ref="G183" si="969">G182</f>
        <v>" posx="</v>
      </c>
      <c r="H183" t="str">
        <f t="shared" ref="H183" si="970">H182</f>
        <v>" posy="</v>
      </c>
      <c r="I183" t="str">
        <f t="shared" ref="I183" si="971">I182</f>
        <v>" dir="</v>
      </c>
      <c r="J183" t="str">
        <f t="shared" ref="J183" si="972">J182</f>
        <v>"/&gt;</v>
      </c>
      <c r="K183" t="str">
        <f t="shared" ref="K183" si="973">F183&amp;A183&amp;G183&amp;C183&amp;H183&amp;D183&amp;I183&amp;E183&amp;J183</f>
        <v>&lt;record id="165114" posx="0" posy="0" dir="0"/&gt;</v>
      </c>
    </row>
    <row r="184" spans="1:11">
      <c r="A184">
        <f>Sheet1!A253</f>
        <v>165115</v>
      </c>
      <c r="B184" t="str">
        <f>Sheet1!B253</f>
        <v>黑兽</v>
      </c>
      <c r="C184">
        <f>Sheet1!Q253</f>
        <v>0</v>
      </c>
      <c r="D184">
        <f>Sheet1!R253</f>
        <v>0</v>
      </c>
      <c r="E184">
        <f>Sheet1!U253</f>
        <v>0</v>
      </c>
      <c r="F184" t="str">
        <f t="shared" ref="F184" si="974">F183</f>
        <v>&lt;record id="</v>
      </c>
      <c r="G184" t="str">
        <f t="shared" ref="G184" si="975">G183</f>
        <v>" posx="</v>
      </c>
      <c r="H184" t="str">
        <f t="shared" ref="H184" si="976">H183</f>
        <v>" posy="</v>
      </c>
      <c r="I184" t="str">
        <f t="shared" ref="I184" si="977">I183</f>
        <v>" dir="</v>
      </c>
      <c r="J184" t="str">
        <f t="shared" ref="J184" si="978">J183</f>
        <v>"/&gt;</v>
      </c>
      <c r="K184" t="str">
        <f t="shared" ref="K184" si="979">F184&amp;A184&amp;G184&amp;C184&amp;H184&amp;D184&amp;I184&amp;E184&amp;J184</f>
        <v>&lt;record id="165115" posx="0" posy="0" dir="0"/&gt;</v>
      </c>
    </row>
    <row r="185" spans="1:11">
      <c r="A185">
        <f>Sheet1!A254</f>
        <v>165116</v>
      </c>
      <c r="B185" t="str">
        <f>Sheet1!B254</f>
        <v>黑兽</v>
      </c>
      <c r="C185">
        <f>Sheet1!Q254</f>
        <v>0</v>
      </c>
      <c r="D185">
        <f>Sheet1!R254</f>
        <v>0</v>
      </c>
      <c r="E185">
        <f>Sheet1!U254</f>
        <v>0</v>
      </c>
      <c r="F185" t="str">
        <f t="shared" ref="F185" si="980">F184</f>
        <v>&lt;record id="</v>
      </c>
      <c r="G185" t="str">
        <f t="shared" ref="G185" si="981">G184</f>
        <v>" posx="</v>
      </c>
      <c r="H185" t="str">
        <f t="shared" ref="H185" si="982">H184</f>
        <v>" posy="</v>
      </c>
      <c r="I185" t="str">
        <f t="shared" ref="I185" si="983">I184</f>
        <v>" dir="</v>
      </c>
      <c r="J185" t="str">
        <f t="shared" ref="J185" si="984">J184</f>
        <v>"/&gt;</v>
      </c>
      <c r="K185" t="str">
        <f t="shared" ref="K185" si="985">F185&amp;A185&amp;G185&amp;C185&amp;H185&amp;D185&amp;I185&amp;E185&amp;J185</f>
        <v>&lt;record id="165116" posx="0" posy="0" dir="0"/&gt;</v>
      </c>
    </row>
    <row r="186" spans="1:11">
      <c r="A186">
        <f>Sheet1!A255</f>
        <v>165117</v>
      </c>
      <c r="B186" t="str">
        <f>Sheet1!B255</f>
        <v>黑兽</v>
      </c>
      <c r="C186">
        <f>Sheet1!Q255</f>
        <v>0</v>
      </c>
      <c r="D186">
        <f>Sheet1!R255</f>
        <v>0</v>
      </c>
      <c r="E186">
        <f>Sheet1!U255</f>
        <v>0</v>
      </c>
      <c r="F186" t="str">
        <f t="shared" ref="F186" si="986">F185</f>
        <v>&lt;record id="</v>
      </c>
      <c r="G186" t="str">
        <f t="shared" ref="G186" si="987">G185</f>
        <v>" posx="</v>
      </c>
      <c r="H186" t="str">
        <f t="shared" ref="H186" si="988">H185</f>
        <v>" posy="</v>
      </c>
      <c r="I186" t="str">
        <f t="shared" ref="I186" si="989">I185</f>
        <v>" dir="</v>
      </c>
      <c r="J186" t="str">
        <f t="shared" ref="J186" si="990">J185</f>
        <v>"/&gt;</v>
      </c>
      <c r="K186" t="str">
        <f t="shared" ref="K186" si="991">F186&amp;A186&amp;G186&amp;C186&amp;H186&amp;D186&amp;I186&amp;E186&amp;J186</f>
        <v>&lt;record id="165117" posx="0" posy="0" dir="0"/&gt;</v>
      </c>
    </row>
    <row r="187" spans="1:11">
      <c r="A187">
        <f>Sheet1!A256</f>
        <v>165118</v>
      </c>
      <c r="B187" t="str">
        <f>Sheet1!B256</f>
        <v>黑兽</v>
      </c>
      <c r="C187">
        <f>Sheet1!Q256</f>
        <v>0</v>
      </c>
      <c r="D187">
        <f>Sheet1!R256</f>
        <v>0</v>
      </c>
      <c r="E187">
        <f>Sheet1!U256</f>
        <v>0</v>
      </c>
      <c r="F187" t="str">
        <f t="shared" ref="F187" si="992">F186</f>
        <v>&lt;record id="</v>
      </c>
      <c r="G187" t="str">
        <f t="shared" ref="G187" si="993">G186</f>
        <v>" posx="</v>
      </c>
      <c r="H187" t="str">
        <f t="shared" ref="H187" si="994">H186</f>
        <v>" posy="</v>
      </c>
      <c r="I187" t="str">
        <f t="shared" ref="I187" si="995">I186</f>
        <v>" dir="</v>
      </c>
      <c r="J187" t="str">
        <f t="shared" ref="J187" si="996">J186</f>
        <v>"/&gt;</v>
      </c>
      <c r="K187" t="str">
        <f t="shared" ref="K187" si="997">F187&amp;A187&amp;G187&amp;C187&amp;H187&amp;D187&amp;I187&amp;E187&amp;J187</f>
        <v>&lt;record id="165118" posx="0" posy="0" dir="0"/&gt;</v>
      </c>
    </row>
    <row r="188" spans="1:11">
      <c r="A188">
        <f>Sheet1!A257</f>
        <v>165119</v>
      </c>
      <c r="B188" t="str">
        <f>Sheet1!B257</f>
        <v>黑兽</v>
      </c>
      <c r="C188">
        <f>Sheet1!Q257</f>
        <v>0</v>
      </c>
      <c r="D188">
        <f>Sheet1!R257</f>
        <v>0</v>
      </c>
      <c r="E188">
        <f>Sheet1!U257</f>
        <v>0</v>
      </c>
      <c r="F188" t="str">
        <f t="shared" ref="F188" si="998">F187</f>
        <v>&lt;record id="</v>
      </c>
      <c r="G188" t="str">
        <f t="shared" ref="G188" si="999">G187</f>
        <v>" posx="</v>
      </c>
      <c r="H188" t="str">
        <f t="shared" ref="H188" si="1000">H187</f>
        <v>" posy="</v>
      </c>
      <c r="I188" t="str">
        <f t="shared" ref="I188" si="1001">I187</f>
        <v>" dir="</v>
      </c>
      <c r="J188" t="str">
        <f t="shared" ref="J188:J193" si="1002">J187</f>
        <v>"/&gt;</v>
      </c>
      <c r="K188" t="str">
        <f t="shared" ref="K188" si="1003">F188&amp;A188&amp;G188&amp;C188&amp;H188&amp;D188&amp;I188&amp;E188&amp;J188</f>
        <v>&lt;record id="165119" posx="0" posy="0" dir="0"/&gt;</v>
      </c>
    </row>
    <row r="189" spans="1:11">
      <c r="A189">
        <f>Sheet1!A258</f>
        <v>165120</v>
      </c>
      <c r="B189" t="str">
        <f>Sheet1!B258</f>
        <v>黑兽</v>
      </c>
      <c r="C189">
        <f>Sheet1!Q258</f>
        <v>0</v>
      </c>
      <c r="D189">
        <f>Sheet1!R258</f>
        <v>0</v>
      </c>
      <c r="E189">
        <f>Sheet1!U258</f>
        <v>0</v>
      </c>
      <c r="F189" t="str">
        <f t="shared" ref="F189" si="1004">F188</f>
        <v>&lt;record id="</v>
      </c>
      <c r="G189" t="str">
        <f t="shared" ref="G189:G194" si="1005">G188</f>
        <v>" posx="</v>
      </c>
      <c r="H189" t="str">
        <f t="shared" ref="H189" si="1006">H188</f>
        <v>" posy="</v>
      </c>
      <c r="I189" t="str">
        <f t="shared" ref="I189" si="1007">I188</f>
        <v>" dir="</v>
      </c>
      <c r="J189" t="str">
        <f t="shared" si="1002"/>
        <v>"/&gt;</v>
      </c>
      <c r="K189" t="str">
        <f t="shared" ref="K189:K194" si="1008">F189&amp;A189&amp;G189&amp;C189&amp;H189&amp;D189&amp;I189&amp;E189&amp;J189</f>
        <v>&lt;record id="165120" posx="0" posy="0" dir="0"/&gt;</v>
      </c>
    </row>
    <row r="190" spans="1:11">
      <c r="A190">
        <f>Sheet1!A259</f>
        <v>165121</v>
      </c>
      <c r="B190" t="str">
        <f>Sheet1!B259</f>
        <v>黑兽</v>
      </c>
      <c r="C190">
        <f>Sheet1!Q259</f>
        <v>0</v>
      </c>
      <c r="D190">
        <f>Sheet1!R259</f>
        <v>0</v>
      </c>
      <c r="E190">
        <f>Sheet1!U259</f>
        <v>0</v>
      </c>
      <c r="F190" t="str">
        <f t="shared" ref="F190" si="1009">F189</f>
        <v>&lt;record id="</v>
      </c>
      <c r="G190" t="str">
        <f t="shared" si="1005"/>
        <v>" posx="</v>
      </c>
      <c r="H190" t="str">
        <f t="shared" ref="H190" si="1010">H189</f>
        <v>" posy="</v>
      </c>
      <c r="I190" t="str">
        <f t="shared" ref="I190:I193" si="1011">I189</f>
        <v>" dir="</v>
      </c>
      <c r="J190" t="str">
        <f t="shared" si="1002"/>
        <v>"/&gt;</v>
      </c>
      <c r="K190" t="str">
        <f t="shared" si="1008"/>
        <v>&lt;record id="165121" posx="0" posy="0" dir="0"/&gt;</v>
      </c>
    </row>
    <row r="191" spans="1:11">
      <c r="A191">
        <f>Sheet1!A260</f>
        <v>165122</v>
      </c>
      <c r="B191" t="str">
        <f>Sheet1!B260</f>
        <v>黑兽</v>
      </c>
      <c r="C191">
        <f>Sheet1!Q260</f>
        <v>0</v>
      </c>
      <c r="D191">
        <f>Sheet1!R260</f>
        <v>0</v>
      </c>
      <c r="E191">
        <f>Sheet1!U260</f>
        <v>0</v>
      </c>
      <c r="F191" t="str">
        <f t="shared" ref="F191:F194" si="1012">F190</f>
        <v>&lt;record id="</v>
      </c>
      <c r="G191" t="str">
        <f t="shared" si="1005"/>
        <v>" posx="</v>
      </c>
      <c r="H191" t="str">
        <f t="shared" ref="H191:H193" si="1013">H190</f>
        <v>" posy="</v>
      </c>
      <c r="I191" t="str">
        <f t="shared" si="1011"/>
        <v>" dir="</v>
      </c>
      <c r="J191" t="str">
        <f t="shared" si="1002"/>
        <v>"/&gt;</v>
      </c>
      <c r="K191" t="str">
        <f t="shared" si="1008"/>
        <v>&lt;record id="165122" posx="0" posy="0" dir="0"/&gt;</v>
      </c>
    </row>
    <row r="192" spans="1:11">
      <c r="A192">
        <f>Sheet1!A261</f>
        <v>165123</v>
      </c>
      <c r="B192" t="str">
        <f>Sheet1!B261</f>
        <v>黑兽</v>
      </c>
      <c r="C192">
        <f>Sheet1!Q261</f>
        <v>0</v>
      </c>
      <c r="D192">
        <f>Sheet1!R261</f>
        <v>0</v>
      </c>
      <c r="E192">
        <f>Sheet1!U261</f>
        <v>0</v>
      </c>
      <c r="F192" t="str">
        <f t="shared" si="1012"/>
        <v>&lt;record id="</v>
      </c>
      <c r="G192" t="str">
        <f t="shared" si="1005"/>
        <v>" posx="</v>
      </c>
      <c r="H192" t="str">
        <f t="shared" si="1013"/>
        <v>" posy="</v>
      </c>
      <c r="I192" t="str">
        <f t="shared" si="1011"/>
        <v>" dir="</v>
      </c>
      <c r="J192" t="str">
        <f t="shared" si="1002"/>
        <v>"/&gt;</v>
      </c>
      <c r="K192" t="str">
        <f t="shared" si="1008"/>
        <v>&lt;record id="165123" posx="0" posy="0" dir="0"/&gt;</v>
      </c>
    </row>
    <row r="193" spans="1:11">
      <c r="A193">
        <f>Sheet1!A262</f>
        <v>165124</v>
      </c>
      <c r="B193" t="str">
        <f>Sheet1!B262</f>
        <v>黑兽</v>
      </c>
      <c r="C193">
        <f>Sheet1!Q262</f>
        <v>0</v>
      </c>
      <c r="D193">
        <f>Sheet1!R262</f>
        <v>0</v>
      </c>
      <c r="E193">
        <f>Sheet1!U262</f>
        <v>0</v>
      </c>
      <c r="F193" t="str">
        <f t="shared" si="1012"/>
        <v>&lt;record id="</v>
      </c>
      <c r="G193" t="str">
        <f t="shared" si="1005"/>
        <v>" posx="</v>
      </c>
      <c r="H193" t="str">
        <f t="shared" si="1013"/>
        <v>" posy="</v>
      </c>
      <c r="I193" t="str">
        <f t="shared" si="1011"/>
        <v>" dir="</v>
      </c>
      <c r="J193" t="str">
        <f t="shared" si="1002"/>
        <v>"/&gt;</v>
      </c>
      <c r="K193" t="str">
        <f t="shared" si="1008"/>
        <v>&lt;record id="165124" posx="0" posy="0" dir="0"/&gt;</v>
      </c>
    </row>
    <row r="194" spans="1:11">
      <c r="A194">
        <f>Sheet1!A263</f>
        <v>165125</v>
      </c>
      <c r="B194" t="str">
        <f>Sheet1!B263</f>
        <v>黑兽</v>
      </c>
      <c r="C194">
        <f>Sheet1!Q263</f>
        <v>0</v>
      </c>
      <c r="D194">
        <f>Sheet1!R263</f>
        <v>0</v>
      </c>
      <c r="E194">
        <f>Sheet1!U263</f>
        <v>0</v>
      </c>
      <c r="F194" t="str">
        <f t="shared" si="1012"/>
        <v>&lt;record id="</v>
      </c>
      <c r="G194" t="str">
        <f t="shared" si="1005"/>
        <v>" posx="</v>
      </c>
      <c r="H194" t="str">
        <f t="shared" ref="H194" si="1014">H193</f>
        <v>" posy="</v>
      </c>
      <c r="I194" t="str">
        <f t="shared" ref="I194" si="1015">I193</f>
        <v>" dir="</v>
      </c>
      <c r="J194" t="str">
        <f t="shared" ref="J194" si="1016">J193</f>
        <v>"/&gt;</v>
      </c>
      <c r="K194" t="str">
        <f t="shared" si="1008"/>
        <v>&lt;record id="165125" posx="0" posy="0" dir="0"/&gt;</v>
      </c>
    </row>
    <row r="195" spans="1:11">
      <c r="A195">
        <f>Sheet1!A264</f>
        <v>165126</v>
      </c>
      <c r="B195" t="str">
        <f>Sheet1!B264</f>
        <v>黑兽</v>
      </c>
      <c r="C195">
        <f>Sheet1!Q264</f>
        <v>0</v>
      </c>
      <c r="D195">
        <f>Sheet1!R264</f>
        <v>0</v>
      </c>
      <c r="E195">
        <f>Sheet1!U264</f>
        <v>0</v>
      </c>
      <c r="F195" t="str">
        <f t="shared" ref="F195" si="1017">F194</f>
        <v>&lt;record id="</v>
      </c>
      <c r="G195" t="str">
        <f t="shared" ref="G195" si="1018">G194</f>
        <v>" posx="</v>
      </c>
      <c r="H195" t="str">
        <f t="shared" ref="H195" si="1019">H194</f>
        <v>" posy="</v>
      </c>
      <c r="I195" t="str">
        <f t="shared" ref="I195" si="1020">I194</f>
        <v>" dir="</v>
      </c>
      <c r="J195" t="str">
        <f t="shared" ref="J195" si="1021">J194</f>
        <v>"/&gt;</v>
      </c>
      <c r="K195" t="str">
        <f t="shared" ref="K195" si="1022">F195&amp;A195&amp;G195&amp;C195&amp;H195&amp;D195&amp;I195&amp;E195&amp;J195</f>
        <v>&lt;record id="165126" posx="0" posy="0" dir="0"/&gt;</v>
      </c>
    </row>
    <row r="196" spans="1:11">
      <c r="A196">
        <f>Sheet1!A265</f>
        <v>165127</v>
      </c>
      <c r="B196" t="str">
        <f>Sheet1!B265</f>
        <v>黑兽</v>
      </c>
      <c r="C196">
        <f>Sheet1!Q265</f>
        <v>0</v>
      </c>
      <c r="D196">
        <f>Sheet1!R265</f>
        <v>0</v>
      </c>
      <c r="E196">
        <f>Sheet1!U265</f>
        <v>0</v>
      </c>
      <c r="F196" t="str">
        <f t="shared" ref="F196" si="1023">F195</f>
        <v>&lt;record id="</v>
      </c>
      <c r="G196" t="str">
        <f t="shared" ref="G196" si="1024">G195</f>
        <v>" posx="</v>
      </c>
      <c r="H196" t="str">
        <f t="shared" ref="H196" si="1025">H195</f>
        <v>" posy="</v>
      </c>
      <c r="I196" t="str">
        <f t="shared" ref="I196" si="1026">I195</f>
        <v>" dir="</v>
      </c>
      <c r="J196" t="str">
        <f t="shared" ref="J196" si="1027">J195</f>
        <v>"/&gt;</v>
      </c>
      <c r="K196" t="str">
        <f t="shared" ref="K196" si="1028">F196&amp;A196&amp;G196&amp;C196&amp;H196&amp;D196&amp;I196&amp;E196&amp;J196</f>
        <v>&lt;record id="165127" posx="0" posy="0" dir="0"/&gt;</v>
      </c>
    </row>
    <row r="197" spans="1:11">
      <c r="A197">
        <f>Sheet1!A266</f>
        <v>165128</v>
      </c>
      <c r="B197" t="str">
        <f>Sheet1!B266</f>
        <v>黑兽</v>
      </c>
      <c r="C197">
        <f>Sheet1!Q266</f>
        <v>0</v>
      </c>
      <c r="D197">
        <f>Sheet1!R266</f>
        <v>0</v>
      </c>
      <c r="E197">
        <f>Sheet1!U266</f>
        <v>0</v>
      </c>
      <c r="F197" t="str">
        <f t="shared" ref="F197" si="1029">F196</f>
        <v>&lt;record id="</v>
      </c>
      <c r="G197" t="str">
        <f t="shared" ref="G197" si="1030">G196</f>
        <v>" posx="</v>
      </c>
      <c r="H197" t="str">
        <f t="shared" ref="H197" si="1031">H196</f>
        <v>" posy="</v>
      </c>
      <c r="I197" t="str">
        <f t="shared" ref="I197" si="1032">I196</f>
        <v>" dir="</v>
      </c>
      <c r="J197" t="str">
        <f t="shared" ref="J197" si="1033">J196</f>
        <v>"/&gt;</v>
      </c>
      <c r="K197" t="str">
        <f t="shared" ref="K197" si="1034">F197&amp;A197&amp;G197&amp;C197&amp;H197&amp;D197&amp;I197&amp;E197&amp;J197</f>
        <v>&lt;record id="165128" posx="0" posy="0" dir="0"/&gt;</v>
      </c>
    </row>
    <row r="198" spans="1:11">
      <c r="A198">
        <f>Sheet1!A267</f>
        <v>165129</v>
      </c>
      <c r="B198" t="str">
        <f>Sheet1!B267</f>
        <v>黑兽</v>
      </c>
      <c r="C198">
        <f>Sheet1!Q267</f>
        <v>0</v>
      </c>
      <c r="D198">
        <f>Sheet1!R267</f>
        <v>0</v>
      </c>
      <c r="E198">
        <f>Sheet1!U267</f>
        <v>0</v>
      </c>
      <c r="F198" t="str">
        <f t="shared" ref="F198" si="1035">F197</f>
        <v>&lt;record id="</v>
      </c>
      <c r="G198" t="str">
        <f t="shared" ref="G198" si="1036">G197</f>
        <v>" posx="</v>
      </c>
      <c r="H198" t="str">
        <f t="shared" ref="H198" si="1037">H197</f>
        <v>" posy="</v>
      </c>
      <c r="I198" t="str">
        <f t="shared" ref="I198" si="1038">I197</f>
        <v>" dir="</v>
      </c>
      <c r="J198" t="str">
        <f t="shared" ref="J198" si="1039">J197</f>
        <v>"/&gt;</v>
      </c>
      <c r="K198" t="str">
        <f t="shared" ref="K198" si="1040">F198&amp;A198&amp;G198&amp;C198&amp;H198&amp;D198&amp;I198&amp;E198&amp;J198</f>
        <v>&lt;record id="165129" posx="0" posy="0" dir="0"/&gt;</v>
      </c>
    </row>
    <row r="199" spans="1:11">
      <c r="A199">
        <f>Sheet1!A268</f>
        <v>165130</v>
      </c>
      <c r="B199" t="str">
        <f>Sheet1!B268</f>
        <v>黑兽</v>
      </c>
      <c r="C199">
        <f>Sheet1!Q268</f>
        <v>0</v>
      </c>
      <c r="D199">
        <f>Sheet1!R268</f>
        <v>0</v>
      </c>
      <c r="E199">
        <f>Sheet1!U268</f>
        <v>0</v>
      </c>
      <c r="F199" t="str">
        <f t="shared" ref="F199" si="1041">F198</f>
        <v>&lt;record id="</v>
      </c>
      <c r="G199" t="str">
        <f t="shared" ref="G199" si="1042">G198</f>
        <v>" posx="</v>
      </c>
      <c r="H199" t="str">
        <f t="shared" ref="H199" si="1043">H198</f>
        <v>" posy="</v>
      </c>
      <c r="I199" t="str">
        <f t="shared" ref="I199" si="1044">I198</f>
        <v>" dir="</v>
      </c>
      <c r="J199" t="str">
        <f t="shared" ref="J199" si="1045">J198</f>
        <v>"/&gt;</v>
      </c>
      <c r="K199" t="str">
        <f t="shared" ref="K199" si="1046">F199&amp;A199&amp;G199&amp;C199&amp;H199&amp;D199&amp;I199&amp;E199&amp;J199</f>
        <v>&lt;record id="165130" posx="0" posy="0" dir="0"/&gt;</v>
      </c>
    </row>
    <row r="200" spans="1:11">
      <c r="A200">
        <f>Sheet1!A269</f>
        <v>165131</v>
      </c>
      <c r="B200" t="str">
        <f>Sheet1!B269</f>
        <v>黑兽</v>
      </c>
      <c r="C200">
        <f>Sheet1!Q269</f>
        <v>0</v>
      </c>
      <c r="D200">
        <f>Sheet1!R269</f>
        <v>0</v>
      </c>
      <c r="E200">
        <f>Sheet1!U269</f>
        <v>0</v>
      </c>
      <c r="F200" t="str">
        <f t="shared" ref="F200" si="1047">F199</f>
        <v>&lt;record id="</v>
      </c>
      <c r="G200" t="str">
        <f t="shared" ref="G200" si="1048">G199</f>
        <v>" posx="</v>
      </c>
      <c r="H200" t="str">
        <f t="shared" ref="H200" si="1049">H199</f>
        <v>" posy="</v>
      </c>
      <c r="I200" t="str">
        <f t="shared" ref="I200" si="1050">I199</f>
        <v>" dir="</v>
      </c>
      <c r="J200" t="str">
        <f t="shared" ref="J200" si="1051">J199</f>
        <v>"/&gt;</v>
      </c>
      <c r="K200" t="str">
        <f t="shared" ref="K200" si="1052">F200&amp;A200&amp;G200&amp;C200&amp;H200&amp;D200&amp;I200&amp;E200&amp;J200</f>
        <v>&lt;record id="165131" posx="0" posy="0" dir="0"/&gt;</v>
      </c>
    </row>
    <row r="201" spans="1:11">
      <c r="A201">
        <f>Sheet1!A270</f>
        <v>165132</v>
      </c>
      <c r="B201" t="str">
        <f>Sheet1!B270</f>
        <v>黑兽</v>
      </c>
      <c r="C201">
        <f>Sheet1!Q270</f>
        <v>0</v>
      </c>
      <c r="D201">
        <f>Sheet1!R270</f>
        <v>0</v>
      </c>
      <c r="E201">
        <f>Sheet1!U270</f>
        <v>0</v>
      </c>
      <c r="F201" t="str">
        <f t="shared" ref="F201" si="1053">F200</f>
        <v>&lt;record id="</v>
      </c>
      <c r="G201" t="str">
        <f t="shared" ref="G201" si="1054">G200</f>
        <v>" posx="</v>
      </c>
      <c r="H201" t="str">
        <f t="shared" ref="H201" si="1055">H200</f>
        <v>" posy="</v>
      </c>
      <c r="I201" t="str">
        <f t="shared" ref="I201" si="1056">I200</f>
        <v>" dir="</v>
      </c>
      <c r="J201" t="str">
        <f t="shared" ref="J201" si="1057">J200</f>
        <v>"/&gt;</v>
      </c>
      <c r="K201" t="str">
        <f t="shared" ref="K201" si="1058">F201&amp;A201&amp;G201&amp;C201&amp;H201&amp;D201&amp;I201&amp;E201&amp;J201</f>
        <v>&lt;record id="165132" posx="0" posy="0" dir="0"/&gt;</v>
      </c>
    </row>
    <row r="202" spans="1:11">
      <c r="A202">
        <f>Sheet1!A271</f>
        <v>165133</v>
      </c>
      <c r="B202" t="str">
        <f>Sheet1!B271</f>
        <v>唐唐</v>
      </c>
      <c r="C202">
        <f>Sheet1!Q271</f>
        <v>0</v>
      </c>
      <c r="D202">
        <f>Sheet1!R271</f>
        <v>0</v>
      </c>
      <c r="E202">
        <f>Sheet1!U271</f>
        <v>0</v>
      </c>
      <c r="F202" t="str">
        <f t="shared" ref="F202" si="1059">F201</f>
        <v>&lt;record id="</v>
      </c>
      <c r="G202" t="str">
        <f t="shared" ref="G202" si="1060">G201</f>
        <v>" posx="</v>
      </c>
      <c r="H202" t="str">
        <f t="shared" ref="H202" si="1061">H201</f>
        <v>" posy="</v>
      </c>
      <c r="I202" t="str">
        <f t="shared" ref="I202" si="1062">I201</f>
        <v>" dir="</v>
      </c>
      <c r="J202" t="str">
        <f t="shared" ref="J202" si="1063">J201</f>
        <v>"/&gt;</v>
      </c>
      <c r="K202" t="str">
        <f t="shared" ref="K202" si="1064">F202&amp;A202&amp;G202&amp;C202&amp;H202&amp;D202&amp;I202&amp;E202&amp;J202</f>
        <v>&lt;record id="165133" posx="0" posy="0" dir="0"/&gt;</v>
      </c>
    </row>
    <row r="203" spans="1:11">
      <c r="A203">
        <f>Sheet1!A272</f>
        <v>165134</v>
      </c>
      <c r="B203" t="str">
        <f>Sheet1!B272</f>
        <v>小霞</v>
      </c>
      <c r="C203">
        <f>Sheet1!Q272</f>
        <v>0</v>
      </c>
      <c r="D203">
        <f>Sheet1!R272</f>
        <v>0</v>
      </c>
      <c r="E203">
        <f>Sheet1!U272</f>
        <v>0</v>
      </c>
      <c r="F203" t="str">
        <f t="shared" ref="F203" si="1065">F202</f>
        <v>&lt;record id="</v>
      </c>
      <c r="G203" t="str">
        <f t="shared" ref="G203" si="1066">G202</f>
        <v>" posx="</v>
      </c>
      <c r="H203" t="str">
        <f t="shared" ref="H203" si="1067">H202</f>
        <v>" posy="</v>
      </c>
      <c r="I203" t="str">
        <f t="shared" ref="I203" si="1068">I202</f>
        <v>" dir="</v>
      </c>
      <c r="J203" t="str">
        <f t="shared" ref="J203" si="1069">J202</f>
        <v>"/&gt;</v>
      </c>
      <c r="K203" t="str">
        <f t="shared" ref="K203" si="1070">F203&amp;A203&amp;G203&amp;C203&amp;H203&amp;D203&amp;I203&amp;E203&amp;J203</f>
        <v>&lt;record id="165134" posx="0" posy="0" dir="0"/&gt;</v>
      </c>
    </row>
    <row r="204" spans="1:11">
      <c r="A204">
        <f>Sheet1!A273</f>
        <v>165135</v>
      </c>
      <c r="B204" t="str">
        <f>Sheet1!B273</f>
        <v>唐唐</v>
      </c>
      <c r="C204">
        <f>Sheet1!Q273</f>
        <v>0</v>
      </c>
      <c r="D204">
        <f>Sheet1!R273</f>
        <v>0</v>
      </c>
      <c r="E204">
        <f>Sheet1!U273</f>
        <v>0</v>
      </c>
      <c r="F204" t="str">
        <f t="shared" ref="F204" si="1071">F203</f>
        <v>&lt;record id="</v>
      </c>
      <c r="G204" t="str">
        <f t="shared" ref="G204" si="1072">G203</f>
        <v>" posx="</v>
      </c>
      <c r="H204" t="str">
        <f t="shared" ref="H204" si="1073">H203</f>
        <v>" posy="</v>
      </c>
      <c r="I204" t="str">
        <f t="shared" ref="I204" si="1074">I203</f>
        <v>" dir="</v>
      </c>
      <c r="J204" t="str">
        <f t="shared" ref="J204" si="1075">J203</f>
        <v>"/&gt;</v>
      </c>
      <c r="K204" t="str">
        <f t="shared" ref="K204" si="1076">F204&amp;A204&amp;G204&amp;C204&amp;H204&amp;D204&amp;I204&amp;E204&amp;J204</f>
        <v>&lt;record id="165135" posx="0" posy="0" dir="0"/&gt;</v>
      </c>
    </row>
    <row r="205" spans="1:11">
      <c r="A205">
        <f>Sheet1!A274</f>
        <v>165136</v>
      </c>
      <c r="B205" t="str">
        <f>Sheet1!B274</f>
        <v>小霞</v>
      </c>
      <c r="C205">
        <f>Sheet1!Q274</f>
        <v>0</v>
      </c>
      <c r="D205">
        <f>Sheet1!R274</f>
        <v>0</v>
      </c>
      <c r="E205">
        <f>Sheet1!U274</f>
        <v>0</v>
      </c>
      <c r="F205" t="str">
        <f t="shared" ref="F205" si="1077">F204</f>
        <v>&lt;record id="</v>
      </c>
      <c r="G205" t="str">
        <f t="shared" ref="G205" si="1078">G204</f>
        <v>" posx="</v>
      </c>
      <c r="H205" t="str">
        <f t="shared" ref="H205" si="1079">H204</f>
        <v>" posy="</v>
      </c>
      <c r="I205" t="str">
        <f t="shared" ref="I205" si="1080">I204</f>
        <v>" dir="</v>
      </c>
      <c r="J205" t="str">
        <f t="shared" ref="J205" si="1081">J204</f>
        <v>"/&gt;</v>
      </c>
      <c r="K205" t="str">
        <f t="shared" ref="K205" si="1082">F205&amp;A205&amp;G205&amp;C205&amp;H205&amp;D205&amp;I205&amp;E205&amp;J205</f>
        <v>&lt;record id="165136" posx="0" posy="0" dir="0"/&gt;</v>
      </c>
    </row>
    <row r="206" spans="1:11">
      <c r="A206">
        <f>Sheet1!A275</f>
        <v>165137</v>
      </c>
      <c r="B206" t="str">
        <f>Sheet1!B275</f>
        <v>猴小仙</v>
      </c>
      <c r="C206">
        <f>Sheet1!Q275</f>
        <v>0</v>
      </c>
      <c r="D206">
        <f>Sheet1!R275</f>
        <v>0</v>
      </c>
      <c r="E206">
        <f>Sheet1!U275</f>
        <v>0</v>
      </c>
      <c r="F206" t="str">
        <f t="shared" ref="F206" si="1083">F205</f>
        <v>&lt;record id="</v>
      </c>
      <c r="G206" t="str">
        <f t="shared" ref="G206" si="1084">G205</f>
        <v>" posx="</v>
      </c>
      <c r="H206" t="str">
        <f t="shared" ref="H206" si="1085">H205</f>
        <v>" posy="</v>
      </c>
      <c r="I206" t="str">
        <f t="shared" ref="I206" si="1086">I205</f>
        <v>" dir="</v>
      </c>
      <c r="J206" t="str">
        <f t="shared" ref="J206" si="1087">J205</f>
        <v>"/&gt;</v>
      </c>
      <c r="K206" t="str">
        <f t="shared" ref="K206" si="1088">F206&amp;A206&amp;G206&amp;C206&amp;H206&amp;D206&amp;I206&amp;E206&amp;J206</f>
        <v>&lt;record id="165137" posx="0" posy="0" dir="0"/&gt;</v>
      </c>
    </row>
    <row r="207" spans="1:11">
      <c r="A207">
        <f>Sheet1!A276</f>
        <v>165201</v>
      </c>
      <c r="B207" t="str">
        <f>Sheet1!B276</f>
        <v>旅馆老板</v>
      </c>
      <c r="C207">
        <f>Sheet1!Q276</f>
        <v>336</v>
      </c>
      <c r="D207">
        <f>Sheet1!R276</f>
        <v>992</v>
      </c>
      <c r="E207">
        <f>Sheet1!U276</f>
        <v>3</v>
      </c>
      <c r="F207" t="str">
        <f t="shared" ref="F207" si="1089">F206</f>
        <v>&lt;record id="</v>
      </c>
      <c r="G207" t="str">
        <f t="shared" ref="G207" si="1090">G206</f>
        <v>" posx="</v>
      </c>
      <c r="H207" t="str">
        <f t="shared" ref="H207" si="1091">H206</f>
        <v>" posy="</v>
      </c>
      <c r="I207" t="str">
        <f t="shared" ref="I207" si="1092">I206</f>
        <v>" dir="</v>
      </c>
      <c r="J207" t="str">
        <f t="shared" ref="J207" si="1093">J206</f>
        <v>"/&gt;</v>
      </c>
      <c r="K207" t="str">
        <f t="shared" ref="K207" si="1094">F207&amp;A207&amp;G207&amp;C207&amp;H207&amp;D207&amp;I207&amp;E207&amp;J207</f>
        <v>&lt;record id="165201" posx="336" posy="992" dir="3"/&gt;</v>
      </c>
    </row>
    <row r="208" spans="1:11">
      <c r="A208">
        <f>Sheet1!A277</f>
        <v>165202</v>
      </c>
      <c r="B208" t="str">
        <f>Sheet1!B277</f>
        <v>鬼将</v>
      </c>
      <c r="C208">
        <f>Sheet1!Q277</f>
        <v>1888</v>
      </c>
      <c r="D208">
        <f>Sheet1!R277</f>
        <v>1472</v>
      </c>
      <c r="E208">
        <f>Sheet1!U277</f>
        <v>5</v>
      </c>
      <c r="F208" t="str">
        <f t="shared" ref="F208" si="1095">F207</f>
        <v>&lt;record id="</v>
      </c>
      <c r="G208" t="str">
        <f t="shared" ref="G208" si="1096">G207</f>
        <v>" posx="</v>
      </c>
      <c r="H208" t="str">
        <f t="shared" ref="H208" si="1097">H207</f>
        <v>" posy="</v>
      </c>
      <c r="I208" t="str">
        <f t="shared" ref="I208" si="1098">I207</f>
        <v>" dir="</v>
      </c>
      <c r="J208" t="str">
        <f t="shared" ref="J208" si="1099">J207</f>
        <v>"/&gt;</v>
      </c>
      <c r="K208" t="str">
        <f t="shared" ref="K208" si="1100">F208&amp;A208&amp;G208&amp;C208&amp;H208&amp;D208&amp;I208&amp;E208&amp;J208</f>
        <v>&lt;record id="165202" posx="1888" posy="1472" dir="5"/&gt;</v>
      </c>
    </row>
    <row r="209" spans="1:11">
      <c r="A209">
        <f>Sheet1!A278</f>
        <v>165203</v>
      </c>
      <c r="B209" t="str">
        <f>Sheet1!B278</f>
        <v>布莱摩尔贵族</v>
      </c>
      <c r="C209">
        <f>Sheet1!Q278</f>
        <v>1824</v>
      </c>
      <c r="D209">
        <f>Sheet1!R278</f>
        <v>1584</v>
      </c>
      <c r="E209">
        <f>Sheet1!U278</f>
        <v>5</v>
      </c>
      <c r="F209" t="str">
        <f t="shared" ref="F209" si="1101">F208</f>
        <v>&lt;record id="</v>
      </c>
      <c r="G209" t="str">
        <f t="shared" ref="G209" si="1102">G208</f>
        <v>" posx="</v>
      </c>
      <c r="H209" t="str">
        <f t="shared" ref="H209" si="1103">H208</f>
        <v>" posy="</v>
      </c>
      <c r="I209" t="str">
        <f t="shared" ref="I209" si="1104">I208</f>
        <v>" dir="</v>
      </c>
      <c r="J209" t="str">
        <f t="shared" ref="J209" si="1105">J208</f>
        <v>"/&gt;</v>
      </c>
      <c r="K209" t="str">
        <f t="shared" ref="K209" si="1106">F209&amp;A209&amp;G209&amp;C209&amp;H209&amp;D209&amp;I209&amp;E209&amp;J209</f>
        <v>&lt;record id="165203" posx="1824" posy="1584" dir="5"/&gt;</v>
      </c>
    </row>
    <row r="210" spans="1:11">
      <c r="A210">
        <f>Sheet1!A279</f>
        <v>165204</v>
      </c>
      <c r="B210" t="str">
        <f>Sheet1!B279</f>
        <v>唐唐</v>
      </c>
      <c r="C210">
        <f>Sheet1!Q279</f>
        <v>1712</v>
      </c>
      <c r="D210">
        <f>Sheet1!R279</f>
        <v>1440</v>
      </c>
      <c r="E210">
        <f>Sheet1!U279</f>
        <v>3</v>
      </c>
      <c r="F210" t="str">
        <f t="shared" ref="F210" si="1107">F209</f>
        <v>&lt;record id="</v>
      </c>
      <c r="G210" t="str">
        <f t="shared" ref="G210" si="1108">G209</f>
        <v>" posx="</v>
      </c>
      <c r="H210" t="str">
        <f t="shared" ref="H210" si="1109">H209</f>
        <v>" posy="</v>
      </c>
      <c r="I210" t="str">
        <f t="shared" ref="I210" si="1110">I209</f>
        <v>" dir="</v>
      </c>
      <c r="J210" t="str">
        <f t="shared" ref="J210" si="1111">J209</f>
        <v>"/&gt;</v>
      </c>
      <c r="K210" t="str">
        <f t="shared" ref="K210" si="1112">F210&amp;A210&amp;G210&amp;C210&amp;H210&amp;D210&amp;I210&amp;E210&amp;J210</f>
        <v>&lt;record id="165204" posx="1712" posy="1440" dir="3"/&gt;</v>
      </c>
    </row>
    <row r="211" spans="1:11">
      <c r="A211">
        <f>Sheet1!A280</f>
        <v>165301</v>
      </c>
      <c r="B211" t="str">
        <f>Sheet1!B280</f>
        <v>布莱摩尔领主</v>
      </c>
      <c r="C211">
        <f>Sheet1!Q280</f>
        <v>0</v>
      </c>
      <c r="D211">
        <f>Sheet1!R280</f>
        <v>0</v>
      </c>
      <c r="E211">
        <f>Sheet1!U280</f>
        <v>0</v>
      </c>
      <c r="F211" t="str">
        <f t="shared" ref="F211" si="1113">F210</f>
        <v>&lt;record id="</v>
      </c>
      <c r="G211" t="str">
        <f t="shared" ref="G211" si="1114">G210</f>
        <v>" posx="</v>
      </c>
      <c r="H211" t="str">
        <f t="shared" ref="H211" si="1115">H210</f>
        <v>" posy="</v>
      </c>
      <c r="I211" t="str">
        <f t="shared" ref="I211" si="1116">I210</f>
        <v>" dir="</v>
      </c>
      <c r="J211" t="str">
        <f t="shared" ref="J211" si="1117">J210</f>
        <v>"/&gt;</v>
      </c>
      <c r="K211" t="str">
        <f t="shared" ref="K211" si="1118">F211&amp;A211&amp;G211&amp;C211&amp;H211&amp;D211&amp;I211&amp;E211&amp;J211</f>
        <v>&lt;record id="165301" posx="0" posy="0" dir="0"/&gt;</v>
      </c>
    </row>
    <row r="212" spans="1:11">
      <c r="A212">
        <f>Sheet1!A281</f>
        <v>165302</v>
      </c>
      <c r="B212" t="str">
        <f>Sheet1!B281</f>
        <v>角斗士奴隶</v>
      </c>
      <c r="C212">
        <f>Sheet1!Q281</f>
        <v>0</v>
      </c>
      <c r="D212">
        <f>Sheet1!R281</f>
        <v>0</v>
      </c>
      <c r="E212">
        <f>Sheet1!U281</f>
        <v>5</v>
      </c>
      <c r="F212" t="str">
        <f t="shared" ref="F212" si="1119">F211</f>
        <v>&lt;record id="</v>
      </c>
      <c r="G212" t="str">
        <f t="shared" ref="G212" si="1120">G211</f>
        <v>" posx="</v>
      </c>
      <c r="H212" t="str">
        <f t="shared" ref="H212" si="1121">H211</f>
        <v>" posy="</v>
      </c>
      <c r="I212" t="str">
        <f t="shared" ref="I212" si="1122">I211</f>
        <v>" dir="</v>
      </c>
      <c r="J212" t="str">
        <f t="shared" ref="J212" si="1123">J211</f>
        <v>"/&gt;</v>
      </c>
      <c r="K212" t="str">
        <f t="shared" ref="K212" si="1124">F212&amp;A212&amp;G212&amp;C212&amp;H212&amp;D212&amp;I212&amp;E212&amp;J212</f>
        <v>&lt;record id="165302" posx="0" posy="0" dir="5"/&gt;</v>
      </c>
    </row>
    <row r="213" spans="1:11">
      <c r="A213">
        <f>Sheet1!A282</f>
        <v>165303</v>
      </c>
      <c r="B213" t="str">
        <f>Sheet1!B282</f>
        <v>老孙头</v>
      </c>
      <c r="C213">
        <f>Sheet1!Q282</f>
        <v>0</v>
      </c>
      <c r="D213">
        <f>Sheet1!R282</f>
        <v>0</v>
      </c>
      <c r="E213">
        <f>Sheet1!U282</f>
        <v>5</v>
      </c>
      <c r="F213" t="str">
        <f t="shared" ref="F213" si="1125">F212</f>
        <v>&lt;record id="</v>
      </c>
      <c r="G213" t="str">
        <f t="shared" ref="G213" si="1126">G212</f>
        <v>" posx="</v>
      </c>
      <c r="H213" t="str">
        <f t="shared" ref="H213" si="1127">H212</f>
        <v>" posy="</v>
      </c>
      <c r="I213" t="str">
        <f t="shared" ref="I213" si="1128">I212</f>
        <v>" dir="</v>
      </c>
      <c r="J213" t="str">
        <f t="shared" ref="J213" si="1129">J212</f>
        <v>"/&gt;</v>
      </c>
      <c r="K213" t="str">
        <f t="shared" ref="K213" si="1130">F213&amp;A213&amp;G213&amp;C213&amp;H213&amp;D213&amp;I213&amp;E213&amp;J213</f>
        <v>&lt;record id="165303" posx="0" posy="0" dir="5"/&gt;</v>
      </c>
    </row>
    <row r="214" spans="1:11">
      <c r="A214">
        <f>Sheet1!A283</f>
        <v>165304</v>
      </c>
      <c r="B214" t="str">
        <f>Sheet1!B283</f>
        <v>鬼将</v>
      </c>
      <c r="C214">
        <f>Sheet1!Q283</f>
        <v>0</v>
      </c>
      <c r="D214">
        <f>Sheet1!R283</f>
        <v>0</v>
      </c>
      <c r="E214">
        <f>Sheet1!U283</f>
        <v>0</v>
      </c>
      <c r="F214" t="str">
        <f t="shared" ref="F214" si="1131">F213</f>
        <v>&lt;record id="</v>
      </c>
      <c r="G214" t="str">
        <f t="shared" ref="G214" si="1132">G213</f>
        <v>" posx="</v>
      </c>
      <c r="H214" t="str">
        <f t="shared" ref="H214" si="1133">H213</f>
        <v>" posy="</v>
      </c>
      <c r="I214" t="str">
        <f t="shared" ref="I214" si="1134">I213</f>
        <v>" dir="</v>
      </c>
      <c r="J214" t="str">
        <f t="shared" ref="J214" si="1135">J213</f>
        <v>"/&gt;</v>
      </c>
      <c r="K214" t="str">
        <f t="shared" ref="K214" si="1136">F214&amp;A214&amp;G214&amp;C214&amp;H214&amp;D214&amp;I214&amp;E214&amp;J214</f>
        <v>&lt;record id="165304" posx="0" posy="0" dir="0"/&gt;</v>
      </c>
    </row>
    <row r="215" spans="1:11">
      <c r="A215">
        <f>Sheet1!A284</f>
        <v>165401</v>
      </c>
      <c r="B215" t="str">
        <f>Sheet1!B284</f>
        <v>袁守城</v>
      </c>
      <c r="C215">
        <f>Sheet1!Q284</f>
        <v>1088</v>
      </c>
      <c r="D215">
        <f>Sheet1!R284</f>
        <v>912</v>
      </c>
      <c r="E215">
        <f>Sheet1!U284</f>
        <v>3</v>
      </c>
      <c r="F215" t="str">
        <f t="shared" ref="F215" si="1137">F214</f>
        <v>&lt;record id="</v>
      </c>
      <c r="G215" t="str">
        <f t="shared" ref="G215" si="1138">G214</f>
        <v>" posx="</v>
      </c>
      <c r="H215" t="str">
        <f t="shared" ref="H215" si="1139">H214</f>
        <v>" posy="</v>
      </c>
      <c r="I215" t="str">
        <f t="shared" ref="I215" si="1140">I214</f>
        <v>" dir="</v>
      </c>
      <c r="J215" t="str">
        <f t="shared" ref="J215" si="1141">J214</f>
        <v>"/&gt;</v>
      </c>
      <c r="K215" t="str">
        <f t="shared" ref="K215" si="1142">F215&amp;A215&amp;G215&amp;C215&amp;H215&amp;D215&amp;I215&amp;E215&amp;J215</f>
        <v>&lt;record id="165401" posx="1088" posy="912" dir="3"/&gt;</v>
      </c>
    </row>
    <row r="216" spans="1:11">
      <c r="A216">
        <f>Sheet1!A285</f>
        <v>165601</v>
      </c>
      <c r="B216" t="str">
        <f>Sheet1!B285</f>
        <v>竞技大师</v>
      </c>
      <c r="C216">
        <f>Sheet1!Q285</f>
        <v>656</v>
      </c>
      <c r="D216">
        <f>Sheet1!R285</f>
        <v>608</v>
      </c>
      <c r="E216">
        <f>Sheet1!U285</f>
        <v>3</v>
      </c>
      <c r="F216" t="str">
        <f t="shared" ref="F216" si="1143">F215</f>
        <v>&lt;record id="</v>
      </c>
      <c r="G216" t="str">
        <f t="shared" ref="G216" si="1144">G215</f>
        <v>" posx="</v>
      </c>
      <c r="H216" t="str">
        <f t="shared" ref="H216" si="1145">H215</f>
        <v>" posy="</v>
      </c>
      <c r="I216" t="str">
        <f t="shared" ref="I216" si="1146">I215</f>
        <v>" dir="</v>
      </c>
      <c r="J216" t="str">
        <f t="shared" ref="J216" si="1147">J215</f>
        <v>"/&gt;</v>
      </c>
      <c r="K216" t="str">
        <f t="shared" ref="K216" si="1148">F216&amp;A216&amp;G216&amp;C216&amp;H216&amp;D216&amp;I216&amp;E216&amp;J216</f>
        <v>&lt;record id="165601" posx="656" posy="608" dir="3"/&gt;</v>
      </c>
    </row>
    <row r="217" spans="1:11">
      <c r="A217">
        <f>Sheet1!A286</f>
        <v>165701</v>
      </c>
      <c r="B217" t="str">
        <f>Sheet1!B286</f>
        <v>竞技大师</v>
      </c>
      <c r="C217">
        <f>Sheet1!Q286</f>
        <v>656</v>
      </c>
      <c r="D217">
        <f>Sheet1!R286</f>
        <v>608</v>
      </c>
      <c r="E217">
        <f>Sheet1!U286</f>
        <v>3</v>
      </c>
      <c r="F217" t="str">
        <f t="shared" ref="F217" si="1149">F216</f>
        <v>&lt;record id="</v>
      </c>
      <c r="G217" t="str">
        <f t="shared" ref="G217" si="1150">G216</f>
        <v>" posx="</v>
      </c>
      <c r="H217" t="str">
        <f t="shared" ref="H217" si="1151">H216</f>
        <v>" posy="</v>
      </c>
      <c r="I217" t="str">
        <f t="shared" ref="I217" si="1152">I216</f>
        <v>" dir="</v>
      </c>
      <c r="J217" t="str">
        <f t="shared" ref="J217" si="1153">J216</f>
        <v>"/&gt;</v>
      </c>
      <c r="K217" t="str">
        <f t="shared" ref="K217" si="1154">F217&amp;A217&amp;G217&amp;C217&amp;H217&amp;D217&amp;I217&amp;E217&amp;J217</f>
        <v>&lt;record id="165701" posx="656" posy="608" dir="3"/&gt;</v>
      </c>
    </row>
    <row r="218" spans="1:11">
      <c r="A218">
        <f>Sheet1!A287</f>
        <v>165801</v>
      </c>
      <c r="B218" t="str">
        <f>Sheet1!B287</f>
        <v>竞技大师</v>
      </c>
      <c r="C218">
        <f>Sheet1!Q287</f>
        <v>656</v>
      </c>
      <c r="D218">
        <f>Sheet1!R287</f>
        <v>608</v>
      </c>
      <c r="E218">
        <f>Sheet1!U287</f>
        <v>3</v>
      </c>
      <c r="F218" t="str">
        <f t="shared" ref="F218" si="1155">F217</f>
        <v>&lt;record id="</v>
      </c>
      <c r="G218" t="str">
        <f t="shared" ref="G218" si="1156">G217</f>
        <v>" posx="</v>
      </c>
      <c r="H218" t="str">
        <f t="shared" ref="H218" si="1157">H217</f>
        <v>" posy="</v>
      </c>
      <c r="I218" t="str">
        <f t="shared" ref="I218" si="1158">I217</f>
        <v>" dir="</v>
      </c>
      <c r="J218" t="str">
        <f t="shared" ref="J218" si="1159">J217</f>
        <v>"/&gt;</v>
      </c>
      <c r="K218" t="str">
        <f t="shared" ref="K218" si="1160">F218&amp;A218&amp;G218&amp;C218&amp;H218&amp;D218&amp;I218&amp;E218&amp;J218</f>
        <v>&lt;record id="165801" posx="656" posy="608" dir="3"/&gt;</v>
      </c>
    </row>
    <row r="219" spans="1:11">
      <c r="A219">
        <f>Sheet1!A288</f>
        <v>166201</v>
      </c>
      <c r="B219" t="str">
        <f>Sheet1!B288</f>
        <v>血小贱</v>
      </c>
      <c r="C219">
        <f>Sheet1!Q288</f>
        <v>392</v>
      </c>
      <c r="D219">
        <f>Sheet1!R288</f>
        <v>961</v>
      </c>
      <c r="E219">
        <f>Sheet1!U288</f>
        <v>3</v>
      </c>
      <c r="F219" t="str">
        <f t="shared" ref="F219" si="1161">F218</f>
        <v>&lt;record id="</v>
      </c>
      <c r="G219" t="str">
        <f t="shared" ref="G219" si="1162">G218</f>
        <v>" posx="</v>
      </c>
      <c r="H219" t="str">
        <f t="shared" ref="H219" si="1163">H218</f>
        <v>" posy="</v>
      </c>
      <c r="I219" t="str">
        <f t="shared" ref="I219" si="1164">I218</f>
        <v>" dir="</v>
      </c>
      <c r="J219" t="str">
        <f t="shared" ref="J219" si="1165">J218</f>
        <v>"/&gt;</v>
      </c>
      <c r="K219" t="str">
        <f t="shared" ref="K219" si="1166">F219&amp;A219&amp;G219&amp;C219&amp;H219&amp;D219&amp;I219&amp;E219&amp;J219</f>
        <v>&lt;record id="166201" posx="392" posy="961" dir="3"/&gt;</v>
      </c>
    </row>
    <row r="220" spans="1:11">
      <c r="A220">
        <f>Sheet1!A289</f>
        <v>166202</v>
      </c>
      <c r="B220" t="str">
        <f>Sheet1!B289</f>
        <v>牛头首领</v>
      </c>
      <c r="C220">
        <f>Sheet1!Q289</f>
        <v>1293</v>
      </c>
      <c r="D220">
        <f>Sheet1!R289</f>
        <v>1106</v>
      </c>
      <c r="E220">
        <f>Sheet1!U289</f>
        <v>3</v>
      </c>
      <c r="F220" t="str">
        <f t="shared" ref="F220" si="1167">F219</f>
        <v>&lt;record id="</v>
      </c>
      <c r="G220" t="str">
        <f t="shared" ref="G220" si="1168">G219</f>
        <v>" posx="</v>
      </c>
      <c r="H220" t="str">
        <f t="shared" ref="H220" si="1169">H219</f>
        <v>" posy="</v>
      </c>
      <c r="I220" t="str">
        <f t="shared" ref="I220" si="1170">I219</f>
        <v>" dir="</v>
      </c>
      <c r="J220" t="str">
        <f t="shared" ref="J220" si="1171">J219</f>
        <v>"/&gt;</v>
      </c>
      <c r="K220" t="str">
        <f t="shared" ref="K220" si="1172">F220&amp;A220&amp;G220&amp;C220&amp;H220&amp;D220&amp;I220&amp;E220&amp;J220</f>
        <v>&lt;record id="166202" posx="1293" posy="1106" dir="3"/&gt;</v>
      </c>
    </row>
    <row r="221" spans="1:11">
      <c r="A221">
        <f>Sheet1!A290</f>
        <v>167101</v>
      </c>
      <c r="B221" t="str">
        <f>Sheet1!B290</f>
        <v>唐唐</v>
      </c>
      <c r="C221">
        <f>Sheet1!Q290</f>
        <v>1329</v>
      </c>
      <c r="D221">
        <f>Sheet1!R290</f>
        <v>510</v>
      </c>
      <c r="E221">
        <f>Sheet1!U290</f>
        <v>3</v>
      </c>
      <c r="F221" t="str">
        <f t="shared" ref="F221" si="1173">F220</f>
        <v>&lt;record id="</v>
      </c>
      <c r="G221" t="str">
        <f t="shared" ref="G221" si="1174">G220</f>
        <v>" posx="</v>
      </c>
      <c r="H221" t="str">
        <f t="shared" ref="H221" si="1175">H220</f>
        <v>" posy="</v>
      </c>
      <c r="I221" t="str">
        <f t="shared" ref="I221" si="1176">I220</f>
        <v>" dir="</v>
      </c>
      <c r="J221" t="str">
        <f t="shared" ref="J221:J226" si="1177">J220</f>
        <v>"/&gt;</v>
      </c>
      <c r="K221" t="str">
        <f t="shared" ref="K221" si="1178">F221&amp;A221&amp;G221&amp;C221&amp;H221&amp;D221&amp;I221&amp;E221&amp;J221</f>
        <v>&lt;record id="167101" posx="1329" posy="510" dir="3"/&gt;</v>
      </c>
    </row>
    <row r="222" spans="1:11">
      <c r="A222">
        <f>Sheet1!A291</f>
        <v>167102</v>
      </c>
      <c r="B222" t="str">
        <f>Sheet1!B291</f>
        <v>鬼将</v>
      </c>
      <c r="C222">
        <f>Sheet1!Q291</f>
        <v>1234</v>
      </c>
      <c r="D222">
        <f>Sheet1!R291</f>
        <v>580</v>
      </c>
      <c r="E222">
        <f>Sheet1!U291</f>
        <v>3</v>
      </c>
      <c r="F222" t="str">
        <f t="shared" ref="F222:F227" si="1179">F221</f>
        <v>&lt;record id="</v>
      </c>
      <c r="G222" t="str">
        <f t="shared" ref="G222" si="1180">G221</f>
        <v>" posx="</v>
      </c>
      <c r="H222" t="str">
        <f t="shared" ref="H222" si="1181">H221</f>
        <v>" posy="</v>
      </c>
      <c r="I222" t="str">
        <f t="shared" ref="I222:I226" si="1182">I221</f>
        <v>" dir="</v>
      </c>
      <c r="J222" t="str">
        <f t="shared" si="1177"/>
        <v>"/&gt;</v>
      </c>
      <c r="K222" t="str">
        <f t="shared" ref="K222:K227" si="1183">F222&amp;A222&amp;G222&amp;C222&amp;H222&amp;D222&amp;I222&amp;E222&amp;J222</f>
        <v>&lt;record id="167102" posx="1234" posy="580" dir="3"/&gt;</v>
      </c>
    </row>
    <row r="223" spans="1:11">
      <c r="A223">
        <f>Sheet1!A292</f>
        <v>167103</v>
      </c>
      <c r="B223" t="str">
        <f>Sheet1!B292</f>
        <v>小霞</v>
      </c>
      <c r="C223">
        <f>Sheet1!Q292</f>
        <v>1324</v>
      </c>
      <c r="D223">
        <f>Sheet1!R292</f>
        <v>661</v>
      </c>
      <c r="E223">
        <f>Sheet1!U292</f>
        <v>1</v>
      </c>
      <c r="F223" t="str">
        <f t="shared" si="1179"/>
        <v>&lt;record id="</v>
      </c>
      <c r="G223" t="str">
        <f t="shared" ref="G223" si="1184">G222</f>
        <v>" posx="</v>
      </c>
      <c r="H223" t="str">
        <f t="shared" ref="H223:H226" si="1185">H222</f>
        <v>" posy="</v>
      </c>
      <c r="I223" t="str">
        <f t="shared" si="1182"/>
        <v>" dir="</v>
      </c>
      <c r="J223" t="str">
        <f t="shared" si="1177"/>
        <v>"/&gt;</v>
      </c>
      <c r="K223" t="str">
        <f t="shared" si="1183"/>
        <v>&lt;record id="167103" posx="1324" posy="661" dir="1"/&gt;</v>
      </c>
    </row>
    <row r="224" spans="1:11">
      <c r="A224">
        <f>Sheet1!A293</f>
        <v>167104</v>
      </c>
      <c r="B224" t="str">
        <f>Sheet1!B293</f>
        <v>妖风的尸体</v>
      </c>
      <c r="C224">
        <f>Sheet1!Q293</f>
        <v>1426</v>
      </c>
      <c r="D224">
        <f>Sheet1!R293</f>
        <v>599</v>
      </c>
      <c r="E224">
        <f>Sheet1!U293</f>
        <v>7</v>
      </c>
      <c r="F224" t="str">
        <f t="shared" si="1179"/>
        <v>&lt;record id="</v>
      </c>
      <c r="G224" t="str">
        <f t="shared" ref="G224:G226" si="1186">G223</f>
        <v>" posx="</v>
      </c>
      <c r="H224" t="str">
        <f t="shared" si="1185"/>
        <v>" posy="</v>
      </c>
      <c r="I224" t="str">
        <f t="shared" si="1182"/>
        <v>" dir="</v>
      </c>
      <c r="J224" t="str">
        <f t="shared" si="1177"/>
        <v>"/&gt;</v>
      </c>
      <c r="K224" t="str">
        <f t="shared" si="1183"/>
        <v>&lt;record id="167104" posx="1426" posy="599" dir="7"/&gt;</v>
      </c>
    </row>
    <row r="225" spans="1:11">
      <c r="A225">
        <f>Sheet1!A294</f>
        <v>167105</v>
      </c>
      <c r="B225" t="str">
        <f>Sheet1!B294</f>
        <v>小白龙</v>
      </c>
      <c r="C225">
        <f>Sheet1!Q294</f>
        <v>1020</v>
      </c>
      <c r="D225">
        <f>Sheet1!R294</f>
        <v>338</v>
      </c>
      <c r="E225">
        <f>Sheet1!U294</f>
        <v>3</v>
      </c>
      <c r="F225" t="str">
        <f t="shared" si="1179"/>
        <v>&lt;record id="</v>
      </c>
      <c r="G225" t="str">
        <f t="shared" si="1186"/>
        <v>" posx="</v>
      </c>
      <c r="H225" t="str">
        <f t="shared" si="1185"/>
        <v>" posy="</v>
      </c>
      <c r="I225" t="str">
        <f t="shared" si="1182"/>
        <v>" dir="</v>
      </c>
      <c r="J225" t="str">
        <f t="shared" si="1177"/>
        <v>"/&gt;</v>
      </c>
      <c r="K225" t="str">
        <f t="shared" si="1183"/>
        <v>&lt;record id="167105" posx="1020" posy="338" dir="3"/&gt;</v>
      </c>
    </row>
    <row r="226" spans="1:11">
      <c r="A226">
        <f>Sheet1!A295</f>
        <v>167106</v>
      </c>
      <c r="B226" t="str">
        <f>Sheet1!B295</f>
        <v>隐匿者</v>
      </c>
      <c r="C226">
        <f>Sheet1!Q295</f>
        <v>906</v>
      </c>
      <c r="D226">
        <f>Sheet1!R295</f>
        <v>363</v>
      </c>
      <c r="E226">
        <f>Sheet1!U295</f>
        <v>3</v>
      </c>
      <c r="F226" t="str">
        <f t="shared" si="1179"/>
        <v>&lt;record id="</v>
      </c>
      <c r="G226" t="str">
        <f t="shared" si="1186"/>
        <v>" posx="</v>
      </c>
      <c r="H226" t="str">
        <f t="shared" si="1185"/>
        <v>" posy="</v>
      </c>
      <c r="I226" t="str">
        <f t="shared" si="1182"/>
        <v>" dir="</v>
      </c>
      <c r="J226" t="str">
        <f t="shared" si="1177"/>
        <v>"/&gt;</v>
      </c>
      <c r="K226" t="str">
        <f t="shared" si="1183"/>
        <v>&lt;record id="167106" posx="906" posy="363" dir="3"/&gt;</v>
      </c>
    </row>
    <row r="227" spans="1:11">
      <c r="A227">
        <f>Sheet1!A296</f>
        <v>167107</v>
      </c>
      <c r="B227" t="str">
        <f>Sheet1!B296</f>
        <v>小妖</v>
      </c>
      <c r="C227">
        <f>Sheet1!Q296</f>
        <v>1082</v>
      </c>
      <c r="D227">
        <f>Sheet1!R296</f>
        <v>225</v>
      </c>
      <c r="E227">
        <f>Sheet1!U296</f>
        <v>3</v>
      </c>
      <c r="F227" t="str">
        <f t="shared" si="1179"/>
        <v>&lt;record id="</v>
      </c>
      <c r="G227" t="str">
        <f t="shared" ref="G227" si="1187">G226</f>
        <v>" posx="</v>
      </c>
      <c r="H227" t="str">
        <f t="shared" ref="H227" si="1188">H226</f>
        <v>" posy="</v>
      </c>
      <c r="I227" t="str">
        <f t="shared" ref="I227" si="1189">I226</f>
        <v>" dir="</v>
      </c>
      <c r="J227" t="str">
        <f t="shared" ref="J227" si="1190">J226</f>
        <v>"/&gt;</v>
      </c>
      <c r="K227" t="str">
        <f t="shared" si="1183"/>
        <v>&lt;record id="167107" posx="1082" posy="225" dir="3"/&gt;</v>
      </c>
    </row>
    <row r="228" spans="1:11">
      <c r="A228">
        <f>Sheet1!A297</f>
        <v>167108</v>
      </c>
      <c r="B228" t="str">
        <f>Sheet1!B297</f>
        <v>天灾亡灵</v>
      </c>
      <c r="C228">
        <f>Sheet1!Q297</f>
        <v>912</v>
      </c>
      <c r="D228">
        <f>Sheet1!R297</f>
        <v>1006</v>
      </c>
      <c r="E228">
        <f>Sheet1!U297</f>
        <v>1</v>
      </c>
      <c r="F228" t="str">
        <f t="shared" ref="F228" si="1191">F227</f>
        <v>&lt;record id="</v>
      </c>
      <c r="G228" t="str">
        <f t="shared" ref="G228" si="1192">G227</f>
        <v>" posx="</v>
      </c>
      <c r="H228" t="str">
        <f t="shared" ref="H228" si="1193">H227</f>
        <v>" posy="</v>
      </c>
      <c r="I228" t="str">
        <f t="shared" ref="I228" si="1194">I227</f>
        <v>" dir="</v>
      </c>
      <c r="J228" t="str">
        <f t="shared" ref="J228" si="1195">J227</f>
        <v>"/&gt;</v>
      </c>
      <c r="K228" t="str">
        <f t="shared" ref="K228" si="1196">F228&amp;A228&amp;G228&amp;C228&amp;H228&amp;D228&amp;I228&amp;E228&amp;J228</f>
        <v>&lt;record id="167108" posx="912" posy="1006" dir="1"/&gt;</v>
      </c>
    </row>
    <row r="229" spans="1:11">
      <c r="A229">
        <f>Sheet1!A298</f>
        <v>167109</v>
      </c>
      <c r="B229" t="str">
        <f>Sheet1!B298</f>
        <v>天灾亡灵</v>
      </c>
      <c r="C229">
        <f>Sheet1!Q298</f>
        <v>840</v>
      </c>
      <c r="D229">
        <f>Sheet1!R298</f>
        <v>944</v>
      </c>
      <c r="E229">
        <f>Sheet1!U298</f>
        <v>1</v>
      </c>
      <c r="F229" t="str">
        <f t="shared" ref="F229" si="1197">F228</f>
        <v>&lt;record id="</v>
      </c>
      <c r="G229" t="str">
        <f t="shared" ref="G229" si="1198">G228</f>
        <v>" posx="</v>
      </c>
      <c r="H229" t="str">
        <f t="shared" ref="H229" si="1199">H228</f>
        <v>" posy="</v>
      </c>
      <c r="I229" t="str">
        <f t="shared" ref="I229" si="1200">I228</f>
        <v>" dir="</v>
      </c>
      <c r="J229" t="str">
        <f t="shared" ref="J229" si="1201">J228</f>
        <v>"/&gt;</v>
      </c>
      <c r="K229" t="str">
        <f t="shared" ref="K229" si="1202">F229&amp;A229&amp;G229&amp;C229&amp;H229&amp;D229&amp;I229&amp;E229&amp;J229</f>
        <v>&lt;record id="167109" posx="840" posy="944" dir="1"/&gt;</v>
      </c>
    </row>
    <row r="230" spans="1:11">
      <c r="A230">
        <f>Sheet1!A299</f>
        <v>167110</v>
      </c>
      <c r="B230" t="str">
        <f>Sheet1!B299</f>
        <v>天灾亡灵</v>
      </c>
      <c r="C230">
        <f>Sheet1!Q299</f>
        <v>832</v>
      </c>
      <c r="D230">
        <f>Sheet1!R299</f>
        <v>1088</v>
      </c>
      <c r="E230">
        <f>Sheet1!U299</f>
        <v>3</v>
      </c>
      <c r="F230" t="str">
        <f t="shared" ref="F230" si="1203">F229</f>
        <v>&lt;record id="</v>
      </c>
      <c r="G230" t="str">
        <f t="shared" ref="G230" si="1204">G229</f>
        <v>" posx="</v>
      </c>
      <c r="H230" t="str">
        <f t="shared" ref="H230" si="1205">H229</f>
        <v>" posy="</v>
      </c>
      <c r="I230" t="str">
        <f t="shared" ref="I230" si="1206">I229</f>
        <v>" dir="</v>
      </c>
      <c r="J230" t="str">
        <f t="shared" ref="J230" si="1207">J229</f>
        <v>"/&gt;</v>
      </c>
      <c r="K230" t="str">
        <f t="shared" ref="K230" si="1208">F230&amp;A230&amp;G230&amp;C230&amp;H230&amp;D230&amp;I230&amp;E230&amp;J230</f>
        <v>&lt;record id="167110" posx="832" posy="1088" dir="3"/&gt;</v>
      </c>
    </row>
    <row r="231" spans="1:11">
      <c r="A231">
        <f>Sheet1!A300</f>
        <v>167111</v>
      </c>
      <c r="B231" t="str">
        <f>Sheet1!B300</f>
        <v>天灾亡灵</v>
      </c>
      <c r="C231">
        <f>Sheet1!Q300</f>
        <v>760</v>
      </c>
      <c r="D231">
        <f>Sheet1!R300</f>
        <v>1020</v>
      </c>
      <c r="E231">
        <f>Sheet1!U300</f>
        <v>7</v>
      </c>
      <c r="F231" t="str">
        <f t="shared" ref="F231" si="1209">F230</f>
        <v>&lt;record id="</v>
      </c>
      <c r="G231" t="str">
        <f t="shared" ref="G231" si="1210">G230</f>
        <v>" posx="</v>
      </c>
      <c r="H231" t="str">
        <f t="shared" ref="H231" si="1211">H230</f>
        <v>" posy="</v>
      </c>
      <c r="I231" t="str">
        <f t="shared" ref="I231" si="1212">I230</f>
        <v>" dir="</v>
      </c>
      <c r="J231" t="str">
        <f t="shared" ref="J231" si="1213">J230</f>
        <v>"/&gt;</v>
      </c>
      <c r="K231" t="str">
        <f t="shared" ref="K231" si="1214">F231&amp;A231&amp;G231&amp;C231&amp;H231&amp;D231&amp;I231&amp;E231&amp;J231</f>
        <v>&lt;record id="167111" posx="760" posy="1020" dir="7"/&gt;</v>
      </c>
    </row>
    <row r="232" spans="1:11">
      <c r="A232">
        <f>Sheet1!A301</f>
        <v>167112</v>
      </c>
      <c r="B232" t="str">
        <f>Sheet1!B301</f>
        <v>天灾亡灵</v>
      </c>
      <c r="C232">
        <f>Sheet1!Q301</f>
        <v>752</v>
      </c>
      <c r="D232">
        <f>Sheet1!R301</f>
        <v>1170</v>
      </c>
      <c r="E232">
        <f>Sheet1!U301</f>
        <v>5</v>
      </c>
      <c r="F232" t="str">
        <f t="shared" ref="F232" si="1215">F231</f>
        <v>&lt;record id="</v>
      </c>
      <c r="G232" t="str">
        <f t="shared" ref="G232" si="1216">G231</f>
        <v>" posx="</v>
      </c>
      <c r="H232" t="str">
        <f t="shared" ref="H232" si="1217">H231</f>
        <v>" posy="</v>
      </c>
      <c r="I232" t="str">
        <f t="shared" ref="I232" si="1218">I231</f>
        <v>" dir="</v>
      </c>
      <c r="J232" t="str">
        <f t="shared" ref="J232" si="1219">J231</f>
        <v>"/&gt;</v>
      </c>
      <c r="K232" t="str">
        <f t="shared" ref="K232" si="1220">F232&amp;A232&amp;G232&amp;C232&amp;H232&amp;D232&amp;I232&amp;E232&amp;J232</f>
        <v>&lt;record id="167112" posx="752" posy="1170" dir="5"/&gt;</v>
      </c>
    </row>
    <row r="233" spans="1:11">
      <c r="A233">
        <f>Sheet1!A302</f>
        <v>167113</v>
      </c>
      <c r="B233" t="str">
        <f>Sheet1!B302</f>
        <v>天灾亡灵</v>
      </c>
      <c r="C233">
        <f>Sheet1!Q302</f>
        <v>678</v>
      </c>
      <c r="D233">
        <f>Sheet1!R302</f>
        <v>1087</v>
      </c>
      <c r="E233">
        <f>Sheet1!U302</f>
        <v>7</v>
      </c>
      <c r="F233" t="str">
        <f t="shared" ref="F233" si="1221">F232</f>
        <v>&lt;record id="</v>
      </c>
      <c r="G233" t="str">
        <f t="shared" ref="G233" si="1222">G232</f>
        <v>" posx="</v>
      </c>
      <c r="H233" t="str">
        <f t="shared" ref="H233" si="1223">H232</f>
        <v>" posy="</v>
      </c>
      <c r="I233" t="str">
        <f t="shared" ref="I233" si="1224">I232</f>
        <v>" dir="</v>
      </c>
      <c r="J233" t="str">
        <f t="shared" ref="J233" si="1225">J232</f>
        <v>"/&gt;</v>
      </c>
      <c r="K233" t="str">
        <f t="shared" ref="K233" si="1226">F233&amp;A233&amp;G233&amp;C233&amp;H233&amp;D233&amp;I233&amp;E233&amp;J233</f>
        <v>&lt;record id="167113" posx="678" posy="1087" dir="7"/&gt;</v>
      </c>
    </row>
    <row r="234" spans="1:11">
      <c r="A234">
        <f>Sheet1!A303</f>
        <v>167114</v>
      </c>
      <c r="B234" t="str">
        <f>Sheet1!B303</f>
        <v>小白龙</v>
      </c>
      <c r="C234">
        <f>Sheet1!Q303</f>
        <v>1069</v>
      </c>
      <c r="D234">
        <f>Sheet1!R303</f>
        <v>593</v>
      </c>
      <c r="E234">
        <f>Sheet1!U303</f>
        <v>3</v>
      </c>
      <c r="F234" t="str">
        <f t="shared" ref="F234" si="1227">F233</f>
        <v>&lt;record id="</v>
      </c>
      <c r="G234" t="str">
        <f t="shared" ref="G234" si="1228">G233</f>
        <v>" posx="</v>
      </c>
      <c r="H234" t="str">
        <f t="shared" ref="H234" si="1229">H233</f>
        <v>" posy="</v>
      </c>
      <c r="I234" t="str">
        <f t="shared" ref="I234" si="1230">I233</f>
        <v>" dir="</v>
      </c>
      <c r="J234" t="str">
        <f t="shared" ref="J234" si="1231">J233</f>
        <v>"/&gt;</v>
      </c>
      <c r="K234" t="str">
        <f t="shared" ref="K234" si="1232">F234&amp;A234&amp;G234&amp;C234&amp;H234&amp;D234&amp;I234&amp;E234&amp;J234</f>
        <v>&lt;record id="167114" posx="1069" posy="593" dir="3"/&gt;</v>
      </c>
    </row>
    <row r="235" spans="1:11">
      <c r="A235">
        <f>Sheet1!A304</f>
        <v>167115</v>
      </c>
      <c r="B235" t="str">
        <f>Sheet1!B304</f>
        <v>鬼将</v>
      </c>
      <c r="C235">
        <f>Sheet1!Q304</f>
        <v>1358</v>
      </c>
      <c r="D235">
        <f>Sheet1!R304</f>
        <v>594</v>
      </c>
      <c r="E235">
        <f>Sheet1!U304</f>
        <v>0</v>
      </c>
      <c r="F235" t="str">
        <f t="shared" ref="F235" si="1233">F234</f>
        <v>&lt;record id="</v>
      </c>
      <c r="G235" t="str">
        <f t="shared" ref="G235" si="1234">G234</f>
        <v>" posx="</v>
      </c>
      <c r="H235" t="str">
        <f t="shared" ref="H235" si="1235">H234</f>
        <v>" posy="</v>
      </c>
      <c r="I235" t="str">
        <f t="shared" ref="I235" si="1236">I234</f>
        <v>" dir="</v>
      </c>
      <c r="J235" t="str">
        <f t="shared" ref="J235" si="1237">J234</f>
        <v>"/&gt;</v>
      </c>
      <c r="K235" t="str">
        <f t="shared" ref="K235" si="1238">F235&amp;A235&amp;G235&amp;C235&amp;H235&amp;D235&amp;I235&amp;E235&amp;J235</f>
        <v>&lt;record id="167115" posx="1358" posy="594" dir="0"/&gt;</v>
      </c>
    </row>
    <row r="236" spans="1:11">
      <c r="A236">
        <f>Sheet1!A305</f>
        <v>167201</v>
      </c>
      <c r="B236" t="str">
        <f>Sheet1!B305</f>
        <v>野猪精</v>
      </c>
      <c r="C236">
        <f>Sheet1!Q305</f>
        <v>0</v>
      </c>
      <c r="D236">
        <f>Sheet1!R305</f>
        <v>0</v>
      </c>
      <c r="E236">
        <f>Sheet1!U305</f>
        <v>0</v>
      </c>
      <c r="F236" t="str">
        <f t="shared" ref="F236" si="1239">F235</f>
        <v>&lt;record id="</v>
      </c>
      <c r="G236" t="str">
        <f t="shared" ref="G236" si="1240">G235</f>
        <v>" posx="</v>
      </c>
      <c r="H236" t="str">
        <f t="shared" ref="H236" si="1241">H235</f>
        <v>" posy="</v>
      </c>
      <c r="I236" t="str">
        <f t="shared" ref="I236" si="1242">I235</f>
        <v>" dir="</v>
      </c>
      <c r="J236" t="str">
        <f t="shared" ref="J236" si="1243">J235</f>
        <v>"/&gt;</v>
      </c>
      <c r="K236" t="str">
        <f t="shared" ref="K236" si="1244">F236&amp;A236&amp;G236&amp;C236&amp;H236&amp;D236&amp;I236&amp;E236&amp;J236</f>
        <v>&lt;record id="167201" posx="0" posy="0" dir="0"/&gt;</v>
      </c>
    </row>
    <row r="237" spans="1:11">
      <c r="A237">
        <f>Sheet1!A306</f>
        <v>167202</v>
      </c>
      <c r="B237" t="str">
        <f>Sheet1!B306</f>
        <v>翻天怪</v>
      </c>
      <c r="C237">
        <f>Sheet1!Q306</f>
        <v>0</v>
      </c>
      <c r="D237">
        <f>Sheet1!R306</f>
        <v>0</v>
      </c>
      <c r="E237">
        <f>Sheet1!U306</f>
        <v>0</v>
      </c>
      <c r="F237" t="str">
        <f t="shared" ref="F237" si="1245">F236</f>
        <v>&lt;record id="</v>
      </c>
      <c r="G237" t="str">
        <f t="shared" ref="G237" si="1246">G236</f>
        <v>" posx="</v>
      </c>
      <c r="H237" t="str">
        <f t="shared" ref="H237" si="1247">H236</f>
        <v>" posy="</v>
      </c>
      <c r="I237" t="str">
        <f t="shared" ref="I237" si="1248">I236</f>
        <v>" dir="</v>
      </c>
      <c r="J237" t="str">
        <f t="shared" ref="J237" si="1249">J236</f>
        <v>"/&gt;</v>
      </c>
      <c r="K237" t="str">
        <f t="shared" ref="K237" si="1250">F237&amp;A237&amp;G237&amp;C237&amp;H237&amp;D237&amp;I237&amp;E237&amp;J237</f>
        <v>&lt;record id="167202" posx="0" posy="0" dir="0"/&gt;</v>
      </c>
    </row>
    <row r="238" spans="1:11">
      <c r="A238">
        <f>Sheet1!A307</f>
        <v>167301</v>
      </c>
      <c r="B238" t="str">
        <f>Sheet1!B307</f>
        <v>元帅</v>
      </c>
      <c r="C238">
        <f>Sheet1!Q307</f>
        <v>1635</v>
      </c>
      <c r="D238">
        <f>Sheet1!R307</f>
        <v>1429</v>
      </c>
      <c r="E238">
        <f>Sheet1!U307</f>
        <v>0</v>
      </c>
      <c r="F238" t="str">
        <f t="shared" ref="F238" si="1251">F237</f>
        <v>&lt;record id="</v>
      </c>
      <c r="G238" t="str">
        <f t="shared" ref="G238" si="1252">G237</f>
        <v>" posx="</v>
      </c>
      <c r="H238" t="str">
        <f t="shared" ref="H238" si="1253">H237</f>
        <v>" posy="</v>
      </c>
      <c r="I238" t="str">
        <f t="shared" ref="I238" si="1254">I237</f>
        <v>" dir="</v>
      </c>
      <c r="J238" t="str">
        <f t="shared" ref="J238" si="1255">J237</f>
        <v>"/&gt;</v>
      </c>
      <c r="K238" t="str">
        <f t="shared" ref="K238" si="1256">F238&amp;A238&amp;G238&amp;C238&amp;H238&amp;D238&amp;I238&amp;E238&amp;J238</f>
        <v>&lt;record id="167301" posx="1635" posy="1429" dir="0"/&gt;</v>
      </c>
    </row>
    <row r="239" spans="1:11">
      <c r="A239">
        <f>Sheet1!A308</f>
        <v>167302</v>
      </c>
      <c r="B239" t="str">
        <f>Sheet1!B308</f>
        <v>猴王</v>
      </c>
      <c r="C239">
        <f>Sheet1!Q308</f>
        <v>288</v>
      </c>
      <c r="D239">
        <f>Sheet1!R308</f>
        <v>1251</v>
      </c>
      <c r="E239">
        <f>Sheet1!U308</f>
        <v>0</v>
      </c>
      <c r="F239" t="str">
        <f t="shared" ref="F239" si="1257">F238</f>
        <v>&lt;record id="</v>
      </c>
      <c r="G239" t="str">
        <f t="shared" ref="G239" si="1258">G238</f>
        <v>" posx="</v>
      </c>
      <c r="H239" t="str">
        <f t="shared" ref="H239" si="1259">H238</f>
        <v>" posy="</v>
      </c>
      <c r="I239" t="str">
        <f t="shared" ref="I239" si="1260">I238</f>
        <v>" dir="</v>
      </c>
      <c r="J239" t="str">
        <f t="shared" ref="J239" si="1261">J238</f>
        <v>"/&gt;</v>
      </c>
      <c r="K239" t="str">
        <f t="shared" ref="K239" si="1262">F239&amp;A239&amp;G239&amp;C239&amp;H239&amp;D239&amp;I239&amp;E239&amp;J239</f>
        <v>&lt;record id="167302" posx="288" posy="1251" dir="0"/&gt;</v>
      </c>
    </row>
    <row r="240" spans="1:11">
      <c r="A240">
        <f>Sheet1!A309</f>
        <v>167303</v>
      </c>
      <c r="B240" t="str">
        <f>Sheet1!B309</f>
        <v>土地</v>
      </c>
      <c r="C240">
        <f>Sheet1!Q309</f>
        <v>577</v>
      </c>
      <c r="D240">
        <f>Sheet1!R309</f>
        <v>427</v>
      </c>
      <c r="E240">
        <f>Sheet1!U309</f>
        <v>0</v>
      </c>
      <c r="F240" t="str">
        <f t="shared" ref="F240" si="1263">F239</f>
        <v>&lt;record id="</v>
      </c>
      <c r="G240" t="str">
        <f t="shared" ref="G240" si="1264">G239</f>
        <v>" posx="</v>
      </c>
      <c r="H240" t="str">
        <f t="shared" ref="H240" si="1265">H239</f>
        <v>" posy="</v>
      </c>
      <c r="I240" t="str">
        <f t="shared" ref="I240" si="1266">I239</f>
        <v>" dir="</v>
      </c>
      <c r="J240" t="str">
        <f t="shared" ref="J240" si="1267">J239</f>
        <v>"/&gt;</v>
      </c>
      <c r="K240" t="str">
        <f t="shared" ref="K240" si="1268">F240&amp;A240&amp;G240&amp;C240&amp;H240&amp;D240&amp;I240&amp;E240&amp;J240</f>
        <v>&lt;record id="167303" posx="577" posy="427" dir="0"/&gt;</v>
      </c>
    </row>
    <row r="241" spans="1:11">
      <c r="A241">
        <f>Sheet1!A310</f>
        <v>167304</v>
      </c>
      <c r="B241" t="str">
        <f>Sheet1!B310</f>
        <v>猴王</v>
      </c>
      <c r="C241">
        <f>Sheet1!Q310</f>
        <v>486</v>
      </c>
      <c r="D241">
        <f>Sheet1!R310</f>
        <v>936</v>
      </c>
      <c r="E241">
        <f>Sheet1!U310</f>
        <v>0</v>
      </c>
      <c r="F241" t="str">
        <f t="shared" ref="F241" si="1269">F240</f>
        <v>&lt;record id="</v>
      </c>
      <c r="G241" t="str">
        <f t="shared" ref="G241" si="1270">G240</f>
        <v>" posx="</v>
      </c>
      <c r="H241" t="str">
        <f t="shared" ref="H241" si="1271">H240</f>
        <v>" posy="</v>
      </c>
      <c r="I241" t="str">
        <f t="shared" ref="I241" si="1272">I240</f>
        <v>" dir="</v>
      </c>
      <c r="J241" t="str">
        <f t="shared" ref="J241" si="1273">J240</f>
        <v>"/&gt;</v>
      </c>
      <c r="K241" t="str">
        <f t="shared" ref="K241" si="1274">F241&amp;A241&amp;G241&amp;C241&amp;H241&amp;D241&amp;I241&amp;E241&amp;J241</f>
        <v>&lt;record id="167304" posx="486" posy="936" dir="0"/&gt;</v>
      </c>
    </row>
    <row r="242" spans="1:11">
      <c r="A242">
        <f>Sheet1!A311</f>
        <v>167305</v>
      </c>
      <c r="B242" t="str">
        <f>Sheet1!B311</f>
        <v>土地亲信</v>
      </c>
      <c r="C242">
        <f>Sheet1!Q311</f>
        <v>794</v>
      </c>
      <c r="D242">
        <f>Sheet1!R311</f>
        <v>807</v>
      </c>
      <c r="E242">
        <f>Sheet1!U311</f>
        <v>0</v>
      </c>
      <c r="F242" t="str">
        <f t="shared" ref="F242" si="1275">F241</f>
        <v>&lt;record id="</v>
      </c>
      <c r="G242" t="str">
        <f t="shared" ref="G242" si="1276">G241</f>
        <v>" posx="</v>
      </c>
      <c r="H242" t="str">
        <f t="shared" ref="H242" si="1277">H241</f>
        <v>" posy="</v>
      </c>
      <c r="I242" t="str">
        <f t="shared" ref="I242" si="1278">I241</f>
        <v>" dir="</v>
      </c>
      <c r="J242" t="str">
        <f t="shared" ref="J242" si="1279">J241</f>
        <v>"/&gt;</v>
      </c>
      <c r="K242" t="str">
        <f t="shared" ref="K242" si="1280">F242&amp;A242&amp;G242&amp;C242&amp;H242&amp;D242&amp;I242&amp;E242&amp;J242</f>
        <v>&lt;record id="167305" posx="794" posy="807" dir="0"/&gt;</v>
      </c>
    </row>
    <row r="243" spans="1:11">
      <c r="A243">
        <f>Sheet1!A312</f>
        <v>167401</v>
      </c>
      <c r="B243" t="str">
        <f>Sheet1!B312</f>
        <v>小白龙</v>
      </c>
      <c r="C243">
        <f>Sheet1!Q312</f>
        <v>602</v>
      </c>
      <c r="D243">
        <f>Sheet1!R312</f>
        <v>354</v>
      </c>
      <c r="E243">
        <f>Sheet1!U312</f>
        <v>0</v>
      </c>
      <c r="F243" t="str">
        <f t="shared" ref="F243" si="1281">F242</f>
        <v>&lt;record id="</v>
      </c>
      <c r="G243" t="str">
        <f t="shared" ref="G243" si="1282">G242</f>
        <v>" posx="</v>
      </c>
      <c r="H243" t="str">
        <f t="shared" ref="H243" si="1283">H242</f>
        <v>" posy="</v>
      </c>
      <c r="I243" t="str">
        <f t="shared" ref="I243" si="1284">I242</f>
        <v>" dir="</v>
      </c>
      <c r="J243" t="str">
        <f t="shared" ref="J243" si="1285">J242</f>
        <v>"/&gt;</v>
      </c>
      <c r="K243" t="str">
        <f t="shared" ref="K243" si="1286">F243&amp;A243&amp;G243&amp;C243&amp;H243&amp;D243&amp;I243&amp;E243&amp;J243</f>
        <v>&lt;record id="167401" posx="602" posy="354" dir="0"/&gt;</v>
      </c>
    </row>
    <row r="244" spans="1:11">
      <c r="A244">
        <f>Sheet1!A313</f>
        <v>167402</v>
      </c>
      <c r="B244" t="str">
        <f>Sheet1!B313</f>
        <v>亨利</v>
      </c>
      <c r="C244">
        <f>Sheet1!Q313</f>
        <v>0</v>
      </c>
      <c r="D244">
        <f>Sheet1!R313</f>
        <v>0</v>
      </c>
      <c r="E244">
        <f>Sheet1!U313</f>
        <v>0</v>
      </c>
      <c r="F244" t="str">
        <f t="shared" ref="F244" si="1287">F243</f>
        <v>&lt;record id="</v>
      </c>
      <c r="G244" t="str">
        <f t="shared" ref="G244" si="1288">G243</f>
        <v>" posx="</v>
      </c>
      <c r="H244" t="str">
        <f t="shared" ref="H244" si="1289">H243</f>
        <v>" posy="</v>
      </c>
      <c r="I244" t="str">
        <f t="shared" ref="I244" si="1290">I243</f>
        <v>" dir="</v>
      </c>
      <c r="J244" t="str">
        <f t="shared" ref="J244" si="1291">J243</f>
        <v>"/&gt;</v>
      </c>
      <c r="K244" t="str">
        <f t="shared" ref="K244" si="1292">F244&amp;A244&amp;G244&amp;C244&amp;H244&amp;D244&amp;I244&amp;E244&amp;J244</f>
        <v>&lt;record id="167402" posx="0" posy="0" dir="0"/&gt;</v>
      </c>
    </row>
    <row r="245" spans="1:11">
      <c r="A245">
        <f>Sheet1!A314</f>
        <v>167403</v>
      </c>
      <c r="B245" t="str">
        <f>Sheet1!B314</f>
        <v>查尔斯</v>
      </c>
      <c r="C245">
        <f>Sheet1!Q314</f>
        <v>0</v>
      </c>
      <c r="D245">
        <f>Sheet1!R314</f>
        <v>0</v>
      </c>
      <c r="E245">
        <f>Sheet1!U314</f>
        <v>0</v>
      </c>
      <c r="F245" t="str">
        <f t="shared" ref="F245" si="1293">F244</f>
        <v>&lt;record id="</v>
      </c>
      <c r="G245" t="str">
        <f t="shared" ref="G245" si="1294">G244</f>
        <v>" posx="</v>
      </c>
      <c r="H245" t="str">
        <f t="shared" ref="H245" si="1295">H244</f>
        <v>" posy="</v>
      </c>
      <c r="I245" t="str">
        <f t="shared" ref="I245" si="1296">I244</f>
        <v>" dir="</v>
      </c>
      <c r="J245" t="str">
        <f t="shared" ref="J245" si="1297">J244</f>
        <v>"/&gt;</v>
      </c>
      <c r="K245" t="str">
        <f t="shared" ref="K245" si="1298">F245&amp;A245&amp;G245&amp;C245&amp;H245&amp;D245&amp;I245&amp;E245&amp;J245</f>
        <v>&lt;record id="167403" posx="0" posy="0" dir="0"/&gt;</v>
      </c>
    </row>
    <row r="246" spans="1:11">
      <c r="A246">
        <f>Sheet1!A315</f>
        <v>167404</v>
      </c>
      <c r="B246" t="str">
        <f>Sheet1!B315</f>
        <v>林老汉</v>
      </c>
      <c r="C246">
        <f>Sheet1!Q315</f>
        <v>0</v>
      </c>
      <c r="D246">
        <f>Sheet1!R315</f>
        <v>0</v>
      </c>
      <c r="E246">
        <f>Sheet1!U315</f>
        <v>0</v>
      </c>
      <c r="F246" t="str">
        <f t="shared" ref="F246" si="1299">F245</f>
        <v>&lt;record id="</v>
      </c>
      <c r="G246" t="str">
        <f t="shared" ref="G246" si="1300">G245</f>
        <v>" posx="</v>
      </c>
      <c r="H246" t="str">
        <f t="shared" ref="H246" si="1301">H245</f>
        <v>" posy="</v>
      </c>
      <c r="I246" t="str">
        <f t="shared" ref="I246" si="1302">I245</f>
        <v>" dir="</v>
      </c>
      <c r="J246" t="str">
        <f t="shared" ref="J246" si="1303">J245</f>
        <v>"/&gt;</v>
      </c>
      <c r="K246" t="str">
        <f t="shared" ref="K246" si="1304">F246&amp;A246&amp;G246&amp;C246&amp;H246&amp;D246&amp;I246&amp;E246&amp;J246</f>
        <v>&lt;record id="167404" posx="0" posy="0" dir="0"/&gt;</v>
      </c>
    </row>
    <row r="247" spans="1:11">
      <c r="A247">
        <f>Sheet1!A316</f>
        <v>167405</v>
      </c>
      <c r="B247" t="str">
        <f>Sheet1!B316</f>
        <v>小白龙</v>
      </c>
      <c r="C247">
        <f>Sheet1!Q316</f>
        <v>0</v>
      </c>
      <c r="D247">
        <f>Sheet1!R316</f>
        <v>0</v>
      </c>
      <c r="E247">
        <f>Sheet1!U316</f>
        <v>0</v>
      </c>
      <c r="F247" t="str">
        <f t="shared" ref="F247" si="1305">F246</f>
        <v>&lt;record id="</v>
      </c>
      <c r="G247" t="str">
        <f t="shared" ref="G247" si="1306">G246</f>
        <v>" posx="</v>
      </c>
      <c r="H247" t="str">
        <f t="shared" ref="H247" si="1307">H246</f>
        <v>" posy="</v>
      </c>
      <c r="I247" t="str">
        <f t="shared" ref="I247" si="1308">I246</f>
        <v>" dir="</v>
      </c>
      <c r="J247" t="str">
        <f t="shared" ref="J247" si="1309">J246</f>
        <v>"/&gt;</v>
      </c>
      <c r="K247" t="str">
        <f t="shared" ref="K247" si="1310">F247&amp;A247&amp;G247&amp;C247&amp;H247&amp;D247&amp;I247&amp;E247&amp;J247</f>
        <v>&lt;record id="167405" posx="0" posy="0" dir="0"/&gt;</v>
      </c>
    </row>
    <row r="248" spans="1:11">
      <c r="A248">
        <f>Sheet1!A317</f>
        <v>167501</v>
      </c>
      <c r="B248" t="str">
        <f>Sheet1!B317</f>
        <v>大法官</v>
      </c>
      <c r="C248">
        <f>Sheet1!Q317</f>
        <v>0</v>
      </c>
      <c r="D248">
        <f>Sheet1!R317</f>
        <v>0</v>
      </c>
      <c r="E248">
        <f>Sheet1!U317</f>
        <v>0</v>
      </c>
      <c r="F248" t="str">
        <f t="shared" ref="F248" si="1311">F247</f>
        <v>&lt;record id="</v>
      </c>
      <c r="G248" t="str">
        <f t="shared" ref="G248" si="1312">G247</f>
        <v>" posx="</v>
      </c>
      <c r="H248" t="str">
        <f t="shared" ref="H248" si="1313">H247</f>
        <v>" posy="</v>
      </c>
      <c r="I248" t="str">
        <f t="shared" ref="I248" si="1314">I247</f>
        <v>" dir="</v>
      </c>
      <c r="J248" t="str">
        <f t="shared" ref="J248" si="1315">J247</f>
        <v>"/&gt;</v>
      </c>
      <c r="K248" t="str">
        <f t="shared" ref="K248" si="1316">F248&amp;A248&amp;G248&amp;C248&amp;H248&amp;D248&amp;I248&amp;E248&amp;J248</f>
        <v>&lt;record id="167501" posx="0" posy="0" dir="0"/&gt;</v>
      </c>
    </row>
    <row r="249" spans="1:11">
      <c r="A249">
        <f>Sheet1!A318</f>
        <v>167502</v>
      </c>
      <c r="B249" t="str">
        <f>Sheet1!B318</f>
        <v>猴王</v>
      </c>
      <c r="C249">
        <f>Sheet1!Q318</f>
        <v>0</v>
      </c>
      <c r="D249">
        <f>Sheet1!R318</f>
        <v>0</v>
      </c>
      <c r="E249">
        <f>Sheet1!U318</f>
        <v>0</v>
      </c>
      <c r="F249" t="str">
        <f t="shared" ref="F249" si="1317">F248</f>
        <v>&lt;record id="</v>
      </c>
      <c r="G249" t="str">
        <f t="shared" ref="G249" si="1318">G248</f>
        <v>" posx="</v>
      </c>
      <c r="H249" t="str">
        <f t="shared" ref="H249" si="1319">H248</f>
        <v>" posy="</v>
      </c>
      <c r="I249" t="str">
        <f t="shared" ref="I249" si="1320">I248</f>
        <v>" dir="</v>
      </c>
      <c r="J249" t="str">
        <f t="shared" ref="J249" si="1321">J248</f>
        <v>"/&gt;</v>
      </c>
      <c r="K249" t="str">
        <f t="shared" ref="K249" si="1322">F249&amp;A249&amp;G249&amp;C249&amp;H249&amp;D249&amp;I249&amp;E249&amp;J249</f>
        <v>&lt;record id="167502" posx="0" posy="0" dir="0"/&gt;</v>
      </c>
    </row>
    <row r="250" spans="1:11">
      <c r="A250">
        <f>Sheet1!A319</f>
        <v>167503</v>
      </c>
      <c r="B250" t="str">
        <f>Sheet1!B319</f>
        <v>陪审员</v>
      </c>
      <c r="C250">
        <f>Sheet1!Q319</f>
        <v>0</v>
      </c>
      <c r="D250">
        <f>Sheet1!R319</f>
        <v>0</v>
      </c>
      <c r="E250">
        <f>Sheet1!U319</f>
        <v>0</v>
      </c>
      <c r="F250" t="str">
        <f t="shared" ref="F250" si="1323">F249</f>
        <v>&lt;record id="</v>
      </c>
      <c r="G250" t="str">
        <f t="shared" ref="G250" si="1324">G249</f>
        <v>" posx="</v>
      </c>
      <c r="H250" t="str">
        <f t="shared" ref="H250" si="1325">H249</f>
        <v>" posy="</v>
      </c>
      <c r="I250" t="str">
        <f t="shared" ref="I250" si="1326">I249</f>
        <v>" dir="</v>
      </c>
      <c r="J250" t="str">
        <f t="shared" ref="J250" si="1327">J249</f>
        <v>"/&gt;</v>
      </c>
      <c r="K250" t="str">
        <f t="shared" ref="K250" si="1328">F250&amp;A250&amp;G250&amp;C250&amp;H250&amp;D250&amp;I250&amp;E250&amp;J250</f>
        <v>&lt;record id="167503" posx="0" posy="0" dir="0"/&gt;</v>
      </c>
    </row>
    <row r="251" spans="1:11">
      <c r="A251">
        <f>Sheet1!A320</f>
        <v>167504</v>
      </c>
      <c r="B251" t="str">
        <f>Sheet1!B320</f>
        <v>元帅</v>
      </c>
      <c r="C251">
        <f>Sheet1!Q320</f>
        <v>0</v>
      </c>
      <c r="D251">
        <f>Sheet1!R320</f>
        <v>0</v>
      </c>
      <c r="E251">
        <f>Sheet1!U320</f>
        <v>1</v>
      </c>
      <c r="F251" t="str">
        <f t="shared" ref="F251" si="1329">F250</f>
        <v>&lt;record id="</v>
      </c>
      <c r="G251" t="str">
        <f t="shared" ref="G251" si="1330">G250</f>
        <v>" posx="</v>
      </c>
      <c r="H251" t="str">
        <f t="shared" ref="H251" si="1331">H250</f>
        <v>" posy="</v>
      </c>
      <c r="I251" t="str">
        <f t="shared" ref="I251" si="1332">I250</f>
        <v>" dir="</v>
      </c>
      <c r="J251" t="str">
        <f t="shared" ref="J251" si="1333">J250</f>
        <v>"/&gt;</v>
      </c>
      <c r="K251" t="str">
        <f t="shared" ref="K251" si="1334">F251&amp;A251&amp;G251&amp;C251&amp;H251&amp;D251&amp;I251&amp;E251&amp;J251</f>
        <v>&lt;record id="167504" posx="0" posy="0" dir="1"/&gt;</v>
      </c>
    </row>
    <row r="252" spans="1:11">
      <c r="A252">
        <f>Sheet1!A321</f>
        <v>167505</v>
      </c>
      <c r="B252" t="str">
        <f>Sheet1!B321</f>
        <v>陪审员</v>
      </c>
      <c r="C252">
        <f>Sheet1!Q321</f>
        <v>0</v>
      </c>
      <c r="D252">
        <f>Sheet1!R321</f>
        <v>0</v>
      </c>
      <c r="E252">
        <f>Sheet1!U321</f>
        <v>0</v>
      </c>
      <c r="F252" t="str">
        <f t="shared" ref="F252" si="1335">F251</f>
        <v>&lt;record id="</v>
      </c>
      <c r="G252" t="str">
        <f t="shared" ref="G252" si="1336">G251</f>
        <v>" posx="</v>
      </c>
      <c r="H252" t="str">
        <f t="shared" ref="H252" si="1337">H251</f>
        <v>" posy="</v>
      </c>
      <c r="I252" t="str">
        <f t="shared" ref="I252" si="1338">I251</f>
        <v>" dir="</v>
      </c>
      <c r="J252" t="str">
        <f t="shared" ref="J252:J257" si="1339">J251</f>
        <v>"/&gt;</v>
      </c>
      <c r="K252" t="str">
        <f t="shared" ref="K252" si="1340">F252&amp;A252&amp;G252&amp;C252&amp;H252&amp;D252&amp;I252&amp;E252&amp;J252</f>
        <v>&lt;record id="167505" posx="0" posy="0" dir="0"/&gt;</v>
      </c>
    </row>
    <row r="253" spans="1:11">
      <c r="A253">
        <f>Sheet1!A322</f>
        <v>167506</v>
      </c>
      <c r="B253" t="str">
        <f>Sheet1!B322</f>
        <v>陪审员</v>
      </c>
      <c r="C253">
        <f>Sheet1!Q322</f>
        <v>0</v>
      </c>
      <c r="D253">
        <f>Sheet1!R322</f>
        <v>0</v>
      </c>
      <c r="E253">
        <f>Sheet1!U322</f>
        <v>0</v>
      </c>
      <c r="F253" t="str">
        <f t="shared" ref="F253" si="1341">F252</f>
        <v>&lt;record id="</v>
      </c>
      <c r="G253" t="str">
        <f t="shared" ref="G253:G258" si="1342">G252</f>
        <v>" posx="</v>
      </c>
      <c r="H253" t="str">
        <f t="shared" ref="H253" si="1343">H252</f>
        <v>" posy="</v>
      </c>
      <c r="I253" t="str">
        <f t="shared" ref="I253" si="1344">I252</f>
        <v>" dir="</v>
      </c>
      <c r="J253" t="str">
        <f t="shared" si="1339"/>
        <v>"/&gt;</v>
      </c>
      <c r="K253" t="str">
        <f t="shared" ref="K253:K258" si="1345">F253&amp;A253&amp;G253&amp;C253&amp;H253&amp;D253&amp;I253&amp;E253&amp;J253</f>
        <v>&lt;record id="167506" posx="0" posy="0" dir="0"/&gt;</v>
      </c>
    </row>
    <row r="254" spans="1:11">
      <c r="A254">
        <f>Sheet1!A323</f>
        <v>167507</v>
      </c>
      <c r="B254" t="str">
        <f>Sheet1!B323</f>
        <v>陪审员</v>
      </c>
      <c r="C254">
        <f>Sheet1!Q323</f>
        <v>0</v>
      </c>
      <c r="D254">
        <f>Sheet1!R323</f>
        <v>0</v>
      </c>
      <c r="E254">
        <f>Sheet1!U323</f>
        <v>1</v>
      </c>
      <c r="F254" t="str">
        <f t="shared" ref="F254" si="1346">F253</f>
        <v>&lt;record id="</v>
      </c>
      <c r="G254" t="str">
        <f t="shared" si="1342"/>
        <v>" posx="</v>
      </c>
      <c r="H254" t="str">
        <f t="shared" ref="H254" si="1347">H253</f>
        <v>" posy="</v>
      </c>
      <c r="I254" t="str">
        <f t="shared" ref="I254:I257" si="1348">I253</f>
        <v>" dir="</v>
      </c>
      <c r="J254" t="str">
        <f t="shared" si="1339"/>
        <v>"/&gt;</v>
      </c>
      <c r="K254" t="str">
        <f t="shared" si="1345"/>
        <v>&lt;record id="167507" posx="0" posy="0" dir="1"/&gt;</v>
      </c>
    </row>
    <row r="255" spans="1:11">
      <c r="A255">
        <f>Sheet1!A324</f>
        <v>167508</v>
      </c>
      <c r="B255" t="str">
        <f>Sheet1!B324</f>
        <v>陪审员</v>
      </c>
      <c r="C255">
        <f>Sheet1!Q324</f>
        <v>0</v>
      </c>
      <c r="D255">
        <f>Sheet1!R324</f>
        <v>0</v>
      </c>
      <c r="E255">
        <f>Sheet1!U324</f>
        <v>2</v>
      </c>
      <c r="F255" t="str">
        <f t="shared" ref="F255:F258" si="1349">F254</f>
        <v>&lt;record id="</v>
      </c>
      <c r="G255" t="str">
        <f t="shared" si="1342"/>
        <v>" posx="</v>
      </c>
      <c r="H255" t="str">
        <f t="shared" ref="H255:H257" si="1350">H254</f>
        <v>" posy="</v>
      </c>
      <c r="I255" t="str">
        <f t="shared" si="1348"/>
        <v>" dir="</v>
      </c>
      <c r="J255" t="str">
        <f t="shared" si="1339"/>
        <v>"/&gt;</v>
      </c>
      <c r="K255" t="str">
        <f t="shared" si="1345"/>
        <v>&lt;record id="167508" posx="0" posy="0" dir="2"/&gt;</v>
      </c>
    </row>
    <row r="256" spans="1:11">
      <c r="A256">
        <f>Sheet1!A325</f>
        <v>167509</v>
      </c>
      <c r="B256" t="str">
        <f>Sheet1!B325</f>
        <v>炎魔</v>
      </c>
      <c r="C256">
        <f>Sheet1!Q325</f>
        <v>0</v>
      </c>
      <c r="D256">
        <f>Sheet1!R325</f>
        <v>0</v>
      </c>
      <c r="E256">
        <f>Sheet1!U325</f>
        <v>3</v>
      </c>
      <c r="F256" t="str">
        <f t="shared" si="1349"/>
        <v>&lt;record id="</v>
      </c>
      <c r="G256" t="str">
        <f t="shared" si="1342"/>
        <v>" posx="</v>
      </c>
      <c r="H256" t="str">
        <f t="shared" si="1350"/>
        <v>" posy="</v>
      </c>
      <c r="I256" t="str">
        <f t="shared" si="1348"/>
        <v>" dir="</v>
      </c>
      <c r="J256" t="str">
        <f t="shared" si="1339"/>
        <v>"/&gt;</v>
      </c>
      <c r="K256" t="str">
        <f t="shared" si="1345"/>
        <v>&lt;record id="167509" posx="0" posy="0" dir="3"/&gt;</v>
      </c>
    </row>
    <row r="257" spans="1:11">
      <c r="A257">
        <f>Sheet1!A326</f>
        <v>167510</v>
      </c>
      <c r="B257" t="str">
        <f>Sheet1!B326</f>
        <v>袁守城</v>
      </c>
      <c r="C257">
        <f>Sheet1!Q326</f>
        <v>0</v>
      </c>
      <c r="D257">
        <f>Sheet1!R326</f>
        <v>0</v>
      </c>
      <c r="E257">
        <f>Sheet1!U326</f>
        <v>4</v>
      </c>
      <c r="F257" t="str">
        <f t="shared" si="1349"/>
        <v>&lt;record id="</v>
      </c>
      <c r="G257" t="str">
        <f t="shared" si="1342"/>
        <v>" posx="</v>
      </c>
      <c r="H257" t="str">
        <f t="shared" si="1350"/>
        <v>" posy="</v>
      </c>
      <c r="I257" t="str">
        <f t="shared" si="1348"/>
        <v>" dir="</v>
      </c>
      <c r="J257" t="str">
        <f t="shared" si="1339"/>
        <v>"/&gt;</v>
      </c>
      <c r="K257" t="str">
        <f t="shared" si="1345"/>
        <v>&lt;record id="167510" posx="0" posy="0" dir="4"/&gt;</v>
      </c>
    </row>
    <row r="258" spans="1:11">
      <c r="A258">
        <f>Sheet1!A327</f>
        <v>167511</v>
      </c>
      <c r="B258" t="str">
        <f>Sheet1!B327</f>
        <v>测试NPC</v>
      </c>
      <c r="C258">
        <f>Sheet1!Q327</f>
        <v>0</v>
      </c>
      <c r="D258">
        <f>Sheet1!R327</f>
        <v>0</v>
      </c>
      <c r="E258">
        <f>Sheet1!U327</f>
        <v>5</v>
      </c>
      <c r="F258" t="str">
        <f t="shared" si="1349"/>
        <v>&lt;record id="</v>
      </c>
      <c r="G258" t="str">
        <f t="shared" si="1342"/>
        <v>" posx="</v>
      </c>
      <c r="H258" t="str">
        <f t="shared" ref="H258" si="1351">H257</f>
        <v>" posy="</v>
      </c>
      <c r="I258" t="str">
        <f t="shared" ref="I258" si="1352">I257</f>
        <v>" dir="</v>
      </c>
      <c r="J258" t="str">
        <f t="shared" ref="J258" si="1353">J257</f>
        <v>"/&gt;</v>
      </c>
      <c r="K258" t="str">
        <f t="shared" si="1345"/>
        <v>&lt;record id="167511" posx="0" posy="0" dir="5"/&gt;</v>
      </c>
    </row>
    <row r="259" spans="1:11">
      <c r="A259">
        <f>Sheet1!A328</f>
        <v>167512</v>
      </c>
      <c r="B259" t="str">
        <f>Sheet1!B328</f>
        <v>测试NPC</v>
      </c>
      <c r="C259">
        <f>Sheet1!Q328</f>
        <v>0</v>
      </c>
      <c r="D259">
        <f>Sheet1!R328</f>
        <v>0</v>
      </c>
      <c r="E259">
        <f>Sheet1!U328</f>
        <v>6</v>
      </c>
      <c r="F259" t="str">
        <f t="shared" ref="F259" si="1354">F258</f>
        <v>&lt;record id="</v>
      </c>
      <c r="G259" t="str">
        <f t="shared" ref="G259" si="1355">G258</f>
        <v>" posx="</v>
      </c>
      <c r="H259" t="str">
        <f t="shared" ref="H259" si="1356">H258</f>
        <v>" posy="</v>
      </c>
      <c r="I259" t="str">
        <f t="shared" ref="I259" si="1357">I258</f>
        <v>" dir="</v>
      </c>
      <c r="J259" t="str">
        <f t="shared" ref="J259" si="1358">J258</f>
        <v>"/&gt;</v>
      </c>
      <c r="K259" t="str">
        <f t="shared" ref="K259" si="1359">F259&amp;A259&amp;G259&amp;C259&amp;H259&amp;D259&amp;I259&amp;E259&amp;J259</f>
        <v>&lt;record id="167512" posx="0" posy="0" dir="6"/&gt;</v>
      </c>
    </row>
    <row r="260" spans="1:11">
      <c r="A260">
        <f>Sheet1!A329</f>
        <v>167513</v>
      </c>
      <c r="B260" t="str">
        <f>Sheet1!B329</f>
        <v>陈员外</v>
      </c>
      <c r="C260">
        <f>Sheet1!Q329</f>
        <v>0</v>
      </c>
      <c r="D260">
        <f>Sheet1!R329</f>
        <v>0</v>
      </c>
      <c r="E260">
        <f>Sheet1!U329</f>
        <v>0</v>
      </c>
      <c r="F260" t="str">
        <f t="shared" ref="F260" si="1360">F259</f>
        <v>&lt;record id="</v>
      </c>
      <c r="G260" t="str">
        <f t="shared" ref="G260" si="1361">G259</f>
        <v>" posx="</v>
      </c>
      <c r="H260" t="str">
        <f t="shared" ref="H260" si="1362">H259</f>
        <v>" posy="</v>
      </c>
      <c r="I260" t="str">
        <f t="shared" ref="I260" si="1363">I259</f>
        <v>" dir="</v>
      </c>
      <c r="J260" t="str">
        <f t="shared" ref="J260" si="1364">J259</f>
        <v>"/&gt;</v>
      </c>
      <c r="K260" t="str">
        <f t="shared" ref="K260" si="1365">F260&amp;A260&amp;G260&amp;C260&amp;H260&amp;D260&amp;I260&amp;E260&amp;J260</f>
        <v>&lt;record id="167513" posx="0" posy="0" dir="0"/&gt;</v>
      </c>
    </row>
    <row r="261" spans="1:11">
      <c r="A261">
        <f>Sheet1!A330</f>
        <v>167514</v>
      </c>
      <c r="B261" t="str">
        <f>Sheet1!B330</f>
        <v>小德</v>
      </c>
      <c r="C261">
        <f>Sheet1!Q330</f>
        <v>0</v>
      </c>
      <c r="D261">
        <f>Sheet1!R330</f>
        <v>0</v>
      </c>
      <c r="E261">
        <f>Sheet1!U330</f>
        <v>0</v>
      </c>
      <c r="F261" t="str">
        <f t="shared" ref="F261" si="1366">F260</f>
        <v>&lt;record id="</v>
      </c>
      <c r="G261" t="str">
        <f t="shared" ref="G261" si="1367">G260</f>
        <v>" posx="</v>
      </c>
      <c r="H261" t="str">
        <f t="shared" ref="H261" si="1368">H260</f>
        <v>" posy="</v>
      </c>
      <c r="I261" t="str">
        <f t="shared" ref="I261" si="1369">I260</f>
        <v>" dir="</v>
      </c>
      <c r="J261" t="str">
        <f t="shared" ref="J261" si="1370">J260</f>
        <v>"/&gt;</v>
      </c>
      <c r="K261" t="str">
        <f t="shared" ref="K261" si="1371">F261&amp;A261&amp;G261&amp;C261&amp;H261&amp;D261&amp;I261&amp;E261&amp;J261</f>
        <v>&lt;record id="167514" posx="0" posy="0" dir="0"/&gt;</v>
      </c>
    </row>
    <row r="262" spans="1:11">
      <c r="A262">
        <f>Sheet1!A331</f>
        <v>167515</v>
      </c>
      <c r="B262" t="str">
        <f>Sheet1!B331</f>
        <v>猴王</v>
      </c>
      <c r="C262">
        <f>Sheet1!Q331</f>
        <v>0</v>
      </c>
      <c r="D262">
        <f>Sheet1!R331</f>
        <v>0</v>
      </c>
      <c r="E262">
        <f>Sheet1!U331</f>
        <v>0</v>
      </c>
      <c r="F262" t="str">
        <f t="shared" ref="F262" si="1372">F261</f>
        <v>&lt;record id="</v>
      </c>
      <c r="G262" t="str">
        <f t="shared" ref="G262" si="1373">G261</f>
        <v>" posx="</v>
      </c>
      <c r="H262" t="str">
        <f t="shared" ref="H262" si="1374">H261</f>
        <v>" posy="</v>
      </c>
      <c r="I262" t="str">
        <f t="shared" ref="I262" si="1375">I261</f>
        <v>" dir="</v>
      </c>
      <c r="J262" t="str">
        <f t="shared" ref="J262" si="1376">J261</f>
        <v>"/&gt;</v>
      </c>
      <c r="K262" t="str">
        <f t="shared" ref="K262" si="1377">F262&amp;A262&amp;G262&amp;C262&amp;H262&amp;D262&amp;I262&amp;E262&amp;J262</f>
        <v>&lt;record id="167515" posx="0" posy="0" dir="0"/&gt;</v>
      </c>
    </row>
    <row r="263" spans="1:11">
      <c r="A263">
        <f>Sheet1!A332</f>
        <v>167801</v>
      </c>
      <c r="B263" t="str">
        <f>Sheet1!B332</f>
        <v>魔物斥候</v>
      </c>
      <c r="C263">
        <f>Sheet1!Q332</f>
        <v>676</v>
      </c>
      <c r="D263">
        <f>Sheet1!R332</f>
        <v>667</v>
      </c>
      <c r="E263">
        <f>Sheet1!U332</f>
        <v>3</v>
      </c>
      <c r="F263" t="str">
        <f t="shared" ref="F263" si="1378">F262</f>
        <v>&lt;record id="</v>
      </c>
      <c r="G263" t="str">
        <f t="shared" ref="G263" si="1379">G262</f>
        <v>" posx="</v>
      </c>
      <c r="H263" t="str">
        <f t="shared" ref="H263" si="1380">H262</f>
        <v>" posy="</v>
      </c>
      <c r="I263" t="str">
        <f t="shared" ref="I263" si="1381">I262</f>
        <v>" dir="</v>
      </c>
      <c r="J263" t="str">
        <f t="shared" ref="J263" si="1382">J262</f>
        <v>"/&gt;</v>
      </c>
      <c r="K263" t="str">
        <f t="shared" ref="K263" si="1383">F263&amp;A263&amp;G263&amp;C263&amp;H263&amp;D263&amp;I263&amp;E263&amp;J263</f>
        <v>&lt;record id="167801" posx="676" posy="667" dir="3"/&gt;</v>
      </c>
    </row>
    <row r="264" spans="1:11">
      <c r="A264">
        <f>Sheet1!A333</f>
        <v>167802</v>
      </c>
      <c r="B264" t="str">
        <f>Sheet1!B333</f>
        <v>神秘隐士</v>
      </c>
      <c r="C264">
        <f>Sheet1!Q333</f>
        <v>466</v>
      </c>
      <c r="D264">
        <f>Sheet1!R333</f>
        <v>484</v>
      </c>
      <c r="E264">
        <f>Sheet1!U333</f>
        <v>3</v>
      </c>
      <c r="F264" t="str">
        <f t="shared" ref="F264" si="1384">F263</f>
        <v>&lt;record id="</v>
      </c>
      <c r="G264" t="str">
        <f t="shared" ref="G264" si="1385">G263</f>
        <v>" posx="</v>
      </c>
      <c r="H264" t="str">
        <f t="shared" ref="H264" si="1386">H263</f>
        <v>" posy="</v>
      </c>
      <c r="I264" t="str">
        <f t="shared" ref="I264" si="1387">I263</f>
        <v>" dir="</v>
      </c>
      <c r="J264" t="str">
        <f t="shared" ref="J264" si="1388">J263</f>
        <v>"/&gt;</v>
      </c>
      <c r="K264" t="str">
        <f t="shared" ref="K264" si="1389">F264&amp;A264&amp;G264&amp;C264&amp;H264&amp;D264&amp;I264&amp;E264&amp;J264</f>
        <v>&lt;record id="167802" posx="466" posy="484" dir="3"/&gt;</v>
      </c>
    </row>
    <row r="265" spans="1:11">
      <c r="A265">
        <f>Sheet1!A334</f>
        <v>167803</v>
      </c>
      <c r="B265" t="str">
        <f>Sheet1!B334</f>
        <v>隐士</v>
      </c>
      <c r="C265">
        <f>Sheet1!Q334</f>
        <v>468</v>
      </c>
      <c r="D265">
        <f>Sheet1!R334</f>
        <v>484</v>
      </c>
      <c r="E265">
        <f>Sheet1!U334</f>
        <v>3</v>
      </c>
      <c r="F265" t="str">
        <f t="shared" ref="F265" si="1390">F264</f>
        <v>&lt;record id="</v>
      </c>
      <c r="G265" t="str">
        <f t="shared" ref="G265" si="1391">G264</f>
        <v>" posx="</v>
      </c>
      <c r="H265" t="str">
        <f t="shared" ref="H265" si="1392">H264</f>
        <v>" posy="</v>
      </c>
      <c r="I265" t="str">
        <f t="shared" ref="I265" si="1393">I264</f>
        <v>" dir="</v>
      </c>
      <c r="J265" t="str">
        <f t="shared" ref="J265" si="1394">J264</f>
        <v>"/&gt;</v>
      </c>
      <c r="K265" t="str">
        <f t="shared" ref="K265" si="1395">F265&amp;A265&amp;G265&amp;C265&amp;H265&amp;D265&amp;I265&amp;E265&amp;J265</f>
        <v>&lt;record id="167803" posx="468" posy="484" dir="3"/&gt;</v>
      </c>
    </row>
    <row r="266" spans="1:11">
      <c r="A266">
        <f>Sheet1!A335</f>
        <v>167804</v>
      </c>
      <c r="B266" t="str">
        <f>Sheet1!B335</f>
        <v>地中海</v>
      </c>
      <c r="C266">
        <f>Sheet1!Q335</f>
        <v>193</v>
      </c>
      <c r="D266">
        <f>Sheet1!R335</f>
        <v>680</v>
      </c>
      <c r="E266">
        <f>Sheet1!U335</f>
        <v>3</v>
      </c>
      <c r="F266" t="str">
        <f t="shared" ref="F266" si="1396">F265</f>
        <v>&lt;record id="</v>
      </c>
      <c r="G266" t="str">
        <f t="shared" ref="G266" si="1397">G265</f>
        <v>" posx="</v>
      </c>
      <c r="H266" t="str">
        <f t="shared" ref="H266" si="1398">H265</f>
        <v>" posy="</v>
      </c>
      <c r="I266" t="str">
        <f t="shared" ref="I266" si="1399">I265</f>
        <v>" dir="</v>
      </c>
      <c r="J266" t="str">
        <f t="shared" ref="J266" si="1400">J265</f>
        <v>"/&gt;</v>
      </c>
      <c r="K266" t="str">
        <f t="shared" ref="K266" si="1401">F266&amp;A266&amp;G266&amp;C266&amp;H266&amp;D266&amp;I266&amp;E266&amp;J266</f>
        <v>&lt;record id="167804" posx="193" posy="680" dir="3"/&gt;</v>
      </c>
    </row>
    <row r="267" spans="1:11">
      <c r="A267">
        <f>Sheet1!A336</f>
        <v>167901</v>
      </c>
      <c r="B267" t="str">
        <f>Sheet1!B336</f>
        <v>画师</v>
      </c>
      <c r="C267">
        <f>Sheet1!Q336</f>
        <v>370</v>
      </c>
      <c r="D267">
        <f>Sheet1!R336</f>
        <v>555</v>
      </c>
      <c r="E267">
        <f>Sheet1!U336</f>
        <v>3</v>
      </c>
      <c r="F267" t="str">
        <f t="shared" ref="F267" si="1402">F266</f>
        <v>&lt;record id="</v>
      </c>
      <c r="G267" t="str">
        <f t="shared" ref="G267" si="1403">G266</f>
        <v>" posx="</v>
      </c>
      <c r="H267" t="str">
        <f t="shared" ref="H267" si="1404">H266</f>
        <v>" posy="</v>
      </c>
      <c r="I267" t="str">
        <f t="shared" ref="I267" si="1405">I266</f>
        <v>" dir="</v>
      </c>
      <c r="J267" t="str">
        <f t="shared" ref="J267" si="1406">J266</f>
        <v>"/&gt;</v>
      </c>
      <c r="K267" t="str">
        <f t="shared" ref="K267" si="1407">F267&amp;A267&amp;G267&amp;C267&amp;H267&amp;D267&amp;I267&amp;E267&amp;J267</f>
        <v>&lt;record id="167901" posx="370" posy="555" dir="3"/&gt;</v>
      </c>
    </row>
    <row r="268" spans="1:11">
      <c r="A268">
        <f>Sheet1!A337</f>
        <v>168001</v>
      </c>
      <c r="B268" t="str">
        <f>Sheet1!B337</f>
        <v>不速之客</v>
      </c>
      <c r="C268">
        <f>Sheet1!Q337</f>
        <v>382</v>
      </c>
      <c r="D268">
        <f>Sheet1!R337</f>
        <v>358</v>
      </c>
      <c r="E268">
        <f>Sheet1!U337</f>
        <v>3</v>
      </c>
      <c r="F268" t="str">
        <f t="shared" ref="F268" si="1408">F267</f>
        <v>&lt;record id="</v>
      </c>
      <c r="G268" t="str">
        <f t="shared" ref="G268" si="1409">G267</f>
        <v>" posx="</v>
      </c>
      <c r="H268" t="str">
        <f t="shared" ref="H268" si="1410">H267</f>
        <v>" posy="</v>
      </c>
      <c r="I268" t="str">
        <f t="shared" ref="I268" si="1411">I267</f>
        <v>" dir="</v>
      </c>
      <c r="J268" t="str">
        <f t="shared" ref="J268" si="1412">J267</f>
        <v>"/&gt;</v>
      </c>
      <c r="K268" t="str">
        <f t="shared" ref="K268" si="1413">F268&amp;A268&amp;G268&amp;C268&amp;H268&amp;D268&amp;I268&amp;E268&amp;J268</f>
        <v>&lt;record id="168001" posx="382" posy="358" dir="3"/&gt;</v>
      </c>
    </row>
    <row r="269" spans="1:11">
      <c r="A269">
        <f>Sheet1!A338</f>
        <v>168002</v>
      </c>
      <c r="B269" t="str">
        <f>Sheet1!B338</f>
        <v>九头虫</v>
      </c>
      <c r="C269">
        <f>Sheet1!Q338</f>
        <v>1764</v>
      </c>
      <c r="D269">
        <f>Sheet1!R338</f>
        <v>711</v>
      </c>
      <c r="E269">
        <f>Sheet1!U338</f>
        <v>3</v>
      </c>
      <c r="F269" t="str">
        <f t="shared" ref="F269" si="1414">F268</f>
        <v>&lt;record id="</v>
      </c>
      <c r="G269" t="str">
        <f t="shared" ref="G269" si="1415">G268</f>
        <v>" posx="</v>
      </c>
      <c r="H269" t="str">
        <f t="shared" ref="H269" si="1416">H268</f>
        <v>" posy="</v>
      </c>
      <c r="I269" t="str">
        <f t="shared" ref="I269" si="1417">I268</f>
        <v>" dir="</v>
      </c>
      <c r="J269" t="str">
        <f t="shared" ref="J269" si="1418">J268</f>
        <v>"/&gt;</v>
      </c>
      <c r="K269" t="str">
        <f t="shared" ref="K269" si="1419">F269&amp;A269&amp;G269&amp;C269&amp;H269&amp;D269&amp;I269&amp;E269&amp;J269</f>
        <v>&lt;record id="168002" posx="1764" posy="711" dir="3"/&gt;</v>
      </c>
    </row>
    <row r="270" spans="1:11">
      <c r="A270">
        <f>Sheet1!A339</f>
        <v>168101</v>
      </c>
      <c r="B270" t="str">
        <f>Sheet1!B339</f>
        <v>熟人</v>
      </c>
      <c r="C270">
        <f>Sheet1!Q339</f>
        <v>512</v>
      </c>
      <c r="D270">
        <f>Sheet1!R339</f>
        <v>264</v>
      </c>
      <c r="E270">
        <f>Sheet1!U339</f>
        <v>3</v>
      </c>
      <c r="F270" t="str">
        <f t="shared" ref="F270" si="1420">F269</f>
        <v>&lt;record id="</v>
      </c>
      <c r="G270" t="str">
        <f t="shared" ref="G270" si="1421">G269</f>
        <v>" posx="</v>
      </c>
      <c r="H270" t="str">
        <f t="shared" ref="H270" si="1422">H269</f>
        <v>" posy="</v>
      </c>
      <c r="I270" t="str">
        <f t="shared" ref="I270" si="1423">I269</f>
        <v>" dir="</v>
      </c>
      <c r="J270" t="str">
        <f t="shared" ref="J270" si="1424">J269</f>
        <v>"/&gt;</v>
      </c>
      <c r="K270" t="str">
        <f t="shared" ref="K270" si="1425">F270&amp;A270&amp;G270&amp;C270&amp;H270&amp;D270&amp;I270&amp;E270&amp;J270</f>
        <v>&lt;record id="168101" posx="512" posy="264" dir="3"/&gt;</v>
      </c>
    </row>
    <row r="271" spans="1:11">
      <c r="A271">
        <f>Sheet1!A340</f>
        <v>168201</v>
      </c>
      <c r="B271" t="str">
        <f>Sheet1!B340</f>
        <v>守城人</v>
      </c>
      <c r="C271">
        <f>Sheet1!Q340</f>
        <v>435</v>
      </c>
      <c r="D271">
        <f>Sheet1!R340</f>
        <v>478</v>
      </c>
      <c r="E271">
        <f>Sheet1!U340</f>
        <v>3</v>
      </c>
      <c r="F271" t="str">
        <f t="shared" ref="F271" si="1426">F270</f>
        <v>&lt;record id="</v>
      </c>
      <c r="G271" t="str">
        <f t="shared" ref="G271" si="1427">G270</f>
        <v>" posx="</v>
      </c>
      <c r="H271" t="str">
        <f t="shared" ref="H271" si="1428">H270</f>
        <v>" posy="</v>
      </c>
      <c r="I271" t="str">
        <f t="shared" ref="I271" si="1429">I270</f>
        <v>" dir="</v>
      </c>
      <c r="J271" t="str">
        <f t="shared" ref="J271" si="1430">J270</f>
        <v>"/&gt;</v>
      </c>
      <c r="K271" t="str">
        <f t="shared" ref="K271" si="1431">F271&amp;A271&amp;G271&amp;C271&amp;H271&amp;D271&amp;I271&amp;E271&amp;J271</f>
        <v>&lt;record id="168201" posx="435" posy="478" dir="3"/&gt;</v>
      </c>
    </row>
    <row r="272" spans="1:11">
      <c r="A272">
        <f>Sheet1!A341</f>
        <v>168202</v>
      </c>
      <c r="B272" t="str">
        <f>Sheet1!B341</f>
        <v>魔物</v>
      </c>
      <c r="C272">
        <f>Sheet1!Q341</f>
        <v>1228</v>
      </c>
      <c r="D272">
        <f>Sheet1!R341</f>
        <v>1005</v>
      </c>
      <c r="E272">
        <f>Sheet1!U341</f>
        <v>5</v>
      </c>
      <c r="F272" t="str">
        <f t="shared" ref="F272" si="1432">F271</f>
        <v>&lt;record id="</v>
      </c>
      <c r="G272" t="str">
        <f t="shared" ref="G272" si="1433">G271</f>
        <v>" posx="</v>
      </c>
      <c r="H272" t="str">
        <f t="shared" ref="H272" si="1434">H271</f>
        <v>" posy="</v>
      </c>
      <c r="I272" t="str">
        <f t="shared" ref="I272" si="1435">I271</f>
        <v>" dir="</v>
      </c>
      <c r="J272" t="str">
        <f t="shared" ref="J272" si="1436">J271</f>
        <v>"/&gt;</v>
      </c>
      <c r="K272" t="str">
        <f t="shared" ref="K272" si="1437">F272&amp;A272&amp;G272&amp;C272&amp;H272&amp;D272&amp;I272&amp;E272&amp;J272</f>
        <v>&lt;record id="168202" posx="1228" posy="1005" dir="5"/&gt;</v>
      </c>
    </row>
    <row r="273" spans="1:11">
      <c r="A273">
        <f>Sheet1!A342</f>
        <v>168203</v>
      </c>
      <c r="B273" t="str">
        <f>Sheet1!B342</f>
        <v>魔物</v>
      </c>
      <c r="C273">
        <f>Sheet1!Q342</f>
        <v>468</v>
      </c>
      <c r="D273">
        <f>Sheet1!R342</f>
        <v>672</v>
      </c>
      <c r="E273">
        <f>Sheet1!U342</f>
        <v>3</v>
      </c>
      <c r="F273" t="str">
        <f t="shared" ref="F273" si="1438">F272</f>
        <v>&lt;record id="</v>
      </c>
      <c r="G273" t="str">
        <f t="shared" ref="G273" si="1439">G272</f>
        <v>" posx="</v>
      </c>
      <c r="H273" t="str">
        <f t="shared" ref="H273" si="1440">H272</f>
        <v>" posy="</v>
      </c>
      <c r="I273" t="str">
        <f t="shared" ref="I273" si="1441">I272</f>
        <v>" dir="</v>
      </c>
      <c r="J273" t="str">
        <f t="shared" ref="J273" si="1442">J272</f>
        <v>"/&gt;</v>
      </c>
      <c r="K273" t="str">
        <f t="shared" ref="K273" si="1443">F273&amp;A273&amp;G273&amp;C273&amp;H273&amp;D273&amp;I273&amp;E273&amp;J273</f>
        <v>&lt;record id="168203" posx="468" posy="672" dir="3"/&gt;</v>
      </c>
    </row>
    <row r="274" spans="1:11">
      <c r="A274">
        <f>Sheet1!A343</f>
        <v>168204</v>
      </c>
      <c r="B274" t="str">
        <f>Sheet1!B343</f>
        <v>魔物</v>
      </c>
      <c r="C274">
        <f>Sheet1!Q343</f>
        <v>636</v>
      </c>
      <c r="D274">
        <f>Sheet1!R343</f>
        <v>499</v>
      </c>
      <c r="E274">
        <f>Sheet1!U343</f>
        <v>3</v>
      </c>
      <c r="F274" t="str">
        <f t="shared" ref="F274" si="1444">F273</f>
        <v>&lt;record id="</v>
      </c>
      <c r="G274" t="str">
        <f t="shared" ref="G274" si="1445">G273</f>
        <v>" posx="</v>
      </c>
      <c r="H274" t="str">
        <f t="shared" ref="H274" si="1446">H273</f>
        <v>" posy="</v>
      </c>
      <c r="I274" t="str">
        <f t="shared" ref="I274" si="1447">I273</f>
        <v>" dir="</v>
      </c>
      <c r="J274" t="str">
        <f t="shared" ref="J274" si="1448">J273</f>
        <v>"/&gt;</v>
      </c>
      <c r="K274" t="str">
        <f t="shared" ref="K274" si="1449">F274&amp;A274&amp;G274&amp;C274&amp;H274&amp;D274&amp;I274&amp;E274&amp;J274</f>
        <v>&lt;record id="168204" posx="636" posy="499" dir="3"/&gt;</v>
      </c>
    </row>
    <row r="275" spans="1:11">
      <c r="A275">
        <f>Sheet1!A344</f>
        <v>168205</v>
      </c>
      <c r="B275" t="str">
        <f>Sheet1!B344</f>
        <v>魔物</v>
      </c>
      <c r="C275">
        <f>Sheet1!Q344</f>
        <v>1382</v>
      </c>
      <c r="D275">
        <f>Sheet1!R344</f>
        <v>1034</v>
      </c>
      <c r="E275">
        <f>Sheet1!U344</f>
        <v>5</v>
      </c>
      <c r="F275" t="str">
        <f t="shared" ref="F275" si="1450">F274</f>
        <v>&lt;record id="</v>
      </c>
      <c r="G275" t="str">
        <f t="shared" ref="G275" si="1451">G274</f>
        <v>" posx="</v>
      </c>
      <c r="H275" t="str">
        <f t="shared" ref="H275" si="1452">H274</f>
        <v>" posy="</v>
      </c>
      <c r="I275" t="str">
        <f t="shared" ref="I275" si="1453">I274</f>
        <v>" dir="</v>
      </c>
      <c r="J275" t="str">
        <f t="shared" ref="J275" si="1454">J274</f>
        <v>"/&gt;</v>
      </c>
      <c r="K275" t="str">
        <f t="shared" ref="K275" si="1455">F275&amp;A275&amp;G275&amp;C275&amp;H275&amp;D275&amp;I275&amp;E275&amp;J275</f>
        <v>&lt;record id="168205" posx="1382" posy="1034" dir="5"/&gt;</v>
      </c>
    </row>
    <row r="276" spans="1:11">
      <c r="A276">
        <f>Sheet1!A345</f>
        <v>168206</v>
      </c>
      <c r="B276" t="str">
        <f>Sheet1!B345</f>
        <v>魔物</v>
      </c>
      <c r="C276">
        <f>Sheet1!Q345</f>
        <v>1197</v>
      </c>
      <c r="D276">
        <f>Sheet1!R345</f>
        <v>890</v>
      </c>
      <c r="E276">
        <f>Sheet1!U345</f>
        <v>5</v>
      </c>
      <c r="F276" t="str">
        <f t="shared" ref="F276" si="1456">F275</f>
        <v>&lt;record id="</v>
      </c>
      <c r="G276" t="str">
        <f t="shared" ref="G276" si="1457">G275</f>
        <v>" posx="</v>
      </c>
      <c r="H276" t="str">
        <f t="shared" ref="H276" si="1458">H275</f>
        <v>" posy="</v>
      </c>
      <c r="I276" t="str">
        <f t="shared" ref="I276" si="1459">I275</f>
        <v>" dir="</v>
      </c>
      <c r="J276" t="str">
        <f t="shared" ref="J276" si="1460">J275</f>
        <v>"/&gt;</v>
      </c>
      <c r="K276" t="str">
        <f t="shared" ref="K276" si="1461">F276&amp;A276&amp;G276&amp;C276&amp;H276&amp;D276&amp;I276&amp;E276&amp;J276</f>
        <v>&lt;record id="168206" posx="1197" posy="890" dir="5"/&gt;</v>
      </c>
    </row>
    <row r="277" spans="1:11">
      <c r="A277">
        <f>Sheet1!A346</f>
        <v>168207</v>
      </c>
      <c r="B277" t="str">
        <f>Sheet1!B346</f>
        <v>守城人</v>
      </c>
      <c r="C277">
        <f>Sheet1!Q346</f>
        <v>1043</v>
      </c>
      <c r="D277">
        <f>Sheet1!R346</f>
        <v>931</v>
      </c>
      <c r="E277">
        <f>Sheet1!U346</f>
        <v>3</v>
      </c>
      <c r="F277" t="str">
        <f t="shared" ref="F277" si="1462">F276</f>
        <v>&lt;record id="</v>
      </c>
      <c r="G277" t="str">
        <f t="shared" ref="G277" si="1463">G276</f>
        <v>" posx="</v>
      </c>
      <c r="H277" t="str">
        <f t="shared" ref="H277" si="1464">H276</f>
        <v>" posy="</v>
      </c>
      <c r="I277" t="str">
        <f t="shared" ref="I277" si="1465">I276</f>
        <v>" dir="</v>
      </c>
      <c r="J277" t="str">
        <f t="shared" ref="J277" si="1466">J276</f>
        <v>"/&gt;</v>
      </c>
      <c r="K277" t="str">
        <f t="shared" ref="K277" si="1467">F277&amp;A277&amp;G277&amp;C277&amp;H277&amp;D277&amp;I277&amp;E277&amp;J277</f>
        <v>&lt;record id="168207" posx="1043" posy="931" dir="3"/&gt;</v>
      </c>
    </row>
    <row r="278" spans="1:11">
      <c r="A278">
        <f>Sheet1!A347</f>
        <v>168301</v>
      </c>
      <c r="B278" t="str">
        <f>Sheet1!B347</f>
        <v>魔物</v>
      </c>
      <c r="C278">
        <f>Sheet1!Q347</f>
        <v>1022</v>
      </c>
      <c r="D278">
        <f>Sheet1!R347</f>
        <v>609</v>
      </c>
      <c r="E278">
        <f>Sheet1!U347</f>
        <v>3</v>
      </c>
      <c r="F278" t="str">
        <f t="shared" ref="F278" si="1468">F277</f>
        <v>&lt;record id="</v>
      </c>
      <c r="G278" t="str">
        <f t="shared" ref="G278" si="1469">G277</f>
        <v>" posx="</v>
      </c>
      <c r="H278" t="str">
        <f t="shared" ref="H278" si="1470">H277</f>
        <v>" posy="</v>
      </c>
      <c r="I278" t="str">
        <f t="shared" ref="I278" si="1471">I277</f>
        <v>" dir="</v>
      </c>
      <c r="J278" t="str">
        <f t="shared" ref="J278" si="1472">J277</f>
        <v>"/&gt;</v>
      </c>
      <c r="K278" t="str">
        <f t="shared" ref="K278" si="1473">F278&amp;A278&amp;G278&amp;C278&amp;H278&amp;D278&amp;I278&amp;E278&amp;J278</f>
        <v>&lt;record id="168301" posx="1022" posy="609" dir="3"/&gt;</v>
      </c>
    </row>
    <row r="279" spans="1:11">
      <c r="A279">
        <f>Sheet1!A348</f>
        <v>168302</v>
      </c>
      <c r="B279" t="str">
        <f>Sheet1!B348</f>
        <v>魔物</v>
      </c>
      <c r="C279">
        <f>Sheet1!Q348</f>
        <v>960</v>
      </c>
      <c r="D279">
        <f>Sheet1!R348</f>
        <v>563</v>
      </c>
      <c r="E279">
        <f>Sheet1!U348</f>
        <v>3</v>
      </c>
      <c r="F279" t="str">
        <f t="shared" ref="F279" si="1474">F278</f>
        <v>&lt;record id="</v>
      </c>
      <c r="G279" t="str">
        <f t="shared" ref="G279" si="1475">G278</f>
        <v>" posx="</v>
      </c>
      <c r="H279" t="str">
        <f t="shared" ref="H279" si="1476">H278</f>
        <v>" posy="</v>
      </c>
      <c r="I279" t="str">
        <f t="shared" ref="I279" si="1477">I278</f>
        <v>" dir="</v>
      </c>
      <c r="J279" t="str">
        <f t="shared" ref="J279" si="1478">J278</f>
        <v>"/&gt;</v>
      </c>
      <c r="K279" t="str">
        <f t="shared" ref="K279" si="1479">F279&amp;A279&amp;G279&amp;C279&amp;H279&amp;D279&amp;I279&amp;E279&amp;J279</f>
        <v>&lt;record id="168302" posx="960" posy="563" dir="3"/&gt;</v>
      </c>
    </row>
    <row r="280" spans="1:11">
      <c r="A280">
        <f>Sheet1!A349</f>
        <v>168303</v>
      </c>
      <c r="B280" t="str">
        <f>Sheet1!B349</f>
        <v>魔物</v>
      </c>
      <c r="C280">
        <f>Sheet1!Q349</f>
        <v>1112</v>
      </c>
      <c r="D280">
        <f>Sheet1!R349</f>
        <v>688</v>
      </c>
      <c r="E280">
        <f>Sheet1!U349</f>
        <v>3</v>
      </c>
      <c r="F280" t="str">
        <f t="shared" ref="F280" si="1480">F279</f>
        <v>&lt;record id="</v>
      </c>
      <c r="G280" t="str">
        <f t="shared" ref="G280" si="1481">G279</f>
        <v>" posx="</v>
      </c>
      <c r="H280" t="str">
        <f t="shared" ref="H280" si="1482">H279</f>
        <v>" posy="</v>
      </c>
      <c r="I280" t="str">
        <f t="shared" ref="I280" si="1483">I279</f>
        <v>" dir="</v>
      </c>
      <c r="J280" t="str">
        <f t="shared" ref="J280" si="1484">J279</f>
        <v>"/&gt;</v>
      </c>
      <c r="K280" t="str">
        <f t="shared" ref="K280" si="1485">F280&amp;A280&amp;G280&amp;C280&amp;H280&amp;D280&amp;I280&amp;E280&amp;J280</f>
        <v>&lt;record id="168303" posx="1112" posy="688" dir="3"/&gt;</v>
      </c>
    </row>
    <row r="281" spans="1:11">
      <c r="A281">
        <f>Sheet1!A350</f>
        <v>168304</v>
      </c>
      <c r="B281" t="str">
        <f>Sheet1!B350</f>
        <v>魔物</v>
      </c>
      <c r="C281">
        <f>Sheet1!Q350</f>
        <v>1185</v>
      </c>
      <c r="D281">
        <f>Sheet1!R350</f>
        <v>767</v>
      </c>
      <c r="E281">
        <f>Sheet1!U350</f>
        <v>3</v>
      </c>
      <c r="F281" t="str">
        <f t="shared" ref="F281" si="1486">F280</f>
        <v>&lt;record id="</v>
      </c>
      <c r="G281" t="str">
        <f t="shared" ref="G281" si="1487">G280</f>
        <v>" posx="</v>
      </c>
      <c r="H281" t="str">
        <f t="shared" ref="H281" si="1488">H280</f>
        <v>" posy="</v>
      </c>
      <c r="I281" t="str">
        <f t="shared" ref="I281" si="1489">I280</f>
        <v>" dir="</v>
      </c>
      <c r="J281" t="str">
        <f t="shared" ref="J281" si="1490">J280</f>
        <v>"/&gt;</v>
      </c>
      <c r="K281" t="str">
        <f t="shared" ref="K281" si="1491">F281&amp;A281&amp;G281&amp;C281&amp;H281&amp;D281&amp;I281&amp;E281&amp;J281</f>
        <v>&lt;record id="168304" posx="1185" posy="767" dir="3"/&gt;</v>
      </c>
    </row>
    <row r="282" spans="1:11">
      <c r="A282">
        <f>Sheet1!A351</f>
        <v>168305</v>
      </c>
      <c r="B282" t="str">
        <f>Sheet1!B351</f>
        <v>魔物</v>
      </c>
      <c r="C282">
        <f>Sheet1!Q351</f>
        <v>779</v>
      </c>
      <c r="D282">
        <f>Sheet1!R351</f>
        <v>532</v>
      </c>
      <c r="E282">
        <f>Sheet1!U351</f>
        <v>3</v>
      </c>
      <c r="F282" t="str">
        <f t="shared" ref="F282" si="1492">F281</f>
        <v>&lt;record id="</v>
      </c>
      <c r="G282" t="str">
        <f t="shared" ref="G282" si="1493">G281</f>
        <v>" posx="</v>
      </c>
      <c r="H282" t="str">
        <f t="shared" ref="H282" si="1494">H281</f>
        <v>" posy="</v>
      </c>
      <c r="I282" t="str">
        <f t="shared" ref="I282" si="1495">I281</f>
        <v>" dir="</v>
      </c>
      <c r="J282" t="str">
        <f t="shared" ref="J282" si="1496">J281</f>
        <v>"/&gt;</v>
      </c>
      <c r="K282" t="str">
        <f t="shared" ref="K282" si="1497">F282&amp;A282&amp;G282&amp;C282&amp;H282&amp;D282&amp;I282&amp;E282&amp;J282</f>
        <v>&lt;record id="168305" posx="779" posy="532" dir="3"/&gt;</v>
      </c>
    </row>
    <row r="283" spans="1:11">
      <c r="A283">
        <f>Sheet1!A352</f>
        <v>168306</v>
      </c>
      <c r="B283" t="str">
        <f>Sheet1!B352</f>
        <v>地牢指挥官</v>
      </c>
      <c r="C283">
        <f>Sheet1!Q352</f>
        <v>1130</v>
      </c>
      <c r="D283">
        <f>Sheet1!R352</f>
        <v>553</v>
      </c>
      <c r="E283">
        <f>Sheet1!U352</f>
        <v>3</v>
      </c>
      <c r="F283" t="str">
        <f t="shared" ref="F283" si="1498">F282</f>
        <v>&lt;record id="</v>
      </c>
      <c r="G283" t="str">
        <f t="shared" ref="G283" si="1499">G282</f>
        <v>" posx="</v>
      </c>
      <c r="H283" t="str">
        <f t="shared" ref="H283" si="1500">H282</f>
        <v>" posy="</v>
      </c>
      <c r="I283" t="str">
        <f t="shared" ref="I283" si="1501">I282</f>
        <v>" dir="</v>
      </c>
      <c r="J283" t="str">
        <f t="shared" ref="J283" si="1502">J282</f>
        <v>"/&gt;</v>
      </c>
      <c r="K283" t="str">
        <f t="shared" ref="K283" si="1503">F283&amp;A283&amp;G283&amp;C283&amp;H283&amp;D283&amp;I283&amp;E283&amp;J283</f>
        <v>&lt;record id="168306" posx="1130" posy="553" dir="3"/&gt;</v>
      </c>
    </row>
    <row r="284" spans="1:11">
      <c r="A284">
        <f>Sheet1!A353</f>
        <v>168307</v>
      </c>
      <c r="B284" t="str">
        <f>Sheet1!B353</f>
        <v>中奶怀特</v>
      </c>
      <c r="C284">
        <f>Sheet1!Q353</f>
        <v>1205</v>
      </c>
      <c r="D284">
        <f>Sheet1!R353</f>
        <v>632</v>
      </c>
      <c r="E284">
        <f>Sheet1!U353</f>
        <v>3</v>
      </c>
      <c r="F284" t="str">
        <f t="shared" ref="F284" si="1504">F283</f>
        <v>&lt;record id="</v>
      </c>
      <c r="G284" t="str">
        <f t="shared" ref="G284" si="1505">G283</f>
        <v>" posx="</v>
      </c>
      <c r="H284" t="str">
        <f t="shared" ref="H284" si="1506">H283</f>
        <v>" posy="</v>
      </c>
      <c r="I284" t="str">
        <f t="shared" ref="I284" si="1507">I283</f>
        <v>" dir="</v>
      </c>
      <c r="J284" t="str">
        <f t="shared" ref="J284" si="1508">J283</f>
        <v>"/&gt;</v>
      </c>
      <c r="K284" t="str">
        <f t="shared" ref="K284" si="1509">F284&amp;A284&amp;G284&amp;C284&amp;H284&amp;D284&amp;I284&amp;E284&amp;J284</f>
        <v>&lt;record id="168307" posx="1205" posy="632" dir="3"/&gt;</v>
      </c>
    </row>
    <row r="285" spans="1:11">
      <c r="A285">
        <f>Sheet1!A354</f>
        <v>168308</v>
      </c>
      <c r="B285" t="str">
        <f>Sheet1!B354</f>
        <v>小白龙</v>
      </c>
      <c r="C285">
        <f>Sheet1!Q354</f>
        <v>1061</v>
      </c>
      <c r="D285">
        <f>Sheet1!R354</f>
        <v>515</v>
      </c>
      <c r="E285">
        <f>Sheet1!U354</f>
        <v>3</v>
      </c>
      <c r="F285" t="str">
        <f t="shared" ref="F285" si="1510">F284</f>
        <v>&lt;record id="</v>
      </c>
      <c r="G285" t="str">
        <f t="shared" ref="G285" si="1511">G284</f>
        <v>" posx="</v>
      </c>
      <c r="H285" t="str">
        <f t="shared" ref="H285" si="1512">H284</f>
        <v>" posy="</v>
      </c>
      <c r="I285" t="str">
        <f t="shared" ref="I285" si="1513">I284</f>
        <v>" dir="</v>
      </c>
      <c r="J285" t="str">
        <f t="shared" ref="J285:J290" si="1514">J284</f>
        <v>"/&gt;</v>
      </c>
      <c r="K285" t="str">
        <f t="shared" ref="K285" si="1515">F285&amp;A285&amp;G285&amp;C285&amp;H285&amp;D285&amp;I285&amp;E285&amp;J285</f>
        <v>&lt;record id="168308" posx="1061" posy="515" dir="3"/&gt;</v>
      </c>
    </row>
    <row r="286" spans="1:11">
      <c r="A286">
        <f>Sheet1!A355</f>
        <v>168309</v>
      </c>
      <c r="B286" t="str">
        <f>Sheet1!B355</f>
        <v>魔物</v>
      </c>
      <c r="C286">
        <f>Sheet1!Q355</f>
        <v>1061</v>
      </c>
      <c r="D286">
        <f>Sheet1!R355</f>
        <v>515</v>
      </c>
      <c r="E286">
        <f>Sheet1!U355</f>
        <v>3</v>
      </c>
      <c r="F286" t="str">
        <f t="shared" ref="F286:F291" si="1516">F285</f>
        <v>&lt;record id="</v>
      </c>
      <c r="G286" t="str">
        <f t="shared" ref="G286" si="1517">G285</f>
        <v>" posx="</v>
      </c>
      <c r="H286" t="str">
        <f t="shared" ref="H286" si="1518">H285</f>
        <v>" posy="</v>
      </c>
      <c r="I286" t="str">
        <f t="shared" ref="I286:I290" si="1519">I285</f>
        <v>" dir="</v>
      </c>
      <c r="J286" t="str">
        <f t="shared" si="1514"/>
        <v>"/&gt;</v>
      </c>
      <c r="K286" t="str">
        <f t="shared" ref="K286:K291" si="1520">F286&amp;A286&amp;G286&amp;C286&amp;H286&amp;D286&amp;I286&amp;E286&amp;J286</f>
        <v>&lt;record id="168309" posx="1061" posy="515" dir="3"/&gt;</v>
      </c>
    </row>
    <row r="287" spans="1:11">
      <c r="A287">
        <f>Sheet1!A359</f>
        <v>168401</v>
      </c>
      <c r="B287" t="str">
        <f>Sheet1!B359</f>
        <v>范班</v>
      </c>
      <c r="C287">
        <f>Sheet1!Q359</f>
        <v>976</v>
      </c>
      <c r="D287">
        <f>Sheet1!R359</f>
        <v>490</v>
      </c>
      <c r="E287">
        <f>Sheet1!U359</f>
        <v>3</v>
      </c>
      <c r="F287" t="str">
        <f t="shared" si="1516"/>
        <v>&lt;record id="</v>
      </c>
      <c r="G287" t="str">
        <f t="shared" ref="G287" si="1521">G286</f>
        <v>" posx="</v>
      </c>
      <c r="H287" t="str">
        <f t="shared" ref="H287:H290" si="1522">H286</f>
        <v>" posy="</v>
      </c>
      <c r="I287" t="str">
        <f t="shared" si="1519"/>
        <v>" dir="</v>
      </c>
      <c r="J287" t="str">
        <f t="shared" si="1514"/>
        <v>"/&gt;</v>
      </c>
      <c r="K287" t="str">
        <f t="shared" si="1520"/>
        <v>&lt;record id="168401" posx="976" posy="490" dir="3"/&gt;</v>
      </c>
    </row>
    <row r="288" spans="1:11">
      <c r="A288">
        <f>Sheet1!A360</f>
        <v>168501</v>
      </c>
      <c r="B288" t="str">
        <f>Sheet1!B360</f>
        <v>小白龙</v>
      </c>
      <c r="C288">
        <f>Sheet1!Q360</f>
        <v>1158</v>
      </c>
      <c r="D288">
        <f>Sheet1!R360</f>
        <v>591</v>
      </c>
      <c r="E288">
        <f>Sheet1!U360</f>
        <v>3</v>
      </c>
      <c r="F288" t="str">
        <f t="shared" si="1516"/>
        <v>&lt;record id="</v>
      </c>
      <c r="G288" t="str">
        <f t="shared" ref="G288:G290" si="1523">G287</f>
        <v>" posx="</v>
      </c>
      <c r="H288" t="str">
        <f t="shared" si="1522"/>
        <v>" posy="</v>
      </c>
      <c r="I288" t="str">
        <f t="shared" si="1519"/>
        <v>" dir="</v>
      </c>
      <c r="J288" t="str">
        <f t="shared" si="1514"/>
        <v>"/&gt;</v>
      </c>
      <c r="K288" t="str">
        <f t="shared" si="1520"/>
        <v>&lt;record id="168501" posx="1158" posy="591" dir="3"/&gt;</v>
      </c>
    </row>
    <row r="289" spans="1:11">
      <c r="A289">
        <f>Sheet1!A361</f>
        <v>168502</v>
      </c>
      <c r="B289" t="str">
        <f>Sheet1!B361</f>
        <v>龙傲</v>
      </c>
      <c r="C289">
        <f>Sheet1!Q361</f>
        <v>824</v>
      </c>
      <c r="D289">
        <f>Sheet1!R361</f>
        <v>842</v>
      </c>
      <c r="E289">
        <f>Sheet1!U361</f>
        <v>3</v>
      </c>
      <c r="F289" t="str">
        <f t="shared" si="1516"/>
        <v>&lt;record id="</v>
      </c>
      <c r="G289" t="str">
        <f t="shared" si="1523"/>
        <v>" posx="</v>
      </c>
      <c r="H289" t="str">
        <f t="shared" si="1522"/>
        <v>" posy="</v>
      </c>
      <c r="I289" t="str">
        <f t="shared" si="1519"/>
        <v>" dir="</v>
      </c>
      <c r="J289" t="str">
        <f t="shared" si="1514"/>
        <v>"/&gt;</v>
      </c>
      <c r="K289" t="str">
        <f t="shared" si="1520"/>
        <v>&lt;record id="168502" posx="824" posy="842" dir="3"/&gt;</v>
      </c>
    </row>
    <row r="290" spans="1:11">
      <c r="A290">
        <f>Sheet1!A362</f>
        <v>168503</v>
      </c>
      <c r="B290" t="str">
        <f>Sheet1!B362</f>
        <v>魔物先锋</v>
      </c>
      <c r="C290">
        <f>Sheet1!Q362</f>
        <v>944</v>
      </c>
      <c r="D290">
        <f>Sheet1!R362</f>
        <v>552</v>
      </c>
      <c r="E290">
        <f>Sheet1!U362</f>
        <v>3</v>
      </c>
      <c r="F290" t="str">
        <f t="shared" si="1516"/>
        <v>&lt;record id="</v>
      </c>
      <c r="G290" t="str">
        <f t="shared" si="1523"/>
        <v>" posx="</v>
      </c>
      <c r="H290" t="str">
        <f t="shared" si="1522"/>
        <v>" posy="</v>
      </c>
      <c r="I290" t="str">
        <f t="shared" si="1519"/>
        <v>" dir="</v>
      </c>
      <c r="J290" t="str">
        <f t="shared" si="1514"/>
        <v>"/&gt;</v>
      </c>
      <c r="K290" t="str">
        <f t="shared" si="1520"/>
        <v>&lt;record id="168503" posx="944" posy="552" dir="3"/&gt;</v>
      </c>
    </row>
    <row r="291" spans="1:11">
      <c r="A291">
        <f>Sheet1!A363</f>
        <v>168504</v>
      </c>
      <c r="B291" t="str">
        <f>Sheet1!B363</f>
        <v>魔物先锋</v>
      </c>
      <c r="C291">
        <f>Sheet1!Q363</f>
        <v>1192</v>
      </c>
      <c r="D291">
        <f>Sheet1!R363</f>
        <v>809</v>
      </c>
      <c r="E291">
        <f>Sheet1!U363</f>
        <v>3</v>
      </c>
      <c r="F291" t="str">
        <f t="shared" si="1516"/>
        <v>&lt;record id="</v>
      </c>
      <c r="G291" t="str">
        <f t="shared" ref="G291" si="1524">G290</f>
        <v>" posx="</v>
      </c>
      <c r="H291" t="str">
        <f t="shared" ref="H291" si="1525">H290</f>
        <v>" posy="</v>
      </c>
      <c r="I291" t="str">
        <f t="shared" ref="I291" si="1526">I290</f>
        <v>" dir="</v>
      </c>
      <c r="J291" t="str">
        <f t="shared" ref="J291" si="1527">J290</f>
        <v>"/&gt;</v>
      </c>
      <c r="K291" t="str">
        <f t="shared" si="1520"/>
        <v>&lt;record id="168504" posx="1192" posy="809" dir="3"/&gt;</v>
      </c>
    </row>
    <row r="292" spans="1:11">
      <c r="A292">
        <f>Sheet1!A364</f>
        <v>168505</v>
      </c>
      <c r="B292" t="str">
        <f>Sheet1!B364</f>
        <v>爪牙</v>
      </c>
      <c r="C292">
        <f>Sheet1!Q364</f>
        <v>784</v>
      </c>
      <c r="D292">
        <f>Sheet1!R364</f>
        <v>565</v>
      </c>
      <c r="E292">
        <f>Sheet1!U364</f>
        <v>3</v>
      </c>
      <c r="F292" t="str">
        <f t="shared" ref="F292" si="1528">F291</f>
        <v>&lt;record id="</v>
      </c>
      <c r="G292" t="str">
        <f t="shared" ref="G292" si="1529">G291</f>
        <v>" posx="</v>
      </c>
      <c r="H292" t="str">
        <f t="shared" ref="H292" si="1530">H291</f>
        <v>" posy="</v>
      </c>
      <c r="I292" t="str">
        <f t="shared" ref="I292" si="1531">I291</f>
        <v>" dir="</v>
      </c>
      <c r="J292" t="str">
        <f t="shared" ref="J292" si="1532">J291</f>
        <v>"/&gt;</v>
      </c>
      <c r="K292" t="str">
        <f t="shared" ref="K292" si="1533">F292&amp;A292&amp;G292&amp;C292&amp;H292&amp;D292&amp;I292&amp;E292&amp;J292</f>
        <v>&lt;record id="168505" posx="784" posy="565" dir="3"/&gt;</v>
      </c>
    </row>
    <row r="293" spans="1:11">
      <c r="A293">
        <f>Sheet1!A365</f>
        <v>168506</v>
      </c>
      <c r="B293" t="str">
        <f>Sheet1!B365</f>
        <v>爪牙</v>
      </c>
      <c r="C293">
        <f>Sheet1!Q365</f>
        <v>1234</v>
      </c>
      <c r="D293">
        <f>Sheet1!R365</f>
        <v>954</v>
      </c>
      <c r="E293">
        <f>Sheet1!U365</f>
        <v>3</v>
      </c>
      <c r="F293" t="str">
        <f t="shared" ref="F293" si="1534">F292</f>
        <v>&lt;record id="</v>
      </c>
      <c r="G293" t="str">
        <f t="shared" ref="G293" si="1535">G292</f>
        <v>" posx="</v>
      </c>
      <c r="H293" t="str">
        <f t="shared" ref="H293" si="1536">H292</f>
        <v>" posy="</v>
      </c>
      <c r="I293" t="str">
        <f t="shared" ref="I293" si="1537">I292</f>
        <v>" dir="</v>
      </c>
      <c r="J293" t="str">
        <f t="shared" ref="J293" si="1538">J292</f>
        <v>"/&gt;</v>
      </c>
      <c r="K293" t="str">
        <f t="shared" ref="K293" si="1539">F293&amp;A293&amp;G293&amp;C293&amp;H293&amp;D293&amp;I293&amp;E293&amp;J293</f>
        <v>&lt;record id="168506" posx="1234" posy="954" dir="3"/&gt;</v>
      </c>
    </row>
    <row r="294" spans="1:11">
      <c r="A294">
        <f>Sheet1!A366</f>
        <v>168507</v>
      </c>
      <c r="B294" t="str">
        <f>Sheet1!B366</f>
        <v>魔物精英</v>
      </c>
      <c r="C294">
        <f>Sheet1!Q366</f>
        <v>1030</v>
      </c>
      <c r="D294">
        <f>Sheet1!R366</f>
        <v>634</v>
      </c>
      <c r="E294">
        <f>Sheet1!U366</f>
        <v>3</v>
      </c>
      <c r="F294" t="str">
        <f t="shared" ref="F294" si="1540">F293</f>
        <v>&lt;record id="</v>
      </c>
      <c r="G294" t="str">
        <f t="shared" ref="G294" si="1541">G293</f>
        <v>" posx="</v>
      </c>
      <c r="H294" t="str">
        <f t="shared" ref="H294" si="1542">H293</f>
        <v>" posy="</v>
      </c>
      <c r="I294" t="str">
        <f t="shared" ref="I294" si="1543">I293</f>
        <v>" dir="</v>
      </c>
      <c r="J294" t="str">
        <f t="shared" ref="J294" si="1544">J293</f>
        <v>"/&gt;</v>
      </c>
      <c r="K294" t="str">
        <f t="shared" ref="K294" si="1545">F294&amp;A294&amp;G294&amp;C294&amp;H294&amp;D294&amp;I294&amp;E294&amp;J294</f>
        <v>&lt;record id="168507" posx="1030" posy="634" dir="3"/&gt;</v>
      </c>
    </row>
    <row r="295" spans="1:11">
      <c r="A295">
        <f>Sheet1!A367</f>
        <v>168601</v>
      </c>
      <c r="B295" t="str">
        <f>Sheet1!B367</f>
        <v>魔物爪牙</v>
      </c>
      <c r="C295">
        <f>Sheet1!Q367</f>
        <v>1154</v>
      </c>
      <c r="D295">
        <f>Sheet1!R367</f>
        <v>856</v>
      </c>
      <c r="E295">
        <f>Sheet1!U367</f>
        <v>1</v>
      </c>
      <c r="F295" t="str">
        <f t="shared" ref="F295" si="1546">F294</f>
        <v>&lt;record id="</v>
      </c>
      <c r="G295" t="str">
        <f t="shared" ref="G295" si="1547">G294</f>
        <v>" posx="</v>
      </c>
      <c r="H295" t="str">
        <f t="shared" ref="H295" si="1548">H294</f>
        <v>" posy="</v>
      </c>
      <c r="I295" t="str">
        <f t="shared" ref="I295" si="1549">I294</f>
        <v>" dir="</v>
      </c>
      <c r="J295" t="str">
        <f t="shared" ref="J295" si="1550">J294</f>
        <v>"/&gt;</v>
      </c>
      <c r="K295" t="str">
        <f t="shared" ref="K295" si="1551">F295&amp;A295&amp;G295&amp;C295&amp;H295&amp;D295&amp;I295&amp;E295&amp;J295</f>
        <v>&lt;record id="168601" posx="1154" posy="856" dir="1"/&gt;</v>
      </c>
    </row>
    <row r="296" spans="1:11">
      <c r="A296">
        <f>Sheet1!A368</f>
        <v>168602</v>
      </c>
      <c r="B296" t="str">
        <f>Sheet1!B368</f>
        <v>爪牙</v>
      </c>
      <c r="C296">
        <f>Sheet1!Q368</f>
        <v>1104</v>
      </c>
      <c r="D296">
        <f>Sheet1!R368</f>
        <v>711</v>
      </c>
      <c r="E296">
        <f>Sheet1!U368</f>
        <v>3</v>
      </c>
      <c r="F296" t="str">
        <f t="shared" ref="F296" si="1552">F295</f>
        <v>&lt;record id="</v>
      </c>
      <c r="G296" t="str">
        <f t="shared" ref="G296" si="1553">G295</f>
        <v>" posx="</v>
      </c>
      <c r="H296" t="str">
        <f t="shared" ref="H296" si="1554">H295</f>
        <v>" posy="</v>
      </c>
      <c r="I296" t="str">
        <f t="shared" ref="I296" si="1555">I295</f>
        <v>" dir="</v>
      </c>
      <c r="J296" t="str">
        <f t="shared" ref="J296" si="1556">J295</f>
        <v>"/&gt;</v>
      </c>
      <c r="K296" t="str">
        <f t="shared" ref="K296" si="1557">F296&amp;A296&amp;G296&amp;C296&amp;H296&amp;D296&amp;I296&amp;E296&amp;J296</f>
        <v>&lt;record id="168602" posx="1104" posy="711" dir="3"/&gt;</v>
      </c>
    </row>
    <row r="297" spans="1:11">
      <c r="A297">
        <f>Sheet1!A369</f>
        <v>168603</v>
      </c>
      <c r="B297" t="str">
        <f>Sheet1!B369</f>
        <v>爪牙</v>
      </c>
      <c r="C297">
        <f>Sheet1!Q369</f>
        <v>1357</v>
      </c>
      <c r="D297">
        <f>Sheet1!R369</f>
        <v>845</v>
      </c>
      <c r="E297">
        <f>Sheet1!U369</f>
        <v>7</v>
      </c>
      <c r="F297" t="str">
        <f t="shared" ref="F297" si="1558">F296</f>
        <v>&lt;record id="</v>
      </c>
      <c r="G297" t="str">
        <f t="shared" ref="G297" si="1559">G296</f>
        <v>" posx="</v>
      </c>
      <c r="H297" t="str">
        <f t="shared" ref="H297" si="1560">H296</f>
        <v>" posy="</v>
      </c>
      <c r="I297" t="str">
        <f t="shared" ref="I297" si="1561">I296</f>
        <v>" dir="</v>
      </c>
      <c r="J297" t="str">
        <f t="shared" ref="J297" si="1562">J296</f>
        <v>"/&gt;</v>
      </c>
      <c r="K297" t="str">
        <f t="shared" ref="K297" si="1563">F297&amp;A297&amp;G297&amp;C297&amp;H297&amp;D297&amp;I297&amp;E297&amp;J297</f>
        <v>&lt;record id="168603" posx="1357" posy="845" dir="7"/&gt;</v>
      </c>
    </row>
    <row r="298" spans="1:11">
      <c r="A298">
        <f>Sheet1!A370</f>
        <v>168604</v>
      </c>
      <c r="B298" t="str">
        <f>Sheet1!B370</f>
        <v>爪牙</v>
      </c>
      <c r="C298">
        <f>Sheet1!Q370</f>
        <v>967</v>
      </c>
      <c r="D298">
        <f>Sheet1!R370</f>
        <v>933</v>
      </c>
      <c r="E298">
        <f>Sheet1!U370</f>
        <v>3</v>
      </c>
      <c r="F298" t="str">
        <f t="shared" ref="F298" si="1564">F297</f>
        <v>&lt;record id="</v>
      </c>
      <c r="G298" t="str">
        <f t="shared" ref="G298" si="1565">G297</f>
        <v>" posx="</v>
      </c>
      <c r="H298" t="str">
        <f t="shared" ref="H298" si="1566">H297</f>
        <v>" posy="</v>
      </c>
      <c r="I298" t="str">
        <f t="shared" ref="I298" si="1567">I297</f>
        <v>" dir="</v>
      </c>
      <c r="J298" t="str">
        <f t="shared" ref="J298" si="1568">J297</f>
        <v>"/&gt;</v>
      </c>
      <c r="K298" t="str">
        <f t="shared" ref="K298" si="1569">F298&amp;A298&amp;G298&amp;C298&amp;H298&amp;D298&amp;I298&amp;E298&amp;J298</f>
        <v>&lt;record id="168604" posx="967" posy="933" dir="3"/&gt;</v>
      </c>
    </row>
    <row r="299" spans="1:11">
      <c r="A299">
        <f>Sheet1!A371</f>
        <v>168605</v>
      </c>
      <c r="B299" t="str">
        <f>Sheet1!B371</f>
        <v>爪牙</v>
      </c>
      <c r="C299">
        <f>Sheet1!Q371</f>
        <v>1189</v>
      </c>
      <c r="D299">
        <f>Sheet1!R371</f>
        <v>1051</v>
      </c>
      <c r="E299">
        <f>Sheet1!U371</f>
        <v>7</v>
      </c>
      <c r="F299" t="str">
        <f t="shared" ref="F299" si="1570">F298</f>
        <v>&lt;record id="</v>
      </c>
      <c r="G299" t="str">
        <f t="shared" ref="G299" si="1571">G298</f>
        <v>" posx="</v>
      </c>
      <c r="H299" t="str">
        <f t="shared" ref="H299" si="1572">H298</f>
        <v>" posy="</v>
      </c>
      <c r="I299" t="str">
        <f t="shared" ref="I299" si="1573">I298</f>
        <v>" dir="</v>
      </c>
      <c r="J299" t="str">
        <f t="shared" ref="J299" si="1574">J298</f>
        <v>"/&gt;</v>
      </c>
      <c r="K299" t="str">
        <f t="shared" ref="K299" si="1575">F299&amp;A299&amp;G299&amp;C299&amp;H299&amp;D299&amp;I299&amp;E299&amp;J299</f>
        <v>&lt;record id="168605" posx="1189" posy="1051" dir="7"/&gt;</v>
      </c>
    </row>
    <row r="300" spans="1:11">
      <c r="A300">
        <f>Sheet1!A372</f>
        <v>168606</v>
      </c>
      <c r="B300" t="str">
        <f>Sheet1!B372</f>
        <v>龙傲</v>
      </c>
      <c r="C300">
        <f>Sheet1!Q372</f>
        <v>162</v>
      </c>
      <c r="D300">
        <f>Sheet1!R372</f>
        <v>912</v>
      </c>
      <c r="E300">
        <f>Sheet1!U372</f>
        <v>3</v>
      </c>
      <c r="F300" t="str">
        <f t="shared" ref="F300" si="1576">F299</f>
        <v>&lt;record id="</v>
      </c>
      <c r="G300" t="str">
        <f t="shared" ref="G300" si="1577">G299</f>
        <v>" posx="</v>
      </c>
      <c r="H300" t="str">
        <f t="shared" ref="H300" si="1578">H299</f>
        <v>" posy="</v>
      </c>
      <c r="I300" t="str">
        <f t="shared" ref="I300" si="1579">I299</f>
        <v>" dir="</v>
      </c>
      <c r="J300" t="str">
        <f t="shared" ref="J300" si="1580">J299</f>
        <v>"/&gt;</v>
      </c>
      <c r="K300" t="str">
        <f t="shared" ref="K300" si="1581">F300&amp;A300&amp;G300&amp;C300&amp;H300&amp;D300&amp;I300&amp;E300&amp;J300</f>
        <v>&lt;record id="168606" posx="162" posy="912" dir="3"/&gt;</v>
      </c>
    </row>
    <row r="301" spans="1:11">
      <c r="A301">
        <f>Sheet1!A373</f>
        <v>168701</v>
      </c>
      <c r="B301" t="str">
        <f>Sheet1!B373</f>
        <v>观音娘娘</v>
      </c>
      <c r="C301">
        <f>Sheet1!Q373</f>
        <v>1158</v>
      </c>
      <c r="D301">
        <f>Sheet1!R373</f>
        <v>1484</v>
      </c>
      <c r="E301">
        <f>Sheet1!U373</f>
        <v>6</v>
      </c>
      <c r="F301" t="str">
        <f t="shared" ref="F301" si="1582">F300</f>
        <v>&lt;record id="</v>
      </c>
      <c r="G301" t="str">
        <f t="shared" ref="G301" si="1583">G300</f>
        <v>" posx="</v>
      </c>
      <c r="H301" t="str">
        <f t="shared" ref="H301" si="1584">H300</f>
        <v>" posy="</v>
      </c>
      <c r="I301" t="str">
        <f t="shared" ref="I301" si="1585">I300</f>
        <v>" dir="</v>
      </c>
      <c r="J301" t="str">
        <f t="shared" ref="J301" si="1586">J300</f>
        <v>"/&gt;</v>
      </c>
      <c r="K301" t="str">
        <f t="shared" ref="K301" si="1587">F301&amp;A301&amp;G301&amp;C301&amp;H301&amp;D301&amp;I301&amp;E301&amp;J301</f>
        <v>&lt;record id="168701" posx="1158" posy="1484" dir="6"/&gt;</v>
      </c>
    </row>
    <row r="302" spans="1:11">
      <c r="A302">
        <f>Sheet1!A374</f>
        <v>168702</v>
      </c>
      <c r="B302" t="str">
        <f>Sheet1!B374</f>
        <v>小白龙</v>
      </c>
      <c r="C302">
        <f>Sheet1!Q374</f>
        <v>1065</v>
      </c>
      <c r="D302">
        <f>Sheet1!R374</f>
        <v>1565</v>
      </c>
      <c r="E302">
        <f>Sheet1!U374</f>
        <v>1</v>
      </c>
      <c r="F302" t="str">
        <f t="shared" ref="F302" si="1588">F301</f>
        <v>&lt;record id="</v>
      </c>
      <c r="G302" t="str">
        <f t="shared" ref="G302" si="1589">G301</f>
        <v>" posx="</v>
      </c>
      <c r="H302" t="str">
        <f t="shared" ref="H302" si="1590">H301</f>
        <v>" posy="</v>
      </c>
      <c r="I302" t="str">
        <f t="shared" ref="I302" si="1591">I301</f>
        <v>" dir="</v>
      </c>
      <c r="J302" t="str">
        <f t="shared" ref="J302" si="1592">J301</f>
        <v>"/&gt;</v>
      </c>
      <c r="K302" t="str">
        <f t="shared" ref="K302" si="1593">F302&amp;A302&amp;G302&amp;C302&amp;H302&amp;D302&amp;I302&amp;E302&amp;J302</f>
        <v>&lt;record id="168702" posx="1065" posy="1565" dir="1"/&gt;</v>
      </c>
    </row>
    <row r="303" spans="1:11">
      <c r="A303">
        <f>Sheet1!A375</f>
        <v>168703</v>
      </c>
      <c r="B303" t="str">
        <f>Sheet1!B375</f>
        <v>大大王</v>
      </c>
      <c r="C303">
        <f>Sheet1!Q375</f>
        <v>1118</v>
      </c>
      <c r="D303">
        <f>Sheet1!R375</f>
        <v>1365</v>
      </c>
      <c r="E303">
        <f>Sheet1!U375</f>
        <v>4</v>
      </c>
      <c r="F303" t="str">
        <f t="shared" ref="F303" si="1594">F302</f>
        <v>&lt;record id="</v>
      </c>
      <c r="G303" t="str">
        <f t="shared" ref="G303" si="1595">G302</f>
        <v>" posx="</v>
      </c>
      <c r="H303" t="str">
        <f t="shared" ref="H303" si="1596">H302</f>
        <v>" posy="</v>
      </c>
      <c r="I303" t="str">
        <f t="shared" ref="I303" si="1597">I302</f>
        <v>" dir="</v>
      </c>
      <c r="J303" t="str">
        <f t="shared" ref="J303" si="1598">J302</f>
        <v>"/&gt;</v>
      </c>
      <c r="K303" t="str">
        <f t="shared" ref="K303" si="1599">F303&amp;A303&amp;G303&amp;C303&amp;H303&amp;D303&amp;I303&amp;E303&amp;J303</f>
        <v>&lt;record id="168703" posx="1118" posy="1365" dir="4"/&gt;</v>
      </c>
    </row>
    <row r="304" spans="1:11">
      <c r="A304">
        <f>Sheet1!A376</f>
        <v>168704</v>
      </c>
      <c r="B304" t="str">
        <f>Sheet1!B376</f>
        <v>盗贼姑娘</v>
      </c>
      <c r="C304">
        <f>Sheet1!Q376</f>
        <v>768</v>
      </c>
      <c r="D304">
        <f>Sheet1!R376</f>
        <v>1248</v>
      </c>
      <c r="E304">
        <f>Sheet1!U376</f>
        <v>3</v>
      </c>
      <c r="F304" t="str">
        <f t="shared" ref="F304" si="1600">F303</f>
        <v>&lt;record id="</v>
      </c>
      <c r="G304" t="str">
        <f t="shared" ref="G304" si="1601">G303</f>
        <v>" posx="</v>
      </c>
      <c r="H304" t="str">
        <f t="shared" ref="H304" si="1602">H303</f>
        <v>" posy="</v>
      </c>
      <c r="I304" t="str">
        <f t="shared" ref="I304" si="1603">I303</f>
        <v>" dir="</v>
      </c>
      <c r="J304" t="str">
        <f t="shared" ref="J304" si="1604">J303</f>
        <v>"/&gt;</v>
      </c>
      <c r="K304" t="str">
        <f t="shared" ref="K304" si="1605">F304&amp;A304&amp;G304&amp;C304&amp;H304&amp;D304&amp;I304&amp;E304&amp;J304</f>
        <v>&lt;record id="168704" posx="768" posy="1248" dir="3"/&gt;</v>
      </c>
    </row>
    <row r="305" spans="1:11">
      <c r="A305">
        <f>Sheet1!A377</f>
        <v>168705</v>
      </c>
      <c r="B305" t="str">
        <f>Sheet1!B377</f>
        <v>袁天罡</v>
      </c>
      <c r="C305">
        <f>Sheet1!Q377</f>
        <v>956</v>
      </c>
      <c r="D305">
        <f>Sheet1!R377</f>
        <v>1279</v>
      </c>
      <c r="E305">
        <f>Sheet1!U377</f>
        <v>5</v>
      </c>
      <c r="F305" t="str">
        <f t="shared" ref="F305" si="1606">F304</f>
        <v>&lt;record id="</v>
      </c>
      <c r="G305" t="str">
        <f t="shared" ref="G305" si="1607">G304</f>
        <v>" posx="</v>
      </c>
      <c r="H305" t="str">
        <f t="shared" ref="H305" si="1608">H304</f>
        <v>" posy="</v>
      </c>
      <c r="I305" t="str">
        <f t="shared" ref="I305" si="1609">I304</f>
        <v>" dir="</v>
      </c>
      <c r="J305" t="str">
        <f t="shared" ref="J305" si="1610">J304</f>
        <v>"/&gt;</v>
      </c>
      <c r="K305" t="str">
        <f t="shared" ref="K305" si="1611">F305&amp;A305&amp;G305&amp;C305&amp;H305&amp;D305&amp;I305&amp;E305&amp;J305</f>
        <v>&lt;record id="168705" posx="956" posy="1279" dir="5"/&gt;</v>
      </c>
    </row>
    <row r="306" spans="1:11">
      <c r="A306">
        <f>Sheet1!A378</f>
        <v>168706</v>
      </c>
      <c r="B306" t="str">
        <f>Sheet1!B378</f>
        <v>花妖</v>
      </c>
      <c r="C306">
        <f>Sheet1!Q378</f>
        <v>576</v>
      </c>
      <c r="D306">
        <f>Sheet1!R378</f>
        <v>1417</v>
      </c>
      <c r="E306">
        <f>Sheet1!U378</f>
        <v>3</v>
      </c>
      <c r="F306" t="str">
        <f t="shared" ref="F306" si="1612">F305</f>
        <v>&lt;record id="</v>
      </c>
      <c r="G306" t="str">
        <f t="shared" ref="G306" si="1613">G305</f>
        <v>" posx="</v>
      </c>
      <c r="H306" t="str">
        <f t="shared" ref="H306" si="1614">H305</f>
        <v>" posy="</v>
      </c>
      <c r="I306" t="str">
        <f t="shared" ref="I306" si="1615">I305</f>
        <v>" dir="</v>
      </c>
      <c r="J306" t="str">
        <f t="shared" ref="J306" si="1616">J305</f>
        <v>"/&gt;</v>
      </c>
      <c r="K306" t="str">
        <f t="shared" ref="K306" si="1617">F306&amp;A306&amp;G306&amp;C306&amp;H306&amp;D306&amp;I306&amp;E306&amp;J306</f>
        <v>&lt;record id="168706" posx="576" posy="1417" dir="3"/&gt;</v>
      </c>
    </row>
    <row r="307" spans="1:11">
      <c r="A307">
        <f>Sheet1!A380</f>
        <v>168801</v>
      </c>
      <c r="B307" t="str">
        <f>Sheet1!B380</f>
        <v>年轻人</v>
      </c>
      <c r="C307">
        <f>Sheet1!Q380</f>
        <v>976</v>
      </c>
      <c r="D307">
        <f>Sheet1!R380</f>
        <v>352</v>
      </c>
      <c r="E307">
        <f>Sheet1!U380</f>
        <v>5</v>
      </c>
      <c r="F307" t="str">
        <f t="shared" ref="F307" si="1618">F306</f>
        <v>&lt;record id="</v>
      </c>
      <c r="G307" t="str">
        <f t="shared" ref="G307" si="1619">G306</f>
        <v>" posx="</v>
      </c>
      <c r="H307" t="str">
        <f t="shared" ref="H307" si="1620">H306</f>
        <v>" posy="</v>
      </c>
      <c r="I307" t="str">
        <f t="shared" ref="I307" si="1621">I306</f>
        <v>" dir="</v>
      </c>
      <c r="J307" t="str">
        <f t="shared" ref="J307" si="1622">J306</f>
        <v>"/&gt;</v>
      </c>
      <c r="K307" t="str">
        <f t="shared" ref="K307" si="1623">F307&amp;A307&amp;G307&amp;C307&amp;H307&amp;D307&amp;I307&amp;E307&amp;J307</f>
        <v>&lt;record id="168801" posx="976" posy="352" dir="5"/&gt;</v>
      </c>
    </row>
    <row r="308" spans="1:11">
      <c r="A308">
        <f>Sheet1!A381</f>
        <v>169301</v>
      </c>
      <c r="B308" t="str">
        <f>Sheet1!B381</f>
        <v>卫兵俘虏</v>
      </c>
      <c r="C308">
        <f>Sheet1!Q381</f>
        <v>292</v>
      </c>
      <c r="D308">
        <f>Sheet1!R381</f>
        <v>207</v>
      </c>
      <c r="E308">
        <f>Sheet1!U381</f>
        <v>5</v>
      </c>
      <c r="F308" t="str">
        <f t="shared" ref="F308" si="1624">F307</f>
        <v>&lt;record id="</v>
      </c>
      <c r="G308" t="str">
        <f t="shared" ref="G308" si="1625">G307</f>
        <v>" posx="</v>
      </c>
      <c r="H308" t="str">
        <f t="shared" ref="H308" si="1626">H307</f>
        <v>" posy="</v>
      </c>
      <c r="I308" t="str">
        <f t="shared" ref="I308" si="1627">I307</f>
        <v>" dir="</v>
      </c>
      <c r="J308" t="str">
        <f t="shared" ref="J308" si="1628">J307</f>
        <v>"/&gt;</v>
      </c>
      <c r="K308" t="str">
        <f t="shared" ref="K308" si="1629">F308&amp;A308&amp;G308&amp;C308&amp;H308&amp;D308&amp;I308&amp;E308&amp;J308</f>
        <v>&lt;record id="169301" posx="292" posy="207" dir="5"/&gt;</v>
      </c>
    </row>
    <row r="309" spans="1:11">
      <c r="A309">
        <f>Sheet1!A382</f>
        <v>169302</v>
      </c>
      <c r="B309" t="str">
        <f>Sheet1!B382</f>
        <v>野蛮卫兵</v>
      </c>
      <c r="C309">
        <f>Sheet1!Q382</f>
        <v>233</v>
      </c>
      <c r="D309">
        <f>Sheet1!R382</f>
        <v>297</v>
      </c>
      <c r="E309">
        <f>Sheet1!U382</f>
        <v>5</v>
      </c>
      <c r="F309" t="str">
        <f t="shared" ref="F309" si="1630">F308</f>
        <v>&lt;record id="</v>
      </c>
      <c r="G309" t="str">
        <f t="shared" ref="G309" si="1631">G308</f>
        <v>" posx="</v>
      </c>
      <c r="H309" t="str">
        <f t="shared" ref="H309" si="1632">H308</f>
        <v>" posy="</v>
      </c>
      <c r="I309" t="str">
        <f t="shared" ref="I309" si="1633">I308</f>
        <v>" dir="</v>
      </c>
      <c r="J309" t="str">
        <f t="shared" ref="J309" si="1634">J308</f>
        <v>"/&gt;</v>
      </c>
      <c r="K309" t="str">
        <f t="shared" ref="K309" si="1635">F309&amp;A309&amp;G309&amp;C309&amp;H309&amp;D309&amp;I309&amp;E309&amp;J309</f>
        <v>&lt;record id="169302" posx="233" posy="297" dir="5"/&gt;</v>
      </c>
    </row>
    <row r="310" spans="1:11">
      <c r="A310">
        <f>Sheet1!A383</f>
        <v>169303</v>
      </c>
      <c r="B310" t="str">
        <f>Sheet1!B383</f>
        <v>艾格纳</v>
      </c>
      <c r="C310">
        <f>Sheet1!Q383</f>
        <v>357</v>
      </c>
      <c r="D310">
        <f>Sheet1!R383</f>
        <v>401</v>
      </c>
      <c r="E310">
        <f>Sheet1!U383</f>
        <v>1</v>
      </c>
      <c r="F310" t="str">
        <f t="shared" ref="F310" si="1636">F309</f>
        <v>&lt;record id="</v>
      </c>
      <c r="G310" t="str">
        <f t="shared" ref="G310" si="1637">G309</f>
        <v>" posx="</v>
      </c>
      <c r="H310" t="str">
        <f t="shared" ref="H310" si="1638">H309</f>
        <v>" posy="</v>
      </c>
      <c r="I310" t="str">
        <f t="shared" ref="I310" si="1639">I309</f>
        <v>" dir="</v>
      </c>
      <c r="J310" t="str">
        <f t="shared" ref="J310" si="1640">J309</f>
        <v>"/&gt;</v>
      </c>
      <c r="K310" t="str">
        <f t="shared" ref="K310" si="1641">F310&amp;A310&amp;G310&amp;C310&amp;H310&amp;D310&amp;I310&amp;E310&amp;J310</f>
        <v>&lt;record id="169303" posx="357" posy="401" dir="1"/&gt;</v>
      </c>
    </row>
    <row r="311" spans="1:11">
      <c r="A311">
        <f>Sheet1!A384</f>
        <v>169304</v>
      </c>
      <c r="B311" t="str">
        <f>Sheet1!B384</f>
        <v>俘虏</v>
      </c>
      <c r="C311">
        <f>Sheet1!Q384</f>
        <v>672</v>
      </c>
      <c r="D311">
        <f>Sheet1!R384</f>
        <v>582</v>
      </c>
      <c r="E311">
        <f>Sheet1!U384</f>
        <v>5</v>
      </c>
      <c r="F311" t="str">
        <f t="shared" ref="F311" si="1642">F310</f>
        <v>&lt;record id="</v>
      </c>
      <c r="G311" t="str">
        <f t="shared" ref="G311" si="1643">G310</f>
        <v>" posx="</v>
      </c>
      <c r="H311" t="str">
        <f t="shared" ref="H311" si="1644">H310</f>
        <v>" posy="</v>
      </c>
      <c r="I311" t="str">
        <f t="shared" ref="I311" si="1645">I310</f>
        <v>" dir="</v>
      </c>
      <c r="J311" t="str">
        <f t="shared" ref="J311" si="1646">J310</f>
        <v>"/&gt;</v>
      </c>
      <c r="K311" t="str">
        <f t="shared" ref="K311" si="1647">F311&amp;A311&amp;G311&amp;C311&amp;H311&amp;D311&amp;I311&amp;E311&amp;J311</f>
        <v>&lt;record id="169304" posx="672" posy="582" dir="5"/&gt;</v>
      </c>
    </row>
    <row r="312" spans="1:11">
      <c r="A312">
        <f>Sheet1!A385</f>
        <v>169401</v>
      </c>
      <c r="B312" t="str">
        <f>Sheet1!B385</f>
        <v>妇人</v>
      </c>
      <c r="C312">
        <f>Sheet1!Q385</f>
        <v>1198</v>
      </c>
      <c r="D312">
        <f>Sheet1!R385</f>
        <v>466</v>
      </c>
      <c r="E312">
        <f>Sheet1!U385</f>
        <v>5</v>
      </c>
      <c r="F312" t="str">
        <f t="shared" ref="F312" si="1648">F311</f>
        <v>&lt;record id="</v>
      </c>
      <c r="G312" t="str">
        <f t="shared" ref="G312" si="1649">G311</f>
        <v>" posx="</v>
      </c>
      <c r="H312" t="str">
        <f t="shared" ref="H312" si="1650">H311</f>
        <v>" posy="</v>
      </c>
      <c r="I312" t="str">
        <f t="shared" ref="I312" si="1651">I311</f>
        <v>" dir="</v>
      </c>
      <c r="J312" t="str">
        <f t="shared" ref="J312" si="1652">J311</f>
        <v>"/&gt;</v>
      </c>
      <c r="K312" t="str">
        <f t="shared" ref="K312" si="1653">F312&amp;A312&amp;G312&amp;C312&amp;H312&amp;D312&amp;I312&amp;E312&amp;J312</f>
        <v>&lt;record id="169401" posx="1198" posy="466" dir="5"/&gt;</v>
      </c>
    </row>
    <row r="313" spans="1:11">
      <c r="A313">
        <f>Sheet1!A386</f>
        <v>169402</v>
      </c>
      <c r="B313" t="str">
        <f>Sheet1!B386</f>
        <v>祖母盖瑞安</v>
      </c>
      <c r="C313">
        <f>Sheet1!Q386</f>
        <v>1906</v>
      </c>
      <c r="D313">
        <f>Sheet1!R386</f>
        <v>1056</v>
      </c>
      <c r="E313">
        <f>Sheet1!U386</f>
        <v>5</v>
      </c>
      <c r="F313" t="str">
        <f t="shared" ref="F313" si="1654">F312</f>
        <v>&lt;record id="</v>
      </c>
      <c r="G313" t="str">
        <f t="shared" ref="G313" si="1655">G312</f>
        <v>" posx="</v>
      </c>
      <c r="H313" t="str">
        <f t="shared" ref="H313" si="1656">H312</f>
        <v>" posy="</v>
      </c>
      <c r="I313" t="str">
        <f t="shared" ref="I313" si="1657">I312</f>
        <v>" dir="</v>
      </c>
      <c r="J313" t="str">
        <f t="shared" ref="J313" si="1658">J312</f>
        <v>"/&gt;</v>
      </c>
      <c r="K313" t="str">
        <f t="shared" ref="K313" si="1659">F313&amp;A313&amp;G313&amp;C313&amp;H313&amp;D313&amp;I313&amp;E313&amp;J313</f>
        <v>&lt;record id="169402" posx="1906" posy="1056" dir="5"/&gt;</v>
      </c>
    </row>
    <row r="314" spans="1:11">
      <c r="A314">
        <f>Sheet1!A387</f>
        <v>169403</v>
      </c>
      <c r="B314" t="str">
        <f>Sheet1!B387</f>
        <v>医师</v>
      </c>
      <c r="C314">
        <f>Sheet1!Q387</f>
        <v>237</v>
      </c>
      <c r="D314">
        <f>Sheet1!R387</f>
        <v>482</v>
      </c>
      <c r="E314">
        <f>Sheet1!U387</f>
        <v>3</v>
      </c>
      <c r="F314" t="str">
        <f t="shared" ref="F314" si="1660">F313</f>
        <v>&lt;record id="</v>
      </c>
      <c r="G314" t="str">
        <f t="shared" ref="G314" si="1661">G313</f>
        <v>" posx="</v>
      </c>
      <c r="H314" t="str">
        <f t="shared" ref="H314" si="1662">H313</f>
        <v>" posy="</v>
      </c>
      <c r="I314" t="str">
        <f t="shared" ref="I314" si="1663">I313</f>
        <v>" dir="</v>
      </c>
      <c r="J314" t="str">
        <f t="shared" ref="J314" si="1664">J313</f>
        <v>"/&gt;</v>
      </c>
      <c r="K314" t="str">
        <f t="shared" ref="K314" si="1665">F314&amp;A314&amp;G314&amp;C314&amp;H314&amp;D314&amp;I314&amp;E314&amp;J314</f>
        <v>&lt;record id="169403" posx="237" posy="482" dir="3"/&gt;</v>
      </c>
    </row>
    <row r="315" spans="1:11">
      <c r="A315">
        <f>Sheet1!A388</f>
        <v>169404</v>
      </c>
      <c r="B315" t="str">
        <f>Sheet1!B388</f>
        <v>袁天罡</v>
      </c>
      <c r="C315">
        <f>Sheet1!Q388</f>
        <v>0</v>
      </c>
      <c r="D315">
        <f>Sheet1!R388</f>
        <v>0</v>
      </c>
      <c r="E315">
        <f>Sheet1!U388</f>
        <v>5</v>
      </c>
      <c r="F315" t="str">
        <f t="shared" ref="F315" si="1666">F314</f>
        <v>&lt;record id="</v>
      </c>
      <c r="G315" t="str">
        <f t="shared" ref="G315" si="1667">G314</f>
        <v>" posx="</v>
      </c>
      <c r="H315" t="str">
        <f t="shared" ref="H315" si="1668">H314</f>
        <v>" posy="</v>
      </c>
      <c r="I315" t="str">
        <f t="shared" ref="I315" si="1669">I314</f>
        <v>" dir="</v>
      </c>
      <c r="J315" t="str">
        <f t="shared" ref="J315" si="1670">J314</f>
        <v>"/&gt;</v>
      </c>
      <c r="K315" t="str">
        <f t="shared" ref="K315" si="1671">F315&amp;A315&amp;G315&amp;C315&amp;H315&amp;D315&amp;I315&amp;E315&amp;J315</f>
        <v>&lt;record id="169404" posx="0" posy="0" dir="5"/&gt;</v>
      </c>
    </row>
    <row r="316" spans="1:11">
      <c r="A316">
        <f>Sheet1!A389</f>
        <v>169405</v>
      </c>
      <c r="B316" t="str">
        <f>Sheet1!B389</f>
        <v>小白龙</v>
      </c>
      <c r="C316">
        <f>Sheet1!Q389</f>
        <v>0</v>
      </c>
      <c r="D316">
        <f>Sheet1!R389</f>
        <v>0</v>
      </c>
      <c r="E316">
        <f>Sheet1!U389</f>
        <v>5</v>
      </c>
      <c r="F316" t="str">
        <f t="shared" ref="F316" si="1672">F315</f>
        <v>&lt;record id="</v>
      </c>
      <c r="G316" t="str">
        <f t="shared" ref="G316" si="1673">G315</f>
        <v>" posx="</v>
      </c>
      <c r="H316" t="str">
        <f t="shared" ref="H316" si="1674">H315</f>
        <v>" posy="</v>
      </c>
      <c r="I316" t="str">
        <f t="shared" ref="I316" si="1675">I315</f>
        <v>" dir="</v>
      </c>
      <c r="J316" t="str">
        <f t="shared" ref="J316:J321" si="1676">J315</f>
        <v>"/&gt;</v>
      </c>
      <c r="K316" t="str">
        <f t="shared" ref="K316" si="1677">F316&amp;A316&amp;G316&amp;C316&amp;H316&amp;D316&amp;I316&amp;E316&amp;J316</f>
        <v>&lt;record id="169405" posx="0" posy="0" dir="5"/&gt;</v>
      </c>
    </row>
    <row r="317" spans="1:11">
      <c r="A317">
        <f>Sheet1!A390</f>
        <v>169406</v>
      </c>
      <c r="B317" t="str">
        <f>Sheet1!B390</f>
        <v>索尔</v>
      </c>
      <c r="C317">
        <f>Sheet1!Q390</f>
        <v>1006</v>
      </c>
      <c r="D317">
        <f>Sheet1!R390</f>
        <v>798</v>
      </c>
      <c r="E317">
        <f>Sheet1!U390</f>
        <v>1</v>
      </c>
      <c r="F317" t="str">
        <f t="shared" ref="F317" si="1678">F316</f>
        <v>&lt;record id="</v>
      </c>
      <c r="G317" t="str">
        <f t="shared" ref="G317:G322" si="1679">G316</f>
        <v>" posx="</v>
      </c>
      <c r="H317" t="str">
        <f t="shared" ref="H317" si="1680">H316</f>
        <v>" posy="</v>
      </c>
      <c r="I317" t="str">
        <f t="shared" ref="I317" si="1681">I316</f>
        <v>" dir="</v>
      </c>
      <c r="J317" t="str">
        <f t="shared" si="1676"/>
        <v>"/&gt;</v>
      </c>
      <c r="K317" t="str">
        <f t="shared" ref="K317:K322" si="1682">F317&amp;A317&amp;G317&amp;C317&amp;H317&amp;D317&amp;I317&amp;E317&amp;J317</f>
        <v>&lt;record id="169406" posx="1006" posy="798" dir="1"/&gt;</v>
      </c>
    </row>
    <row r="318" spans="1:11">
      <c r="A318">
        <f>Sheet1!A391</f>
        <v>169501</v>
      </c>
      <c r="B318" t="str">
        <f>Sheet1!B391</f>
        <v>袁天罡</v>
      </c>
      <c r="C318">
        <f>Sheet1!Q391</f>
        <v>1034</v>
      </c>
      <c r="D318">
        <f>Sheet1!R391</f>
        <v>227</v>
      </c>
      <c r="E318">
        <f>Sheet1!U391</f>
        <v>5</v>
      </c>
      <c r="F318" t="str">
        <f t="shared" ref="F318" si="1683">F317</f>
        <v>&lt;record id="</v>
      </c>
      <c r="G318" t="str">
        <f t="shared" si="1679"/>
        <v>" posx="</v>
      </c>
      <c r="H318" t="str">
        <f t="shared" ref="H318" si="1684">H317</f>
        <v>" posy="</v>
      </c>
      <c r="I318" t="str">
        <f t="shared" ref="I318:I321" si="1685">I317</f>
        <v>" dir="</v>
      </c>
      <c r="J318" t="str">
        <f t="shared" si="1676"/>
        <v>"/&gt;</v>
      </c>
      <c r="K318" t="str">
        <f t="shared" si="1682"/>
        <v>&lt;record id="169501" posx="1034" posy="227" dir="5"/&gt;</v>
      </c>
    </row>
    <row r="319" spans="1:11">
      <c r="A319">
        <f>Sheet1!A392</f>
        <v>169502</v>
      </c>
      <c r="B319" t="str">
        <f>Sheet1!B392</f>
        <v>嘲风</v>
      </c>
      <c r="C319">
        <f>Sheet1!Q392</f>
        <v>554</v>
      </c>
      <c r="D319">
        <f>Sheet1!R392</f>
        <v>535</v>
      </c>
      <c r="E319">
        <f>Sheet1!U392</f>
        <v>3</v>
      </c>
      <c r="F319" t="str">
        <f t="shared" ref="F319:F322" si="1686">F318</f>
        <v>&lt;record id="</v>
      </c>
      <c r="G319" t="str">
        <f t="shared" si="1679"/>
        <v>" posx="</v>
      </c>
      <c r="H319" t="str">
        <f t="shared" ref="H319:H321" si="1687">H318</f>
        <v>" posy="</v>
      </c>
      <c r="I319" t="str">
        <f t="shared" si="1685"/>
        <v>" dir="</v>
      </c>
      <c r="J319" t="str">
        <f t="shared" si="1676"/>
        <v>"/&gt;</v>
      </c>
      <c r="K319" t="str">
        <f t="shared" si="1682"/>
        <v>&lt;record id="169502" posx="554" posy="535" dir="3"/&gt;</v>
      </c>
    </row>
    <row r="320" spans="1:11">
      <c r="A320">
        <f>Sheet1!A393</f>
        <v>169503</v>
      </c>
      <c r="B320" t="str">
        <f>Sheet1!B393</f>
        <v>空灵</v>
      </c>
      <c r="C320">
        <f>Sheet1!Q393</f>
        <v>760</v>
      </c>
      <c r="D320">
        <f>Sheet1!R393</f>
        <v>1307</v>
      </c>
      <c r="E320">
        <f>Sheet1!U393</f>
        <v>7</v>
      </c>
      <c r="F320" t="str">
        <f t="shared" si="1686"/>
        <v>&lt;record id="</v>
      </c>
      <c r="G320" t="str">
        <f t="shared" si="1679"/>
        <v>" posx="</v>
      </c>
      <c r="H320" t="str">
        <f t="shared" si="1687"/>
        <v>" posy="</v>
      </c>
      <c r="I320" t="str">
        <f t="shared" si="1685"/>
        <v>" dir="</v>
      </c>
      <c r="J320" t="str">
        <f t="shared" si="1676"/>
        <v>"/&gt;</v>
      </c>
      <c r="K320" t="str">
        <f t="shared" si="1682"/>
        <v>&lt;record id="169503" posx="760" posy="1307" dir="7"/&gt;</v>
      </c>
    </row>
    <row r="321" spans="1:11">
      <c r="A321">
        <f>Sheet1!A394</f>
        <v>169504</v>
      </c>
      <c r="B321" t="str">
        <f>Sheet1!B394</f>
        <v>索尔</v>
      </c>
      <c r="C321">
        <f>Sheet1!Q394</f>
        <v>0</v>
      </c>
      <c r="D321">
        <f>Sheet1!R394</f>
        <v>0</v>
      </c>
      <c r="E321">
        <f>Sheet1!U394</f>
        <v>0</v>
      </c>
      <c r="F321" t="str">
        <f t="shared" si="1686"/>
        <v>&lt;record id="</v>
      </c>
      <c r="G321" t="str">
        <f t="shared" si="1679"/>
        <v>" posx="</v>
      </c>
      <c r="H321" t="str">
        <f t="shared" si="1687"/>
        <v>" posy="</v>
      </c>
      <c r="I321" t="str">
        <f t="shared" si="1685"/>
        <v>" dir="</v>
      </c>
      <c r="J321" t="str">
        <f t="shared" si="1676"/>
        <v>"/&gt;</v>
      </c>
      <c r="K321" t="str">
        <f t="shared" si="1682"/>
        <v>&lt;record id="169504" posx="0" posy="0" dir="0"/&gt;</v>
      </c>
    </row>
    <row r="322" spans="1:11">
      <c r="A322">
        <f>Sheet1!A395</f>
        <v>169601</v>
      </c>
      <c r="B322" t="str">
        <f>Sheet1!B395</f>
        <v>战士</v>
      </c>
      <c r="C322">
        <f>Sheet1!Q395</f>
        <v>845</v>
      </c>
      <c r="D322">
        <f>Sheet1!R395</f>
        <v>1246</v>
      </c>
      <c r="E322">
        <f>Sheet1!U395</f>
        <v>3</v>
      </c>
      <c r="F322" t="str">
        <f t="shared" si="1686"/>
        <v>&lt;record id="</v>
      </c>
      <c r="G322" t="str">
        <f t="shared" si="1679"/>
        <v>" posx="</v>
      </c>
      <c r="H322" t="str">
        <f t="shared" ref="H322" si="1688">H321</f>
        <v>" posy="</v>
      </c>
      <c r="I322" t="str">
        <f t="shared" ref="I322" si="1689">I321</f>
        <v>" dir="</v>
      </c>
      <c r="J322" t="str">
        <f t="shared" ref="J322" si="1690">J321</f>
        <v>"/&gt;</v>
      </c>
      <c r="K322" t="str">
        <f t="shared" si="1682"/>
        <v>&lt;record id="169601" posx="845" posy="1246" dir="3"/&gt;</v>
      </c>
    </row>
    <row r="323" spans="1:11">
      <c r="A323">
        <f>Sheet1!A396</f>
        <v>169602</v>
      </c>
      <c r="B323" t="str">
        <f>Sheet1!B396</f>
        <v>妇人</v>
      </c>
      <c r="C323">
        <f>Sheet1!Q396</f>
        <v>712</v>
      </c>
      <c r="D323">
        <f>Sheet1!R396</f>
        <v>1434</v>
      </c>
      <c r="E323">
        <f>Sheet1!U396</f>
        <v>3</v>
      </c>
      <c r="F323" t="str">
        <f t="shared" ref="F323" si="1691">F322</f>
        <v>&lt;record id="</v>
      </c>
      <c r="G323" t="str">
        <f t="shared" ref="G323" si="1692">G322</f>
        <v>" posx="</v>
      </c>
      <c r="H323" t="str">
        <f t="shared" ref="H323" si="1693">H322</f>
        <v>" posy="</v>
      </c>
      <c r="I323" t="str">
        <f t="shared" ref="I323" si="1694">I322</f>
        <v>" dir="</v>
      </c>
      <c r="J323" t="str">
        <f t="shared" ref="J323" si="1695">J322</f>
        <v>"/&gt;</v>
      </c>
      <c r="K323" t="str">
        <f t="shared" ref="K323" si="1696">F323&amp;A323&amp;G323&amp;C323&amp;H323&amp;D323&amp;I323&amp;E323&amp;J323</f>
        <v>&lt;record id="169602" posx="712" posy="1434" dir="3"/&gt;</v>
      </c>
    </row>
    <row r="324" spans="1:11">
      <c r="A324">
        <f>Sheet1!A397</f>
        <v>169603</v>
      </c>
      <c r="B324" t="str">
        <f>Sheet1!B397</f>
        <v>洛斯</v>
      </c>
      <c r="C324">
        <f>Sheet1!Q397</f>
        <v>1424</v>
      </c>
      <c r="D324">
        <f>Sheet1!R397</f>
        <v>1563</v>
      </c>
      <c r="E324">
        <f>Sheet1!U397</f>
        <v>5</v>
      </c>
      <c r="F324" t="str">
        <f t="shared" ref="F324" si="1697">F323</f>
        <v>&lt;record id="</v>
      </c>
      <c r="G324" t="str">
        <f t="shared" ref="G324" si="1698">G323</f>
        <v>" posx="</v>
      </c>
      <c r="H324" t="str">
        <f t="shared" ref="H324" si="1699">H323</f>
        <v>" posy="</v>
      </c>
      <c r="I324" t="str">
        <f t="shared" ref="I324" si="1700">I323</f>
        <v>" dir="</v>
      </c>
      <c r="J324" t="str">
        <f t="shared" ref="J324" si="1701">J323</f>
        <v>"/&gt;</v>
      </c>
      <c r="K324" t="str">
        <f t="shared" ref="K324" si="1702">F324&amp;A324&amp;G324&amp;C324&amp;H324&amp;D324&amp;I324&amp;E324&amp;J324</f>
        <v>&lt;record id="169603" posx="1424" posy="1563" dir="5"/&gt;</v>
      </c>
    </row>
    <row r="325" spans="1:11">
      <c r="A325">
        <f>Sheet1!A398</f>
        <v>169604</v>
      </c>
      <c r="B325" t="str">
        <f>Sheet1!B398</f>
        <v>树灵长老</v>
      </c>
      <c r="C325">
        <f>Sheet1!Q398</f>
        <v>1315</v>
      </c>
      <c r="D325">
        <f>Sheet1!R398</f>
        <v>1527</v>
      </c>
      <c r="E325">
        <f>Sheet1!U398</f>
        <v>3</v>
      </c>
      <c r="F325" t="str">
        <f t="shared" ref="F325" si="1703">F324</f>
        <v>&lt;record id="</v>
      </c>
      <c r="G325" t="str">
        <f t="shared" ref="G325" si="1704">G324</f>
        <v>" posx="</v>
      </c>
      <c r="H325" t="str">
        <f t="shared" ref="H325" si="1705">H324</f>
        <v>" posy="</v>
      </c>
      <c r="I325" t="str">
        <f t="shared" ref="I325" si="1706">I324</f>
        <v>" dir="</v>
      </c>
      <c r="J325" t="str">
        <f t="shared" ref="J325" si="1707">J324</f>
        <v>"/&gt;</v>
      </c>
      <c r="K325" t="str">
        <f t="shared" ref="K325" si="1708">F325&amp;A325&amp;G325&amp;C325&amp;H325&amp;D325&amp;I325&amp;E325&amp;J325</f>
        <v>&lt;record id="169604" posx="1315" posy="1527" dir="3"/&gt;</v>
      </c>
    </row>
    <row r="326" spans="1:11">
      <c r="A326">
        <f>Sheet1!A399</f>
        <v>169605</v>
      </c>
      <c r="B326" t="str">
        <f>Sheet1!B399</f>
        <v>医师</v>
      </c>
      <c r="C326">
        <f>Sheet1!Q399</f>
        <v>925</v>
      </c>
      <c r="D326">
        <f>Sheet1!R399</f>
        <v>1288</v>
      </c>
      <c r="E326">
        <f>Sheet1!U399</f>
        <v>5</v>
      </c>
      <c r="F326" t="str">
        <f t="shared" ref="F326" si="1709">F325</f>
        <v>&lt;record id="</v>
      </c>
      <c r="G326" t="str">
        <f t="shared" ref="G326" si="1710">G325</f>
        <v>" posx="</v>
      </c>
      <c r="H326" t="str">
        <f t="shared" ref="H326" si="1711">H325</f>
        <v>" posy="</v>
      </c>
      <c r="I326" t="str">
        <f t="shared" ref="I326" si="1712">I325</f>
        <v>" dir="</v>
      </c>
      <c r="J326" t="str">
        <f t="shared" ref="J326" si="1713">J325</f>
        <v>"/&gt;</v>
      </c>
      <c r="K326" t="str">
        <f t="shared" ref="K326" si="1714">F326&amp;A326&amp;G326&amp;C326&amp;H326&amp;D326&amp;I326&amp;E326&amp;J326</f>
        <v>&lt;record id="169605" posx="925" posy="1288" dir="5"/&gt;</v>
      </c>
    </row>
    <row r="327" spans="1:11">
      <c r="A327">
        <f>Sheet1!A400</f>
        <v>169606</v>
      </c>
      <c r="B327" t="str">
        <f>Sheet1!B400</f>
        <v>魔王</v>
      </c>
      <c r="C327">
        <f>Sheet1!Q400</f>
        <v>1300</v>
      </c>
      <c r="D327">
        <f>Sheet1!R400</f>
        <v>245</v>
      </c>
      <c r="E327">
        <f>Sheet1!U400</f>
        <v>5</v>
      </c>
      <c r="F327" t="str">
        <f t="shared" ref="F327" si="1715">F326</f>
        <v>&lt;record id="</v>
      </c>
      <c r="G327" t="str">
        <f t="shared" ref="G327" si="1716">G326</f>
        <v>" posx="</v>
      </c>
      <c r="H327" t="str">
        <f t="shared" ref="H327" si="1717">H326</f>
        <v>" posy="</v>
      </c>
      <c r="I327" t="str">
        <f t="shared" ref="I327" si="1718">I326</f>
        <v>" dir="</v>
      </c>
      <c r="J327" t="str">
        <f t="shared" ref="J327" si="1719">J326</f>
        <v>"/&gt;</v>
      </c>
      <c r="K327" t="str">
        <f t="shared" ref="K327" si="1720">F327&amp;A327&amp;G327&amp;C327&amp;H327&amp;D327&amp;I327&amp;E327&amp;J327</f>
        <v>&lt;record id="169606" posx="1300" posy="245" dir="5"/&gt;</v>
      </c>
    </row>
    <row r="328" spans="1:11">
      <c r="A328">
        <f>Sheet1!A401</f>
        <v>169607</v>
      </c>
      <c r="B328" t="str">
        <f>Sheet1!B401</f>
        <v>魔王</v>
      </c>
      <c r="C328">
        <f>Sheet1!Q401</f>
        <v>1220</v>
      </c>
      <c r="D328">
        <f>Sheet1!R401</f>
        <v>253</v>
      </c>
      <c r="E328">
        <f>Sheet1!U401</f>
        <v>3</v>
      </c>
      <c r="F328" t="str">
        <f t="shared" ref="F328" si="1721">F327</f>
        <v>&lt;record id="</v>
      </c>
      <c r="G328" t="str">
        <f t="shared" ref="G328" si="1722">G327</f>
        <v>" posx="</v>
      </c>
      <c r="H328" t="str">
        <f t="shared" ref="H328" si="1723">H327</f>
        <v>" posy="</v>
      </c>
      <c r="I328" t="str">
        <f t="shared" ref="I328" si="1724">I327</f>
        <v>" dir="</v>
      </c>
      <c r="J328" t="str">
        <f t="shared" ref="J328" si="1725">J327</f>
        <v>"/&gt;</v>
      </c>
      <c r="K328" t="str">
        <f t="shared" ref="K328" si="1726">F328&amp;A328&amp;G328&amp;C328&amp;H328&amp;D328&amp;I328&amp;E328&amp;J328</f>
        <v>&lt;record id="169607" posx="1220" posy="253" dir="3"/&gt;</v>
      </c>
    </row>
    <row r="329" spans="1:11">
      <c r="A329">
        <f>Sheet1!A402</f>
        <v>169608</v>
      </c>
      <c r="B329" t="str">
        <f>Sheet1!B402</f>
        <v>土地</v>
      </c>
      <c r="C329">
        <f>Sheet1!Q402</f>
        <v>760</v>
      </c>
      <c r="D329">
        <f>Sheet1!R402</f>
        <v>1390</v>
      </c>
      <c r="E329">
        <f>Sheet1!U402</f>
        <v>3</v>
      </c>
      <c r="F329" t="str">
        <f t="shared" ref="F329" si="1727">F328</f>
        <v>&lt;record id="</v>
      </c>
      <c r="G329" t="str">
        <f t="shared" ref="G329" si="1728">G328</f>
        <v>" posx="</v>
      </c>
      <c r="H329" t="str">
        <f t="shared" ref="H329" si="1729">H328</f>
        <v>" posy="</v>
      </c>
      <c r="I329" t="str">
        <f t="shared" ref="I329" si="1730">I328</f>
        <v>" dir="</v>
      </c>
      <c r="J329" t="str">
        <f t="shared" ref="J329" si="1731">J328</f>
        <v>"/&gt;</v>
      </c>
      <c r="K329" t="str">
        <f t="shared" ref="K329" si="1732">F329&amp;A329&amp;G329&amp;C329&amp;H329&amp;D329&amp;I329&amp;E329&amp;J329</f>
        <v>&lt;record id="169608" posx="760" posy="1390" dir="3"/&gt;</v>
      </c>
    </row>
    <row r="330" spans="1:11">
      <c r="A330">
        <f>Sheet1!A403</f>
        <v>169609</v>
      </c>
      <c r="B330" t="str">
        <f>Sheet1!B403</f>
        <v>老孙头</v>
      </c>
      <c r="C330">
        <f>Sheet1!Q403</f>
        <v>870</v>
      </c>
      <c r="D330">
        <f>Sheet1!R403</f>
        <v>1432</v>
      </c>
      <c r="E330">
        <f>Sheet1!U403</f>
        <v>5</v>
      </c>
      <c r="F330" t="str">
        <f t="shared" ref="F330" si="1733">F329</f>
        <v>&lt;record id="</v>
      </c>
      <c r="G330" t="str">
        <f t="shared" ref="G330" si="1734">G329</f>
        <v>" posx="</v>
      </c>
      <c r="H330" t="str">
        <f t="shared" ref="H330" si="1735">H329</f>
        <v>" posy="</v>
      </c>
      <c r="I330" t="str">
        <f t="shared" ref="I330" si="1736">I329</f>
        <v>" dir="</v>
      </c>
      <c r="J330" t="str">
        <f t="shared" ref="J330" si="1737">J329</f>
        <v>"/&gt;</v>
      </c>
      <c r="K330" t="str">
        <f t="shared" ref="K330" si="1738">F330&amp;A330&amp;G330&amp;C330&amp;H330&amp;D330&amp;I330&amp;E330&amp;J330</f>
        <v>&lt;record id="169609" posx="870" posy="1432" dir="5"/&gt;</v>
      </c>
    </row>
    <row r="331" spans="1:11">
      <c r="A331">
        <f>Sheet1!A404</f>
        <v>169610</v>
      </c>
      <c r="B331" t="str">
        <f>Sheet1!B404</f>
        <v>洛斯</v>
      </c>
      <c r="C331">
        <f>Sheet1!Q404</f>
        <v>1268</v>
      </c>
      <c r="D331">
        <f>Sheet1!R404</f>
        <v>289</v>
      </c>
      <c r="E331">
        <f>Sheet1!U404</f>
        <v>3</v>
      </c>
      <c r="F331" t="str">
        <f t="shared" ref="F331" si="1739">F330</f>
        <v>&lt;record id="</v>
      </c>
      <c r="G331" t="str">
        <f t="shared" ref="G331" si="1740">G330</f>
        <v>" posx="</v>
      </c>
      <c r="H331" t="str">
        <f t="shared" ref="H331" si="1741">H330</f>
        <v>" posy="</v>
      </c>
      <c r="I331" t="str">
        <f t="shared" ref="I331" si="1742">I330</f>
        <v>" dir="</v>
      </c>
      <c r="J331" t="str">
        <f t="shared" ref="J331" si="1743">J330</f>
        <v>"/&gt;</v>
      </c>
      <c r="K331" t="str">
        <f t="shared" ref="K331" si="1744">F331&amp;A331&amp;G331&amp;C331&amp;H331&amp;D331&amp;I331&amp;E331&amp;J331</f>
        <v>&lt;record id="169610" posx="1268" posy="289" dir="3"/&gt;</v>
      </c>
    </row>
    <row r="332" spans="1:11">
      <c r="A332">
        <f>Sheet1!A413</f>
        <v>169701</v>
      </c>
      <c r="B332" t="str">
        <f>Sheet1!B413</f>
        <v>索尔</v>
      </c>
      <c r="C332">
        <f>Sheet1!Q413</f>
        <v>283</v>
      </c>
      <c r="D332">
        <f>Sheet1!R413</f>
        <v>489</v>
      </c>
      <c r="E332">
        <f>Sheet1!U413</f>
        <v>3</v>
      </c>
      <c r="F332" t="str">
        <f t="shared" ref="F332" si="1745">F331</f>
        <v>&lt;record id="</v>
      </c>
      <c r="G332" t="str">
        <f t="shared" ref="G332" si="1746">G331</f>
        <v>" posx="</v>
      </c>
      <c r="H332" t="str">
        <f t="shared" ref="H332" si="1747">H331</f>
        <v>" posy="</v>
      </c>
      <c r="I332" t="str">
        <f t="shared" ref="I332" si="1748">I331</f>
        <v>" dir="</v>
      </c>
      <c r="J332" t="str">
        <f t="shared" ref="J332" si="1749">J331</f>
        <v>"/&gt;</v>
      </c>
      <c r="K332" t="str">
        <f t="shared" ref="K332" si="1750">F332&amp;A332&amp;G332&amp;C332&amp;H332&amp;D332&amp;I332&amp;E332&amp;J332</f>
        <v>&lt;record id="169701" posx="283" posy="489" dir="3"/&gt;</v>
      </c>
    </row>
    <row r="333" spans="1:11">
      <c r="A333">
        <f>Sheet1!A414</f>
        <v>169702</v>
      </c>
      <c r="B333" t="str">
        <f>Sheet1!B414</f>
        <v>土地</v>
      </c>
      <c r="C333">
        <f>Sheet1!Q414</f>
        <v>430</v>
      </c>
      <c r="D333">
        <f>Sheet1!R414</f>
        <v>447</v>
      </c>
      <c r="E333">
        <f>Sheet1!U414</f>
        <v>5</v>
      </c>
      <c r="F333" t="str">
        <f t="shared" ref="F333" si="1751">F332</f>
        <v>&lt;record id="</v>
      </c>
      <c r="G333" t="str">
        <f t="shared" ref="G333" si="1752">G332</f>
        <v>" posx="</v>
      </c>
      <c r="H333" t="str">
        <f t="shared" ref="H333" si="1753">H332</f>
        <v>" posy="</v>
      </c>
      <c r="I333" t="str">
        <f t="shared" ref="I333" si="1754">I332</f>
        <v>" dir="</v>
      </c>
      <c r="J333" t="str">
        <f t="shared" ref="J333" si="1755">J332</f>
        <v>"/&gt;</v>
      </c>
      <c r="K333" t="str">
        <f t="shared" ref="K333" si="1756">F333&amp;A333&amp;G333&amp;C333&amp;H333&amp;D333&amp;I333&amp;E333&amp;J333</f>
        <v>&lt;record id="169702" posx="430" posy="447" dir="5"/&gt;</v>
      </c>
    </row>
    <row r="334" spans="1:11">
      <c r="A334">
        <f>Sheet1!A415</f>
        <v>169801</v>
      </c>
      <c r="B334" t="str">
        <f>Sheet1!B415</f>
        <v>魔王</v>
      </c>
      <c r="C334">
        <f>Sheet1!Q415</f>
        <v>838</v>
      </c>
      <c r="D334">
        <f>Sheet1!R415</f>
        <v>1319</v>
      </c>
      <c r="E334">
        <f>Sheet1!U415</f>
        <v>7</v>
      </c>
      <c r="F334" t="str">
        <f t="shared" ref="F334" si="1757">F333</f>
        <v>&lt;record id="</v>
      </c>
      <c r="G334" t="str">
        <f t="shared" ref="G334" si="1758">G333</f>
        <v>" posx="</v>
      </c>
      <c r="H334" t="str">
        <f t="shared" ref="H334" si="1759">H333</f>
        <v>" posy="</v>
      </c>
      <c r="I334" t="str">
        <f t="shared" ref="I334" si="1760">I333</f>
        <v>" dir="</v>
      </c>
      <c r="J334" t="str">
        <f t="shared" ref="J334" si="1761">J333</f>
        <v>"/&gt;</v>
      </c>
      <c r="K334" t="str">
        <f t="shared" ref="K334" si="1762">F334&amp;A334&amp;G334&amp;C334&amp;H334&amp;D334&amp;I334&amp;E334&amp;J334</f>
        <v>&lt;record id="169801" posx="838" posy="1319" dir="7"/&gt;</v>
      </c>
    </row>
    <row r="335" spans="1:11">
      <c r="A335">
        <f>Sheet1!A416</f>
        <v>169802</v>
      </c>
      <c r="B335" t="str">
        <f>Sheet1!B416</f>
        <v>魔王</v>
      </c>
      <c r="C335">
        <f>Sheet1!Q416</f>
        <v>760</v>
      </c>
      <c r="D335">
        <f>Sheet1!R416</f>
        <v>705</v>
      </c>
      <c r="E335">
        <f>Sheet1!U416</f>
        <v>3</v>
      </c>
      <c r="F335" t="str">
        <f t="shared" ref="F335" si="1763">F334</f>
        <v>&lt;record id="</v>
      </c>
      <c r="G335" t="str">
        <f t="shared" ref="G335" si="1764">G334</f>
        <v>" posx="</v>
      </c>
      <c r="H335" t="str">
        <f t="shared" ref="H335" si="1765">H334</f>
        <v>" posy="</v>
      </c>
      <c r="I335" t="str">
        <f t="shared" ref="I335" si="1766">I334</f>
        <v>" dir="</v>
      </c>
      <c r="J335" t="str">
        <f t="shared" ref="J335" si="1767">J334</f>
        <v>"/&gt;</v>
      </c>
      <c r="K335" t="str">
        <f t="shared" ref="K335" si="1768">F335&amp;A335&amp;G335&amp;C335&amp;H335&amp;D335&amp;I335&amp;E335&amp;J335</f>
        <v>&lt;record id="169802" posx="760" posy="705" dir="3"/&gt;</v>
      </c>
    </row>
    <row r="336" spans="1:11">
      <c r="A336">
        <f>Sheet1!A417</f>
        <v>169803</v>
      </c>
      <c r="B336" t="str">
        <f>Sheet1!B417</f>
        <v>妇人</v>
      </c>
      <c r="C336">
        <f>Sheet1!Q417</f>
        <v>988</v>
      </c>
      <c r="D336">
        <f>Sheet1!R417</f>
        <v>1254</v>
      </c>
      <c r="E336">
        <f>Sheet1!U417</f>
        <v>5</v>
      </c>
      <c r="F336" t="str">
        <f t="shared" ref="F336" si="1769">F335</f>
        <v>&lt;record id="</v>
      </c>
      <c r="G336" t="str">
        <f t="shared" ref="G336" si="1770">G335</f>
        <v>" posx="</v>
      </c>
      <c r="H336" t="str">
        <f t="shared" ref="H336" si="1771">H335</f>
        <v>" posy="</v>
      </c>
      <c r="I336" t="str">
        <f t="shared" ref="I336" si="1772">I335</f>
        <v>" dir="</v>
      </c>
      <c r="J336" t="str">
        <f t="shared" ref="J336" si="1773">J335</f>
        <v>"/&gt;</v>
      </c>
      <c r="K336" t="str">
        <f t="shared" ref="K336" si="1774">F336&amp;A336&amp;G336&amp;C336&amp;H336&amp;D336&amp;I336&amp;E336&amp;J336</f>
        <v>&lt;record id="169803" posx="988" posy="1254" dir="5"/&gt;</v>
      </c>
    </row>
    <row r="337" spans="1:11">
      <c r="A337">
        <f>Sheet1!A418</f>
        <v>169804</v>
      </c>
      <c r="B337" t="str">
        <f>Sheet1!B418</f>
        <v>索尔</v>
      </c>
      <c r="C337">
        <f>Sheet1!Q418</f>
        <v>886</v>
      </c>
      <c r="D337">
        <f>Sheet1!R418</f>
        <v>1242</v>
      </c>
      <c r="E337">
        <f>Sheet1!U418</f>
        <v>3</v>
      </c>
      <c r="F337" t="str">
        <f t="shared" ref="F337" si="1775">F336</f>
        <v>&lt;record id="</v>
      </c>
      <c r="G337" t="str">
        <f t="shared" ref="G337" si="1776">G336</f>
        <v>" posx="</v>
      </c>
      <c r="H337" t="str">
        <f t="shared" ref="H337" si="1777">H336</f>
        <v>" posy="</v>
      </c>
      <c r="I337" t="str">
        <f t="shared" ref="I337" si="1778">I336</f>
        <v>" dir="</v>
      </c>
      <c r="J337" t="str">
        <f t="shared" ref="J337" si="1779">J336</f>
        <v>"/&gt;</v>
      </c>
      <c r="K337" t="str">
        <f t="shared" ref="K337" si="1780">F337&amp;A337&amp;G337&amp;C337&amp;H337&amp;D337&amp;I337&amp;E337&amp;J337</f>
        <v>&lt;record id="169804" posx="886" posy="1242" dir="3"/&gt;</v>
      </c>
    </row>
    <row r="338" spans="1:11">
      <c r="A338">
        <f>Sheet1!A420</f>
        <v>164401</v>
      </c>
      <c r="B338" t="str">
        <f>Sheet1!B420</f>
        <v>元帅</v>
      </c>
      <c r="C338">
        <f>Sheet1!Q420</f>
        <v>0</v>
      </c>
      <c r="D338">
        <f>Sheet1!R420</f>
        <v>0</v>
      </c>
      <c r="E338">
        <f>Sheet1!U420</f>
        <v>0</v>
      </c>
      <c r="F338" t="str">
        <f t="shared" ref="F338" si="1781">F337</f>
        <v>&lt;record id="</v>
      </c>
      <c r="G338" t="str">
        <f t="shared" ref="G338" si="1782">G337</f>
        <v>" posx="</v>
      </c>
      <c r="H338" t="str">
        <f t="shared" ref="H338" si="1783">H337</f>
        <v>" posy="</v>
      </c>
      <c r="I338" t="str">
        <f t="shared" ref="I338" si="1784">I337</f>
        <v>" dir="</v>
      </c>
      <c r="J338" t="str">
        <f t="shared" ref="J338" si="1785">J337</f>
        <v>"/&gt;</v>
      </c>
      <c r="K338" t="str">
        <f t="shared" ref="K338" si="1786">F338&amp;A338&amp;G338&amp;C338&amp;H338&amp;D338&amp;I338&amp;E338&amp;J338</f>
        <v>&lt;record id="164401" posx="0" posy="0" dir="0"/&gt;</v>
      </c>
    </row>
    <row r="339" spans="1:11">
      <c r="A339">
        <f>Sheet1!A421</f>
        <v>164402</v>
      </c>
      <c r="B339" t="str">
        <f>Sheet1!B421</f>
        <v>黑岩将军</v>
      </c>
      <c r="C339">
        <f>Sheet1!Q421</f>
        <v>0</v>
      </c>
      <c r="D339">
        <f>Sheet1!R421</f>
        <v>0</v>
      </c>
      <c r="E339">
        <f>Sheet1!U421</f>
        <v>0</v>
      </c>
      <c r="F339" t="str">
        <f t="shared" ref="F339" si="1787">F338</f>
        <v>&lt;record id="</v>
      </c>
      <c r="G339" t="str">
        <f t="shared" ref="G339" si="1788">G338</f>
        <v>" posx="</v>
      </c>
      <c r="H339" t="str">
        <f t="shared" ref="H339" si="1789">H338</f>
        <v>" posy="</v>
      </c>
      <c r="I339" t="str">
        <f t="shared" ref="I339" si="1790">I338</f>
        <v>" dir="</v>
      </c>
      <c r="J339" t="str">
        <f t="shared" ref="J339" si="1791">J338</f>
        <v>"/&gt;</v>
      </c>
      <c r="K339" t="str">
        <f t="shared" ref="K339" si="1792">F339&amp;A339&amp;G339&amp;C339&amp;H339&amp;D339&amp;I339&amp;E339&amp;J339</f>
        <v>&lt;record id="164402" posx="0" posy="0" dir="0"/&gt;</v>
      </c>
    </row>
    <row r="340" spans="1:11">
      <c r="A340">
        <f>Sheet1!A422</f>
        <v>164403</v>
      </c>
      <c r="B340" t="str">
        <f>Sheet1!B422</f>
        <v>傀儡统帅</v>
      </c>
      <c r="C340">
        <f>Sheet1!Q422</f>
        <v>0</v>
      </c>
      <c r="D340">
        <f>Sheet1!R422</f>
        <v>0</v>
      </c>
      <c r="E340">
        <f>Sheet1!U422</f>
        <v>0</v>
      </c>
      <c r="F340" t="str">
        <f t="shared" ref="F340" si="1793">F339</f>
        <v>&lt;record id="</v>
      </c>
      <c r="G340" t="str">
        <f t="shared" ref="G340" si="1794">G339</f>
        <v>" posx="</v>
      </c>
      <c r="H340" t="str">
        <f t="shared" ref="H340" si="1795">H339</f>
        <v>" posy="</v>
      </c>
      <c r="I340" t="str">
        <f t="shared" ref="I340" si="1796">I339</f>
        <v>" dir="</v>
      </c>
      <c r="J340" t="str">
        <f t="shared" ref="J340" si="1797">J339</f>
        <v>"/&gt;</v>
      </c>
      <c r="K340" t="str">
        <f t="shared" ref="K340" si="1798">F340&amp;A340&amp;G340&amp;C340&amp;H340&amp;D340&amp;I340&amp;E340&amp;J340</f>
        <v>&lt;record id="164403" posx="0" posy="0" dir="0"/&gt;</v>
      </c>
    </row>
    <row r="341" spans="1:11">
      <c r="A341">
        <f>Sheet1!A423</f>
        <v>164404</v>
      </c>
      <c r="B341" t="str">
        <f>Sheet1!B423</f>
        <v>鬼将</v>
      </c>
      <c r="C341">
        <f>Sheet1!Q423</f>
        <v>0</v>
      </c>
      <c r="D341">
        <f>Sheet1!R423</f>
        <v>0</v>
      </c>
      <c r="E341">
        <f>Sheet1!U423</f>
        <v>3</v>
      </c>
      <c r="F341" t="str">
        <f t="shared" ref="F341" si="1799">F340</f>
        <v>&lt;record id="</v>
      </c>
      <c r="G341" t="str">
        <f t="shared" ref="G341" si="1800">G340</f>
        <v>" posx="</v>
      </c>
      <c r="H341" t="str">
        <f t="shared" ref="H341" si="1801">H340</f>
        <v>" posy="</v>
      </c>
      <c r="I341" t="str">
        <f t="shared" ref="I341" si="1802">I340</f>
        <v>" dir="</v>
      </c>
      <c r="J341" t="str">
        <f t="shared" ref="J341" si="1803">J340</f>
        <v>"/&gt;</v>
      </c>
      <c r="K341" t="str">
        <f t="shared" ref="K341" si="1804">F341&amp;A341&amp;G341&amp;C341&amp;H341&amp;D341&amp;I341&amp;E341&amp;J341</f>
        <v>&lt;record id="164404" posx="0" posy="0" dir="3"/&gt;</v>
      </c>
    </row>
    <row r="342" spans="1:11">
      <c r="A342">
        <f>Sheet1!A424</f>
        <v>164405</v>
      </c>
      <c r="B342" t="str">
        <f>Sheet1!B424</f>
        <v>唐唐</v>
      </c>
      <c r="C342">
        <f>Sheet1!Q424</f>
        <v>0</v>
      </c>
      <c r="D342">
        <f>Sheet1!R424</f>
        <v>0</v>
      </c>
      <c r="E342">
        <f>Sheet1!U424</f>
        <v>3</v>
      </c>
      <c r="F342" t="str">
        <f t="shared" ref="F342" si="1805">F341</f>
        <v>&lt;record id="</v>
      </c>
      <c r="G342" t="str">
        <f t="shared" ref="G342" si="1806">G341</f>
        <v>" posx="</v>
      </c>
      <c r="H342" t="str">
        <f t="shared" ref="H342" si="1807">H341</f>
        <v>" posy="</v>
      </c>
      <c r="I342" t="str">
        <f t="shared" ref="I342" si="1808">I341</f>
        <v>" dir="</v>
      </c>
      <c r="J342" t="str">
        <f t="shared" ref="J342" si="1809">J341</f>
        <v>"/&gt;</v>
      </c>
      <c r="K342" t="str">
        <f t="shared" ref="K342" si="1810">F342&amp;A342&amp;G342&amp;C342&amp;H342&amp;D342&amp;I342&amp;E342&amp;J342</f>
        <v>&lt;record id="164405" posx="0" posy="0" dir="3"/&gt;</v>
      </c>
    </row>
    <row r="343" spans="1:11">
      <c r="A343">
        <f>Sheet1!A425</f>
        <v>170000</v>
      </c>
      <c r="B343" t="str">
        <f>Sheet1!B425</f>
        <v>女妖</v>
      </c>
      <c r="C343">
        <f>Sheet1!Q425</f>
        <v>0</v>
      </c>
      <c r="D343">
        <f>Sheet1!R425</f>
        <v>0</v>
      </c>
      <c r="E343">
        <f>Sheet1!U425</f>
        <v>3</v>
      </c>
      <c r="F343" t="str">
        <f t="shared" ref="F343" si="1811">F342</f>
        <v>&lt;record id="</v>
      </c>
      <c r="G343" t="str">
        <f t="shared" ref="G343" si="1812">G342</f>
        <v>" posx="</v>
      </c>
      <c r="H343" t="str">
        <f t="shared" ref="H343" si="1813">H342</f>
        <v>" posy="</v>
      </c>
      <c r="I343" t="str">
        <f t="shared" ref="I343" si="1814">I342</f>
        <v>" dir="</v>
      </c>
      <c r="J343" t="str">
        <f t="shared" ref="J343" si="1815">J342</f>
        <v>"/&gt;</v>
      </c>
      <c r="K343" t="str">
        <f t="shared" ref="K343" si="1816">F343&amp;A343&amp;G343&amp;C343&amp;H343&amp;D343&amp;I343&amp;E343&amp;J343</f>
        <v>&lt;record id="170000" posx="0" posy="0" dir="3"/&gt;</v>
      </c>
    </row>
    <row r="344" spans="1:11">
      <c r="A344">
        <f>Sheet1!A426</f>
        <v>170001</v>
      </c>
      <c r="B344" t="str">
        <f>Sheet1!B426</f>
        <v>恶魔</v>
      </c>
      <c r="C344">
        <f>Sheet1!Q426</f>
        <v>0</v>
      </c>
      <c r="D344">
        <f>Sheet1!R426</f>
        <v>0</v>
      </c>
      <c r="E344">
        <f>Sheet1!U426</f>
        <v>3</v>
      </c>
      <c r="F344" t="str">
        <f t="shared" ref="F344" si="1817">F343</f>
        <v>&lt;record id="</v>
      </c>
      <c r="G344" t="str">
        <f t="shared" ref="G344" si="1818">G343</f>
        <v>" posx="</v>
      </c>
      <c r="H344" t="str">
        <f t="shared" ref="H344" si="1819">H343</f>
        <v>" posy="</v>
      </c>
      <c r="I344" t="str">
        <f t="shared" ref="I344" si="1820">I343</f>
        <v>" dir="</v>
      </c>
      <c r="J344" t="str">
        <f t="shared" ref="J344" si="1821">J343</f>
        <v>"/&gt;</v>
      </c>
      <c r="K344" t="str">
        <f t="shared" ref="K344" si="1822">F344&amp;A344&amp;G344&amp;C344&amp;H344&amp;D344&amp;I344&amp;E344&amp;J344</f>
        <v>&lt;record id="170001" posx="0" posy="0" dir="3"/&gt;</v>
      </c>
    </row>
    <row r="345" spans="1:11">
      <c r="A345">
        <f>Sheet1!A427</f>
        <v>170002</v>
      </c>
      <c r="B345" t="str">
        <f>Sheet1!B427</f>
        <v>冤魂</v>
      </c>
      <c r="C345">
        <f>Sheet1!Q427</f>
        <v>0</v>
      </c>
      <c r="D345">
        <f>Sheet1!R427</f>
        <v>0</v>
      </c>
      <c r="E345">
        <f>Sheet1!U427</f>
        <v>3</v>
      </c>
      <c r="F345" t="str">
        <f t="shared" ref="F345" si="1823">F344</f>
        <v>&lt;record id="</v>
      </c>
      <c r="G345" t="str">
        <f t="shared" ref="G345" si="1824">G344</f>
        <v>" posx="</v>
      </c>
      <c r="H345" t="str">
        <f t="shared" ref="H345" si="1825">H344</f>
        <v>" posy="</v>
      </c>
      <c r="I345" t="str">
        <f t="shared" ref="I345" si="1826">I344</f>
        <v>" dir="</v>
      </c>
      <c r="J345" t="str">
        <f t="shared" ref="J345" si="1827">J344</f>
        <v>"/&gt;</v>
      </c>
      <c r="K345" t="str">
        <f t="shared" ref="K345" si="1828">F345&amp;A345&amp;G345&amp;C345&amp;H345&amp;D345&amp;I345&amp;E345&amp;J345</f>
        <v>&lt;record id="170002" posx="0" posy="0" dir="3"/&gt;</v>
      </c>
    </row>
    <row r="346" spans="1:11">
      <c r="A346">
        <f>Sheet1!A428</f>
        <v>170003</v>
      </c>
      <c r="B346" t="str">
        <f>Sheet1!B428</f>
        <v>僵尸</v>
      </c>
      <c r="C346">
        <f>Sheet1!Q428</f>
        <v>0</v>
      </c>
      <c r="D346">
        <f>Sheet1!R428</f>
        <v>0</v>
      </c>
      <c r="E346">
        <f>Sheet1!U428</f>
        <v>3</v>
      </c>
      <c r="F346" t="str">
        <f t="shared" ref="F346" si="1829">F345</f>
        <v>&lt;record id="</v>
      </c>
      <c r="G346" t="str">
        <f t="shared" ref="G346" si="1830">G345</f>
        <v>" posx="</v>
      </c>
      <c r="H346" t="str">
        <f t="shared" ref="H346" si="1831">H345</f>
        <v>" posy="</v>
      </c>
      <c r="I346" t="str">
        <f t="shared" ref="I346" si="1832">I345</f>
        <v>" dir="</v>
      </c>
      <c r="J346" t="str">
        <f t="shared" ref="J346" si="1833">J345</f>
        <v>"/&gt;</v>
      </c>
      <c r="K346" t="str">
        <f t="shared" ref="K346" si="1834">F346&amp;A346&amp;G346&amp;C346&amp;H346&amp;D346&amp;I346&amp;E346&amp;J346</f>
        <v>&lt;record id="170003" posx="0" posy="0" dir="3"/&gt;</v>
      </c>
    </row>
    <row r="347" spans="1:11">
      <c r="A347">
        <f>Sheet1!A429</f>
        <v>170004</v>
      </c>
      <c r="B347" t="str">
        <f>Sheet1!B429</f>
        <v>魔物</v>
      </c>
      <c r="C347">
        <f>Sheet1!Q429</f>
        <v>0</v>
      </c>
      <c r="D347">
        <f>Sheet1!R429</f>
        <v>0</v>
      </c>
      <c r="E347">
        <f>Sheet1!U429</f>
        <v>3</v>
      </c>
      <c r="F347" t="str">
        <f t="shared" ref="F347" si="1835">F346</f>
        <v>&lt;record id="</v>
      </c>
      <c r="G347" t="str">
        <f t="shared" ref="G347" si="1836">G346</f>
        <v>" posx="</v>
      </c>
      <c r="H347" t="str">
        <f t="shared" ref="H347" si="1837">H346</f>
        <v>" posy="</v>
      </c>
      <c r="I347" t="str">
        <f t="shared" ref="I347" si="1838">I346</f>
        <v>" dir="</v>
      </c>
      <c r="J347" t="str">
        <f t="shared" ref="J347" si="1839">J346</f>
        <v>"/&gt;</v>
      </c>
      <c r="K347" t="str">
        <f t="shared" ref="K347" si="1840">F347&amp;A347&amp;G347&amp;C347&amp;H347&amp;D347&amp;I347&amp;E347&amp;J347</f>
        <v>&lt;record id="170004" posx="0" posy="0" dir="3"/&gt;</v>
      </c>
    </row>
    <row r="348" spans="1:11">
      <c r="A348">
        <f>Sheet1!A430</f>
        <v>170005</v>
      </c>
      <c r="B348" t="str">
        <f>Sheet1!B430</f>
        <v>鬼6</v>
      </c>
      <c r="C348">
        <f>Sheet1!Q430</f>
        <v>0</v>
      </c>
      <c r="D348">
        <f>Sheet1!R430</f>
        <v>0</v>
      </c>
      <c r="E348">
        <f>Sheet1!U430</f>
        <v>0</v>
      </c>
      <c r="F348" t="str">
        <f t="shared" ref="F348" si="1841">F347</f>
        <v>&lt;record id="</v>
      </c>
      <c r="G348" t="str">
        <f t="shared" ref="G348" si="1842">G347</f>
        <v>" posx="</v>
      </c>
      <c r="H348" t="str">
        <f t="shared" ref="H348" si="1843">H347</f>
        <v>" posy="</v>
      </c>
      <c r="I348" t="str">
        <f t="shared" ref="I348" si="1844">I347</f>
        <v>" dir="</v>
      </c>
      <c r="J348" t="str">
        <f t="shared" ref="J348" si="1845">J347</f>
        <v>"/&gt;</v>
      </c>
      <c r="K348" t="str">
        <f t="shared" ref="K348" si="1846">F348&amp;A348&amp;G348&amp;C348&amp;H348&amp;D348&amp;I348&amp;E348&amp;J348</f>
        <v>&lt;record id="170005" posx="0" posy="0" dir="0"/&gt;</v>
      </c>
    </row>
    <row r="349" spans="1:11">
      <c r="A349">
        <f>Sheet1!A431</f>
        <v>170006</v>
      </c>
      <c r="B349" t="str">
        <f>Sheet1!B431</f>
        <v>鬼7</v>
      </c>
      <c r="C349">
        <f>Sheet1!Q431</f>
        <v>0</v>
      </c>
      <c r="D349">
        <f>Sheet1!R431</f>
        <v>0</v>
      </c>
      <c r="E349">
        <f>Sheet1!U431</f>
        <v>0</v>
      </c>
      <c r="F349" t="str">
        <f t="shared" ref="F349" si="1847">F348</f>
        <v>&lt;record id="</v>
      </c>
      <c r="G349" t="str">
        <f t="shared" ref="G349" si="1848">G348</f>
        <v>" posx="</v>
      </c>
      <c r="H349" t="str">
        <f t="shared" ref="H349" si="1849">H348</f>
        <v>" posy="</v>
      </c>
      <c r="I349" t="str">
        <f t="shared" ref="I349" si="1850">I348</f>
        <v>" dir="</v>
      </c>
      <c r="J349" t="str">
        <f t="shared" ref="J349:J354" si="1851">J348</f>
        <v>"/&gt;</v>
      </c>
      <c r="K349" t="str">
        <f t="shared" ref="K349" si="1852">F349&amp;A349&amp;G349&amp;C349&amp;H349&amp;D349&amp;I349&amp;E349&amp;J349</f>
        <v>&lt;record id="170006" posx="0" posy="0" dir="0"/&gt;</v>
      </c>
    </row>
    <row r="350" spans="1:11">
      <c r="A350">
        <f>Sheet1!A432</f>
        <v>170007</v>
      </c>
      <c r="B350" t="str">
        <f>Sheet1!B432</f>
        <v>鬼8</v>
      </c>
      <c r="C350">
        <f>Sheet1!Q432</f>
        <v>0</v>
      </c>
      <c r="D350">
        <f>Sheet1!R432</f>
        <v>0</v>
      </c>
      <c r="E350">
        <f>Sheet1!U432</f>
        <v>0</v>
      </c>
      <c r="F350" t="str">
        <f t="shared" ref="F350:F355" si="1853">F349</f>
        <v>&lt;record id="</v>
      </c>
      <c r="G350" t="str">
        <f t="shared" ref="G350" si="1854">G349</f>
        <v>" posx="</v>
      </c>
      <c r="H350" t="str">
        <f t="shared" ref="H350" si="1855">H349</f>
        <v>" posy="</v>
      </c>
      <c r="I350" t="str">
        <f t="shared" ref="I350:I354" si="1856">I349</f>
        <v>" dir="</v>
      </c>
      <c r="J350" t="str">
        <f t="shared" si="1851"/>
        <v>"/&gt;</v>
      </c>
      <c r="K350" t="str">
        <f t="shared" ref="K350:K355" si="1857">F350&amp;A350&amp;G350&amp;C350&amp;H350&amp;D350&amp;I350&amp;E350&amp;J350</f>
        <v>&lt;record id="170007" posx="0" posy="0" dir="0"/&gt;</v>
      </c>
    </row>
    <row r="351" spans="1:11">
      <c r="A351">
        <f>Sheet1!A433</f>
        <v>170008</v>
      </c>
      <c r="B351" t="str">
        <f>Sheet1!B433</f>
        <v>鬼9</v>
      </c>
      <c r="C351">
        <f>Sheet1!Q433</f>
        <v>0</v>
      </c>
      <c r="D351">
        <f>Sheet1!R433</f>
        <v>0</v>
      </c>
      <c r="E351">
        <f>Sheet1!U433</f>
        <v>0</v>
      </c>
      <c r="F351" t="str">
        <f t="shared" si="1853"/>
        <v>&lt;record id="</v>
      </c>
      <c r="G351" t="str">
        <f t="shared" ref="G351" si="1858">G350</f>
        <v>" posx="</v>
      </c>
      <c r="H351" t="str">
        <f t="shared" ref="H351:H354" si="1859">H350</f>
        <v>" posy="</v>
      </c>
      <c r="I351" t="str">
        <f t="shared" si="1856"/>
        <v>" dir="</v>
      </c>
      <c r="J351" t="str">
        <f t="shared" si="1851"/>
        <v>"/&gt;</v>
      </c>
      <c r="K351" t="str">
        <f t="shared" si="1857"/>
        <v>&lt;record id="170008" posx="0" posy="0" dir="0"/&gt;</v>
      </c>
    </row>
    <row r="352" spans="1:11">
      <c r="A352">
        <f>Sheet1!A434</f>
        <v>170009</v>
      </c>
      <c r="B352" t="str">
        <f>Sheet1!B434</f>
        <v>鬼10</v>
      </c>
      <c r="C352">
        <f>Sheet1!Q434</f>
        <v>0</v>
      </c>
      <c r="D352">
        <f>Sheet1!R434</f>
        <v>0</v>
      </c>
      <c r="E352">
        <f>Sheet1!U434</f>
        <v>0</v>
      </c>
      <c r="F352" t="str">
        <f t="shared" si="1853"/>
        <v>&lt;record id="</v>
      </c>
      <c r="G352" t="str">
        <f t="shared" ref="G352:G354" si="1860">G351</f>
        <v>" posx="</v>
      </c>
      <c r="H352" t="str">
        <f t="shared" si="1859"/>
        <v>" posy="</v>
      </c>
      <c r="I352" t="str">
        <f t="shared" si="1856"/>
        <v>" dir="</v>
      </c>
      <c r="J352" t="str">
        <f t="shared" si="1851"/>
        <v>"/&gt;</v>
      </c>
      <c r="K352" t="str">
        <f t="shared" si="1857"/>
        <v>&lt;record id="170009" posx="0" posy="0" dir="0"/&gt;</v>
      </c>
    </row>
    <row r="353" spans="1:11">
      <c r="A353">
        <f>Sheet1!A435</f>
        <v>170010</v>
      </c>
      <c r="B353" t="str">
        <f>Sheet1!B435</f>
        <v>天灾魔王</v>
      </c>
      <c r="C353">
        <f>Sheet1!Q435</f>
        <v>0</v>
      </c>
      <c r="D353">
        <f>Sheet1!R435</f>
        <v>0</v>
      </c>
      <c r="E353">
        <f>Sheet1!U435</f>
        <v>0</v>
      </c>
      <c r="F353" t="str">
        <f t="shared" si="1853"/>
        <v>&lt;record id="</v>
      </c>
      <c r="G353" t="str">
        <f t="shared" si="1860"/>
        <v>" posx="</v>
      </c>
      <c r="H353" t="str">
        <f t="shared" si="1859"/>
        <v>" posy="</v>
      </c>
      <c r="I353" t="str">
        <f t="shared" si="1856"/>
        <v>" dir="</v>
      </c>
      <c r="J353" t="str">
        <f t="shared" si="1851"/>
        <v>"/&gt;</v>
      </c>
      <c r="K353" t="str">
        <f t="shared" si="1857"/>
        <v>&lt;record id="170010" posx="0" posy="0" dir="0"/&gt;</v>
      </c>
    </row>
    <row r="354" spans="1:11">
      <c r="A354">
        <f>Sheet1!A436</f>
        <v>170051</v>
      </c>
      <c r="B354" t="str">
        <f>Sheet1!B436</f>
        <v>亢金龙</v>
      </c>
      <c r="C354">
        <f>Sheet1!Q436</f>
        <v>0</v>
      </c>
      <c r="D354">
        <f>Sheet1!R436</f>
        <v>0</v>
      </c>
      <c r="E354">
        <f>Sheet1!U436</f>
        <v>0</v>
      </c>
      <c r="F354" t="str">
        <f t="shared" si="1853"/>
        <v>&lt;record id="</v>
      </c>
      <c r="G354" t="str">
        <f t="shared" si="1860"/>
        <v>" posx="</v>
      </c>
      <c r="H354" t="str">
        <f t="shared" si="1859"/>
        <v>" posy="</v>
      </c>
      <c r="I354" t="str">
        <f t="shared" si="1856"/>
        <v>" dir="</v>
      </c>
      <c r="J354" t="str">
        <f t="shared" si="1851"/>
        <v>"/&gt;</v>
      </c>
      <c r="K354" t="str">
        <f t="shared" si="1857"/>
        <v>&lt;record id="170051" posx="0" posy="0" dir="0"/&gt;</v>
      </c>
    </row>
    <row r="355" spans="1:11">
      <c r="A355">
        <f>Sheet1!A437</f>
        <v>170052</v>
      </c>
      <c r="B355" t="str">
        <f>Sheet1!B437</f>
        <v>尾火虎</v>
      </c>
      <c r="C355">
        <f>Sheet1!Q437</f>
        <v>0</v>
      </c>
      <c r="D355">
        <f>Sheet1!R437</f>
        <v>0</v>
      </c>
      <c r="E355">
        <f>Sheet1!U437</f>
        <v>0</v>
      </c>
      <c r="F355" t="str">
        <f t="shared" si="1853"/>
        <v>&lt;record id="</v>
      </c>
      <c r="G355" t="str">
        <f t="shared" ref="G355" si="1861">G354</f>
        <v>" posx="</v>
      </c>
      <c r="H355" t="str">
        <f t="shared" ref="H355" si="1862">H354</f>
        <v>" posy="</v>
      </c>
      <c r="I355" t="str">
        <f t="shared" ref="I355" si="1863">I354</f>
        <v>" dir="</v>
      </c>
      <c r="J355" t="str">
        <f t="shared" ref="J355" si="1864">J354</f>
        <v>"/&gt;</v>
      </c>
      <c r="K355" t="str">
        <f t="shared" si="1857"/>
        <v>&lt;record id="170052" posx="0" posy="0" dir="0"/&gt;</v>
      </c>
    </row>
    <row r="356" spans="1:11">
      <c r="A356">
        <f>Sheet1!A438</f>
        <v>170053</v>
      </c>
      <c r="B356" t="str">
        <f>Sheet1!B438</f>
        <v>房日兔</v>
      </c>
      <c r="C356">
        <f>Sheet1!Q438</f>
        <v>0</v>
      </c>
      <c r="D356">
        <f>Sheet1!R438</f>
        <v>0</v>
      </c>
      <c r="E356">
        <f>Sheet1!U438</f>
        <v>0</v>
      </c>
      <c r="F356" t="str">
        <f t="shared" ref="F356" si="1865">F355</f>
        <v>&lt;record id="</v>
      </c>
      <c r="G356" t="str">
        <f t="shared" ref="G356" si="1866">G355</f>
        <v>" posx="</v>
      </c>
      <c r="H356" t="str">
        <f t="shared" ref="H356" si="1867">H355</f>
        <v>" posy="</v>
      </c>
      <c r="I356" t="str">
        <f t="shared" ref="I356" si="1868">I355</f>
        <v>" dir="</v>
      </c>
      <c r="J356" t="str">
        <f t="shared" ref="J356" si="1869">J355</f>
        <v>"/&gt;</v>
      </c>
      <c r="K356" t="str">
        <f t="shared" ref="K356" si="1870">F356&amp;A356&amp;G356&amp;C356&amp;H356&amp;D356&amp;I356&amp;E356&amp;J356</f>
        <v>&lt;record id="170053" posx="0" posy="0" dir="0"/&gt;</v>
      </c>
    </row>
    <row r="357" spans="1:11">
      <c r="A357">
        <f>Sheet1!A439</f>
        <v>170054</v>
      </c>
      <c r="B357" t="str">
        <f>Sheet1!B439</f>
        <v>氐土貉</v>
      </c>
      <c r="C357">
        <f>Sheet1!Q439</f>
        <v>0</v>
      </c>
      <c r="D357">
        <f>Sheet1!R439</f>
        <v>0</v>
      </c>
      <c r="E357">
        <f>Sheet1!U439</f>
        <v>0</v>
      </c>
      <c r="F357" t="str">
        <f t="shared" ref="F357" si="1871">F356</f>
        <v>&lt;record id="</v>
      </c>
      <c r="G357" t="str">
        <f t="shared" ref="G357" si="1872">G356</f>
        <v>" posx="</v>
      </c>
      <c r="H357" t="str">
        <f t="shared" ref="H357" si="1873">H356</f>
        <v>" posy="</v>
      </c>
      <c r="I357" t="str">
        <f t="shared" ref="I357" si="1874">I356</f>
        <v>" dir="</v>
      </c>
      <c r="J357" t="str">
        <f t="shared" ref="J357" si="1875">J356</f>
        <v>"/&gt;</v>
      </c>
      <c r="K357" t="str">
        <f t="shared" ref="K357" si="1876">F357&amp;A357&amp;G357&amp;C357&amp;H357&amp;D357&amp;I357&amp;E357&amp;J357</f>
        <v>&lt;record id="170054" posx="0" posy="0" dir="0"/&gt;</v>
      </c>
    </row>
    <row r="358" spans="1:11">
      <c r="A358">
        <f>Sheet1!A440</f>
        <v>170055</v>
      </c>
      <c r="B358" t="str">
        <f>Sheet1!B440</f>
        <v>角木蛟</v>
      </c>
      <c r="C358">
        <f>Sheet1!Q440</f>
        <v>0</v>
      </c>
      <c r="D358">
        <f>Sheet1!R440</f>
        <v>0</v>
      </c>
      <c r="E358">
        <f>Sheet1!U440</f>
        <v>0</v>
      </c>
      <c r="F358" t="str">
        <f t="shared" ref="F358" si="1877">F357</f>
        <v>&lt;record id="</v>
      </c>
      <c r="G358" t="str">
        <f t="shared" ref="G358" si="1878">G357</f>
        <v>" posx="</v>
      </c>
      <c r="H358" t="str">
        <f t="shared" ref="H358" si="1879">H357</f>
        <v>" posy="</v>
      </c>
      <c r="I358" t="str">
        <f t="shared" ref="I358" si="1880">I357</f>
        <v>" dir="</v>
      </c>
      <c r="J358" t="str">
        <f t="shared" ref="J358" si="1881">J357</f>
        <v>"/&gt;</v>
      </c>
      <c r="K358" t="str">
        <f t="shared" ref="K358" si="1882">F358&amp;A358&amp;G358&amp;C358&amp;H358&amp;D358&amp;I358&amp;E358&amp;J358</f>
        <v>&lt;record id="170055" posx="0" posy="0" dir="0"/&gt;</v>
      </c>
    </row>
    <row r="359" spans="1:11">
      <c r="A359">
        <f>Sheet1!A441</f>
        <v>170056</v>
      </c>
      <c r="B359" t="str">
        <f>Sheet1!B441</f>
        <v>心月狐</v>
      </c>
      <c r="C359">
        <f>Sheet1!Q441</f>
        <v>0</v>
      </c>
      <c r="D359">
        <f>Sheet1!R441</f>
        <v>0</v>
      </c>
      <c r="E359">
        <f>Sheet1!U441</f>
        <v>0</v>
      </c>
      <c r="F359" t="str">
        <f t="shared" ref="F359" si="1883">F358</f>
        <v>&lt;record id="</v>
      </c>
      <c r="G359" t="str">
        <f t="shared" ref="G359" si="1884">G358</f>
        <v>" posx="</v>
      </c>
      <c r="H359" t="str">
        <f t="shared" ref="H359" si="1885">H358</f>
        <v>" posy="</v>
      </c>
      <c r="I359" t="str">
        <f t="shared" ref="I359" si="1886">I358</f>
        <v>" dir="</v>
      </c>
      <c r="J359" t="str">
        <f t="shared" ref="J359" si="1887">J358</f>
        <v>"/&gt;</v>
      </c>
      <c r="K359" t="str">
        <f t="shared" ref="K359" si="1888">F359&amp;A359&amp;G359&amp;C359&amp;H359&amp;D359&amp;I359&amp;E359&amp;J359</f>
        <v>&lt;record id="170056" posx="0" posy="0" dir="0"/&gt;</v>
      </c>
    </row>
    <row r="360" spans="1:11">
      <c r="A360">
        <f>Sheet1!A442</f>
        <v>170057</v>
      </c>
      <c r="B360" t="str">
        <f>Sheet1!B442</f>
        <v>箕水豹</v>
      </c>
      <c r="C360">
        <f>Sheet1!Q442</f>
        <v>0</v>
      </c>
      <c r="D360">
        <f>Sheet1!R442</f>
        <v>0</v>
      </c>
      <c r="E360">
        <f>Sheet1!U442</f>
        <v>0</v>
      </c>
      <c r="F360" t="str">
        <f t="shared" ref="F360" si="1889">F359</f>
        <v>&lt;record id="</v>
      </c>
      <c r="G360" t="str">
        <f t="shared" ref="G360" si="1890">G359</f>
        <v>" posx="</v>
      </c>
      <c r="H360" t="str">
        <f t="shared" ref="H360" si="1891">H359</f>
        <v>" posy="</v>
      </c>
      <c r="I360" t="str">
        <f t="shared" ref="I360" si="1892">I359</f>
        <v>" dir="</v>
      </c>
      <c r="J360" t="str">
        <f t="shared" ref="J360" si="1893">J359</f>
        <v>"/&gt;</v>
      </c>
      <c r="K360" t="str">
        <f t="shared" ref="K360" si="1894">F360&amp;A360&amp;G360&amp;C360&amp;H360&amp;D360&amp;I360&amp;E360&amp;J360</f>
        <v>&lt;record id="170057" posx="0" posy="0" dir="0"/&gt;</v>
      </c>
    </row>
    <row r="361" spans="1:11">
      <c r="A361">
        <f>Sheet1!A443</f>
        <v>170058</v>
      </c>
      <c r="B361" t="str">
        <f>Sheet1!B443</f>
        <v>安纳塞隆</v>
      </c>
      <c r="C361">
        <f>Sheet1!Q443</f>
        <v>0</v>
      </c>
      <c r="D361">
        <f>Sheet1!R443</f>
        <v>0</v>
      </c>
      <c r="E361">
        <f>Sheet1!U443</f>
        <v>0</v>
      </c>
      <c r="F361" t="str">
        <f t="shared" ref="F361" si="1895">F360</f>
        <v>&lt;record id="</v>
      </c>
      <c r="G361" t="str">
        <f t="shared" ref="G361" si="1896">G360</f>
        <v>" posx="</v>
      </c>
      <c r="H361" t="str">
        <f t="shared" ref="H361" si="1897">H360</f>
        <v>" posy="</v>
      </c>
      <c r="I361" t="str">
        <f t="shared" ref="I361" si="1898">I360</f>
        <v>" dir="</v>
      </c>
      <c r="J361" t="str">
        <f t="shared" ref="J361" si="1899">J360</f>
        <v>"/&gt;</v>
      </c>
      <c r="K361" t="str">
        <f t="shared" ref="K361" si="1900">F361&amp;A361&amp;G361&amp;C361&amp;H361&amp;D361&amp;I361&amp;E361&amp;J361</f>
        <v>&lt;record id="170058" posx="0" posy="0" dir="0"/&gt;</v>
      </c>
    </row>
    <row r="362" spans="1:11">
      <c r="A362">
        <f>Sheet1!A444</f>
        <v>170059</v>
      </c>
      <c r="B362" t="str">
        <f>Sheet1!B444</f>
        <v>卡兹洛加</v>
      </c>
      <c r="C362">
        <f>Sheet1!Q444</f>
        <v>0</v>
      </c>
      <c r="D362">
        <f>Sheet1!R444</f>
        <v>0</v>
      </c>
      <c r="E362">
        <f>Sheet1!U444</f>
        <v>0</v>
      </c>
      <c r="F362" t="str">
        <f t="shared" ref="F362" si="1901">F361</f>
        <v>&lt;record id="</v>
      </c>
      <c r="G362" t="str">
        <f t="shared" ref="G362" si="1902">G361</f>
        <v>" posx="</v>
      </c>
      <c r="H362" t="str">
        <f t="shared" ref="H362" si="1903">H361</f>
        <v>" posy="</v>
      </c>
      <c r="I362" t="str">
        <f t="shared" ref="I362" si="1904">I361</f>
        <v>" dir="</v>
      </c>
      <c r="J362" t="str">
        <f t="shared" ref="J362" si="1905">J361</f>
        <v>"/&gt;</v>
      </c>
      <c r="K362" t="str">
        <f t="shared" ref="K362" si="1906">F362&amp;A362&amp;G362&amp;C362&amp;H362&amp;D362&amp;I362&amp;E362&amp;J362</f>
        <v>&lt;record id="170059" posx="0" posy="0" dir="0"/&gt;</v>
      </c>
    </row>
    <row r="363" spans="1:11">
      <c r="A363">
        <f>Sheet1!A445</f>
        <v>170060</v>
      </c>
      <c r="B363" t="str">
        <f>Sheet1!B445</f>
        <v>阿兹加洛</v>
      </c>
      <c r="C363">
        <f>Sheet1!Q445</f>
        <v>0</v>
      </c>
      <c r="D363">
        <f>Sheet1!R445</f>
        <v>0</v>
      </c>
      <c r="E363">
        <f>Sheet1!U445</f>
        <v>0</v>
      </c>
      <c r="F363" t="str">
        <f t="shared" ref="F363" si="1907">F362</f>
        <v>&lt;record id="</v>
      </c>
      <c r="G363" t="str">
        <f t="shared" ref="G363" si="1908">G362</f>
        <v>" posx="</v>
      </c>
      <c r="H363" t="str">
        <f t="shared" ref="H363" si="1909">H362</f>
        <v>" posy="</v>
      </c>
      <c r="I363" t="str">
        <f t="shared" ref="I363" si="1910">I362</f>
        <v>" dir="</v>
      </c>
      <c r="J363" t="str">
        <f t="shared" ref="J363" si="1911">J362</f>
        <v>"/&gt;</v>
      </c>
      <c r="K363" t="str">
        <f t="shared" ref="K363" si="1912">F363&amp;A363&amp;G363&amp;C363&amp;H363&amp;D363&amp;I363&amp;E363&amp;J363</f>
        <v>&lt;record id="170060" posx="0" posy="0" dir="0"/&gt;</v>
      </c>
    </row>
    <row r="364" spans="1:11">
      <c r="A364">
        <f>Sheet1!A446</f>
        <v>170061</v>
      </c>
      <c r="B364" t="str">
        <f>Sheet1!B446</f>
        <v>亢金龙之怒</v>
      </c>
      <c r="C364">
        <f>Sheet1!Q446</f>
        <v>0</v>
      </c>
      <c r="D364">
        <f>Sheet1!R446</f>
        <v>0</v>
      </c>
      <c r="E364">
        <f>Sheet1!U446</f>
        <v>0</v>
      </c>
      <c r="F364" t="str">
        <f t="shared" ref="F364" si="1913">F363</f>
        <v>&lt;record id="</v>
      </c>
      <c r="G364" t="str">
        <f t="shared" ref="G364" si="1914">G363</f>
        <v>" posx="</v>
      </c>
      <c r="H364" t="str">
        <f t="shared" ref="H364" si="1915">H363</f>
        <v>" posy="</v>
      </c>
      <c r="I364" t="str">
        <f t="shared" ref="I364" si="1916">I363</f>
        <v>" dir="</v>
      </c>
      <c r="J364" t="str">
        <f t="shared" ref="J364" si="1917">J363</f>
        <v>"/&gt;</v>
      </c>
      <c r="K364" t="str">
        <f t="shared" ref="K364" si="1918">F364&amp;A364&amp;G364&amp;C364&amp;H364&amp;D364&amp;I364&amp;E364&amp;J364</f>
        <v>&lt;record id="170061" posx="0" posy="0" dir="0"/&gt;</v>
      </c>
    </row>
    <row r="365" spans="1:11">
      <c r="A365">
        <f>Sheet1!A447</f>
        <v>170062</v>
      </c>
      <c r="B365" t="str">
        <f>Sheet1!B447</f>
        <v>尾火虎之怒</v>
      </c>
      <c r="C365">
        <f>Sheet1!Q447</f>
        <v>0</v>
      </c>
      <c r="D365">
        <f>Sheet1!R447</f>
        <v>0</v>
      </c>
      <c r="E365">
        <f>Sheet1!U447</f>
        <v>0</v>
      </c>
      <c r="F365" t="str">
        <f t="shared" ref="F365" si="1919">F364</f>
        <v>&lt;record id="</v>
      </c>
      <c r="G365" t="str">
        <f t="shared" ref="G365" si="1920">G364</f>
        <v>" posx="</v>
      </c>
      <c r="H365" t="str">
        <f t="shared" ref="H365" si="1921">H364</f>
        <v>" posy="</v>
      </c>
      <c r="I365" t="str">
        <f t="shared" ref="I365" si="1922">I364</f>
        <v>" dir="</v>
      </c>
      <c r="J365" t="str">
        <f t="shared" ref="J365" si="1923">J364</f>
        <v>"/&gt;</v>
      </c>
      <c r="K365" t="str">
        <f t="shared" ref="K365" si="1924">F365&amp;A365&amp;G365&amp;C365&amp;H365&amp;D365&amp;I365&amp;E365&amp;J365</f>
        <v>&lt;record id="170062" posx="0" posy="0" dir="0"/&gt;</v>
      </c>
    </row>
    <row r="366" spans="1:11">
      <c r="A366">
        <f>Sheet1!A448</f>
        <v>170063</v>
      </c>
      <c r="B366" t="str">
        <f>Sheet1!B448</f>
        <v>房日兔之怒</v>
      </c>
      <c r="C366">
        <f>Sheet1!Q448</f>
        <v>0</v>
      </c>
      <c r="D366">
        <f>Sheet1!R448</f>
        <v>0</v>
      </c>
      <c r="E366">
        <f>Sheet1!U448</f>
        <v>0</v>
      </c>
      <c r="F366" t="str">
        <f t="shared" ref="F366" si="1925">F365</f>
        <v>&lt;record id="</v>
      </c>
      <c r="G366" t="str">
        <f t="shared" ref="G366" si="1926">G365</f>
        <v>" posx="</v>
      </c>
      <c r="H366" t="str">
        <f t="shared" ref="H366" si="1927">H365</f>
        <v>" posy="</v>
      </c>
      <c r="I366" t="str">
        <f t="shared" ref="I366" si="1928">I365</f>
        <v>" dir="</v>
      </c>
      <c r="J366" t="str">
        <f t="shared" ref="J366" si="1929">J365</f>
        <v>"/&gt;</v>
      </c>
      <c r="K366" t="str">
        <f t="shared" ref="K366" si="1930">F366&amp;A366&amp;G366&amp;C366&amp;H366&amp;D366&amp;I366&amp;E366&amp;J366</f>
        <v>&lt;record id="170063" posx="0" posy="0" dir="0"/&gt;</v>
      </c>
    </row>
    <row r="367" spans="1:11">
      <c r="A367">
        <f>Sheet1!A449</f>
        <v>170064</v>
      </c>
      <c r="B367" t="str">
        <f>Sheet1!B449</f>
        <v>氐土貉之怒</v>
      </c>
      <c r="C367">
        <f>Sheet1!Q449</f>
        <v>0</v>
      </c>
      <c r="D367">
        <f>Sheet1!R449</f>
        <v>0</v>
      </c>
      <c r="E367">
        <f>Sheet1!U449</f>
        <v>0</v>
      </c>
      <c r="F367" t="str">
        <f t="shared" ref="F367" si="1931">F366</f>
        <v>&lt;record id="</v>
      </c>
      <c r="G367" t="str">
        <f t="shared" ref="G367" si="1932">G366</f>
        <v>" posx="</v>
      </c>
      <c r="H367" t="str">
        <f t="shared" ref="H367" si="1933">H366</f>
        <v>" posy="</v>
      </c>
      <c r="I367" t="str">
        <f t="shared" ref="I367" si="1934">I366</f>
        <v>" dir="</v>
      </c>
      <c r="J367" t="str">
        <f t="shared" ref="J367" si="1935">J366</f>
        <v>"/&gt;</v>
      </c>
      <c r="K367" t="str">
        <f t="shared" ref="K367" si="1936">F367&amp;A367&amp;G367&amp;C367&amp;H367&amp;D367&amp;I367&amp;E367&amp;J367</f>
        <v>&lt;record id="170064" posx="0" posy="0" dir="0"/&gt;</v>
      </c>
    </row>
    <row r="368" spans="1:11">
      <c r="A368">
        <f>Sheet1!A450</f>
        <v>170065</v>
      </c>
      <c r="B368" t="str">
        <f>Sheet1!B450</f>
        <v>角木蛟之怒</v>
      </c>
      <c r="C368">
        <f>Sheet1!Q450</f>
        <v>0</v>
      </c>
      <c r="D368">
        <f>Sheet1!R450</f>
        <v>0</v>
      </c>
      <c r="E368">
        <f>Sheet1!U450</f>
        <v>0</v>
      </c>
      <c r="F368" t="str">
        <f t="shared" ref="F368" si="1937">F367</f>
        <v>&lt;record id="</v>
      </c>
      <c r="G368" t="str">
        <f t="shared" ref="G368" si="1938">G367</f>
        <v>" posx="</v>
      </c>
      <c r="H368" t="str">
        <f t="shared" ref="H368" si="1939">H367</f>
        <v>" posy="</v>
      </c>
      <c r="I368" t="str">
        <f t="shared" ref="I368" si="1940">I367</f>
        <v>" dir="</v>
      </c>
      <c r="J368" t="str">
        <f t="shared" ref="J368" si="1941">J367</f>
        <v>"/&gt;</v>
      </c>
      <c r="K368" t="str">
        <f t="shared" ref="K368" si="1942">F368&amp;A368&amp;G368&amp;C368&amp;H368&amp;D368&amp;I368&amp;E368&amp;J368</f>
        <v>&lt;record id="170065" posx="0" posy="0" dir="0"/&gt;</v>
      </c>
    </row>
    <row r="369" spans="1:11">
      <c r="A369">
        <f>Sheet1!A451</f>
        <v>170066</v>
      </c>
      <c r="B369" t="str">
        <f>Sheet1!B451</f>
        <v>心月狐之怒</v>
      </c>
      <c r="C369">
        <f>Sheet1!Q451</f>
        <v>0</v>
      </c>
      <c r="D369">
        <f>Sheet1!R451</f>
        <v>0</v>
      </c>
      <c r="E369">
        <f>Sheet1!U451</f>
        <v>0</v>
      </c>
      <c r="F369" t="str">
        <f t="shared" ref="F369" si="1943">F368</f>
        <v>&lt;record id="</v>
      </c>
      <c r="G369" t="str">
        <f t="shared" ref="G369" si="1944">G368</f>
        <v>" posx="</v>
      </c>
      <c r="H369" t="str">
        <f t="shared" ref="H369" si="1945">H368</f>
        <v>" posy="</v>
      </c>
      <c r="I369" t="str">
        <f t="shared" ref="I369" si="1946">I368</f>
        <v>" dir="</v>
      </c>
      <c r="J369" t="str">
        <f t="shared" ref="J369" si="1947">J368</f>
        <v>"/&gt;</v>
      </c>
      <c r="K369" t="str">
        <f t="shared" ref="K369" si="1948">F369&amp;A369&amp;G369&amp;C369&amp;H369&amp;D369&amp;I369&amp;E369&amp;J369</f>
        <v>&lt;record id="170066" posx="0" posy="0" dir="0"/&gt;</v>
      </c>
    </row>
    <row r="370" spans="1:11">
      <c r="A370">
        <f>Sheet1!A452</f>
        <v>170067</v>
      </c>
      <c r="B370" t="str">
        <f>Sheet1!B452</f>
        <v>箕水豹之怒</v>
      </c>
      <c r="C370">
        <f>Sheet1!Q452</f>
        <v>0</v>
      </c>
      <c r="D370">
        <f>Sheet1!R452</f>
        <v>0</v>
      </c>
      <c r="E370">
        <f>Sheet1!U452</f>
        <v>0</v>
      </c>
      <c r="F370" t="str">
        <f t="shared" ref="F370" si="1949">F369</f>
        <v>&lt;record id="</v>
      </c>
      <c r="G370" t="str">
        <f t="shared" ref="G370" si="1950">G369</f>
        <v>" posx="</v>
      </c>
      <c r="H370" t="str">
        <f t="shared" ref="H370" si="1951">H369</f>
        <v>" posy="</v>
      </c>
      <c r="I370" t="str">
        <f t="shared" ref="I370" si="1952">I369</f>
        <v>" dir="</v>
      </c>
      <c r="J370" t="str">
        <f t="shared" ref="J370" si="1953">J369</f>
        <v>"/&gt;</v>
      </c>
      <c r="K370" t="str">
        <f t="shared" ref="K370" si="1954">F370&amp;A370&amp;G370&amp;C370&amp;H370&amp;D370&amp;I370&amp;E370&amp;J370</f>
        <v>&lt;record id="170067" posx="0" posy="0" dir="0"/&gt;</v>
      </c>
    </row>
    <row r="371" spans="1:11">
      <c r="A371">
        <f>Sheet1!A453</f>
        <v>170068</v>
      </c>
      <c r="B371" t="str">
        <f>Sheet1!B453</f>
        <v>狂暴的安纳塞隆</v>
      </c>
      <c r="C371">
        <f>Sheet1!Q453</f>
        <v>0</v>
      </c>
      <c r="D371">
        <f>Sheet1!R453</f>
        <v>0</v>
      </c>
      <c r="E371">
        <f>Sheet1!U453</f>
        <v>0</v>
      </c>
      <c r="F371" t="str">
        <f t="shared" ref="F371" si="1955">F370</f>
        <v>&lt;record id="</v>
      </c>
      <c r="G371" t="str">
        <f t="shared" ref="G371" si="1956">G370</f>
        <v>" posx="</v>
      </c>
      <c r="H371" t="str">
        <f t="shared" ref="H371" si="1957">H370</f>
        <v>" posy="</v>
      </c>
      <c r="I371" t="str">
        <f t="shared" ref="I371" si="1958">I370</f>
        <v>" dir="</v>
      </c>
      <c r="J371" t="str">
        <f t="shared" ref="J371" si="1959">J370</f>
        <v>"/&gt;</v>
      </c>
      <c r="K371" t="str">
        <f t="shared" ref="K371" si="1960">F371&amp;A371&amp;G371&amp;C371&amp;H371&amp;D371&amp;I371&amp;E371&amp;J371</f>
        <v>&lt;record id="170068" posx="0" posy="0" dir="0"/&gt;</v>
      </c>
    </row>
    <row r="372" spans="1:11">
      <c r="A372">
        <f>Sheet1!A454</f>
        <v>170069</v>
      </c>
      <c r="B372" t="str">
        <f>Sheet1!B454</f>
        <v>狂暴的卡兹洛加</v>
      </c>
      <c r="C372">
        <f>Sheet1!Q454</f>
        <v>0</v>
      </c>
      <c r="D372">
        <f>Sheet1!R454</f>
        <v>0</v>
      </c>
      <c r="E372">
        <f>Sheet1!U454</f>
        <v>0</v>
      </c>
      <c r="F372" t="str">
        <f t="shared" ref="F372" si="1961">F371</f>
        <v>&lt;record id="</v>
      </c>
      <c r="G372" t="str">
        <f t="shared" ref="G372" si="1962">G371</f>
        <v>" posx="</v>
      </c>
      <c r="H372" t="str">
        <f t="shared" ref="H372" si="1963">H371</f>
        <v>" posy="</v>
      </c>
      <c r="I372" t="str">
        <f t="shared" ref="I372" si="1964">I371</f>
        <v>" dir="</v>
      </c>
      <c r="J372" t="str">
        <f t="shared" ref="J372" si="1965">J371</f>
        <v>"/&gt;</v>
      </c>
      <c r="K372" t="str">
        <f t="shared" ref="K372" si="1966">F372&amp;A372&amp;G372&amp;C372&amp;H372&amp;D372&amp;I372&amp;E372&amp;J372</f>
        <v>&lt;record id="170069" posx="0" posy="0" dir="0"/&gt;</v>
      </c>
    </row>
    <row r="373" spans="1:11">
      <c r="A373">
        <f>Sheet1!A455</f>
        <v>170070</v>
      </c>
      <c r="B373" t="str">
        <f>Sheet1!B455</f>
        <v>狂暴的阿兹加洛</v>
      </c>
      <c r="C373">
        <f>Sheet1!Q455</f>
        <v>0</v>
      </c>
      <c r="D373">
        <f>Sheet1!R455</f>
        <v>0</v>
      </c>
      <c r="E373">
        <f>Sheet1!U455</f>
        <v>0</v>
      </c>
      <c r="F373" t="str">
        <f t="shared" ref="F373" si="1967">F372</f>
        <v>&lt;record id="</v>
      </c>
      <c r="G373" t="str">
        <f t="shared" ref="G373" si="1968">G372</f>
        <v>" posx="</v>
      </c>
      <c r="H373" t="str">
        <f t="shared" ref="H373" si="1969">H372</f>
        <v>" posy="</v>
      </c>
      <c r="I373" t="str">
        <f t="shared" ref="I373" si="1970">I372</f>
        <v>" dir="</v>
      </c>
      <c r="J373" t="str">
        <f t="shared" ref="J373" si="1971">J372</f>
        <v>"/&gt;</v>
      </c>
      <c r="K373" t="str">
        <f t="shared" ref="K373" si="1972">F373&amp;A373&amp;G373&amp;C373&amp;H373&amp;D373&amp;I373&amp;E373&amp;J373</f>
        <v>&lt;record id="170070" posx="0" posy="0" dir="0"/&gt;</v>
      </c>
    </row>
    <row r="374" spans="1:11">
      <c r="A374">
        <f>Sheet1!A456</f>
        <v>170071</v>
      </c>
      <c r="B374" t="str">
        <f>Sheet1!B456</f>
        <v>远古喵妖</v>
      </c>
      <c r="C374">
        <f>Sheet1!Q456</f>
        <v>0</v>
      </c>
      <c r="D374">
        <f>Sheet1!R456</f>
        <v>0</v>
      </c>
      <c r="E374">
        <f>Sheet1!U456</f>
        <v>0</v>
      </c>
      <c r="F374" t="str">
        <f t="shared" ref="F374" si="1973">F373</f>
        <v>&lt;record id="</v>
      </c>
      <c r="G374" t="str">
        <f t="shared" ref="G374" si="1974">G373</f>
        <v>" posx="</v>
      </c>
      <c r="H374" t="str">
        <f t="shared" ref="H374" si="1975">H373</f>
        <v>" posy="</v>
      </c>
      <c r="I374" t="str">
        <f t="shared" ref="I374" si="1976">I373</f>
        <v>" dir="</v>
      </c>
      <c r="J374" t="str">
        <f t="shared" ref="J374" si="1977">J373</f>
        <v>"/&gt;</v>
      </c>
      <c r="K374" t="str">
        <f t="shared" ref="K374" si="1978">F374&amp;A374&amp;G374&amp;C374&amp;H374&amp;D374&amp;I374&amp;E374&amp;J374</f>
        <v>&lt;record id="170071" posx="0" posy="0" dir="0"/&gt;</v>
      </c>
    </row>
    <row r="375" spans="1:11">
      <c r="A375">
        <f>Sheet1!A457</f>
        <v>170072</v>
      </c>
      <c r="B375" t="str">
        <f>Sheet1!B457</f>
        <v>远古喵怪</v>
      </c>
      <c r="C375">
        <f>Sheet1!Q457</f>
        <v>0</v>
      </c>
      <c r="D375">
        <f>Sheet1!R457</f>
        <v>0</v>
      </c>
      <c r="E375">
        <f>Sheet1!U457</f>
        <v>0</v>
      </c>
      <c r="F375" t="str">
        <f t="shared" ref="F375" si="1979">F374</f>
        <v>&lt;record id="</v>
      </c>
      <c r="G375" t="str">
        <f t="shared" ref="G375" si="1980">G374</f>
        <v>" posx="</v>
      </c>
      <c r="H375" t="str">
        <f t="shared" ref="H375" si="1981">H374</f>
        <v>" posy="</v>
      </c>
      <c r="I375" t="str">
        <f t="shared" ref="I375" si="1982">I374</f>
        <v>" dir="</v>
      </c>
      <c r="J375" t="str">
        <f t="shared" ref="J375" si="1983">J374</f>
        <v>"/&gt;</v>
      </c>
      <c r="K375" t="str">
        <f t="shared" ref="K375" si="1984">F375&amp;A375&amp;G375&amp;C375&amp;H375&amp;D375&amp;I375&amp;E375&amp;J375</f>
        <v>&lt;record id="170072" posx="0" posy="0" dir="0"/&gt;</v>
      </c>
    </row>
    <row r="376" spans="1:11">
      <c r="A376">
        <f>Sheet1!A458</f>
        <v>170073</v>
      </c>
      <c r="B376" t="str">
        <f>Sheet1!B458</f>
        <v>无形的哈斯塔</v>
      </c>
      <c r="C376">
        <f>Sheet1!Q458</f>
        <v>0</v>
      </c>
      <c r="D376">
        <f>Sheet1!R458</f>
        <v>0</v>
      </c>
      <c r="E376">
        <f>Sheet1!U458</f>
        <v>0</v>
      </c>
      <c r="F376" t="str">
        <f t="shared" ref="F376" si="1985">F375</f>
        <v>&lt;record id="</v>
      </c>
      <c r="G376" t="str">
        <f t="shared" ref="G376" si="1986">G375</f>
        <v>" posx="</v>
      </c>
      <c r="H376" t="str">
        <f t="shared" ref="H376" si="1987">H375</f>
        <v>" posy="</v>
      </c>
      <c r="I376" t="str">
        <f t="shared" ref="I376" si="1988">I375</f>
        <v>" dir="</v>
      </c>
      <c r="J376" t="str">
        <f t="shared" ref="J376" si="1989">J375</f>
        <v>"/&gt;</v>
      </c>
      <c r="K376" t="str">
        <f t="shared" ref="K376" si="1990">F376&amp;A376&amp;G376&amp;C376&amp;H376&amp;D376&amp;I376&amp;E376&amp;J376</f>
        <v>&lt;record id="170073" posx="0" posy="0" dir="0"/&gt;</v>
      </c>
    </row>
    <row r="377" spans="1:11">
      <c r="A377">
        <f>Sheet1!A459</f>
        <v>170074</v>
      </c>
      <c r="B377" t="str">
        <f>Sheet1!B459</f>
        <v>远古花妖</v>
      </c>
      <c r="C377">
        <f>Sheet1!Q459</f>
        <v>0</v>
      </c>
      <c r="D377">
        <f>Sheet1!R459</f>
        <v>0</v>
      </c>
      <c r="E377">
        <f>Sheet1!U459</f>
        <v>0</v>
      </c>
      <c r="F377" t="str">
        <f t="shared" ref="F377" si="1991">F376</f>
        <v>&lt;record id="</v>
      </c>
      <c r="G377" t="str">
        <f t="shared" ref="G377" si="1992">G376</f>
        <v>" posx="</v>
      </c>
      <c r="H377" t="str">
        <f t="shared" ref="H377" si="1993">H376</f>
        <v>" posy="</v>
      </c>
      <c r="I377" t="str">
        <f t="shared" ref="I377" si="1994">I376</f>
        <v>" dir="</v>
      </c>
      <c r="J377" t="str">
        <f t="shared" ref="J377" si="1995">J376</f>
        <v>"/&gt;</v>
      </c>
      <c r="K377" t="str">
        <f t="shared" ref="K377" si="1996">F377&amp;A377&amp;G377&amp;C377&amp;H377&amp;D377&amp;I377&amp;E377&amp;J377</f>
        <v>&lt;record id="170074" posx="0" posy="0" dir="0"/&gt;</v>
      </c>
    </row>
    <row r="378" spans="1:11">
      <c r="A378">
        <f>Sheet1!A460</f>
        <v>170075</v>
      </c>
      <c r="B378" t="str">
        <f>Sheet1!B460</f>
        <v>远古虾兵</v>
      </c>
      <c r="C378">
        <f>Sheet1!Q460</f>
        <v>0</v>
      </c>
      <c r="D378">
        <f>Sheet1!R460</f>
        <v>0</v>
      </c>
      <c r="E378">
        <f>Sheet1!U460</f>
        <v>0</v>
      </c>
      <c r="F378" t="str">
        <f t="shared" ref="F378" si="1997">F377</f>
        <v>&lt;record id="</v>
      </c>
      <c r="G378" t="str">
        <f t="shared" ref="G378" si="1998">G377</f>
        <v>" posx="</v>
      </c>
      <c r="H378" t="str">
        <f t="shared" ref="H378" si="1999">H377</f>
        <v>" posy="</v>
      </c>
      <c r="I378" t="str">
        <f t="shared" ref="I378" si="2000">I377</f>
        <v>" dir="</v>
      </c>
      <c r="J378" t="str">
        <f t="shared" ref="J378" si="2001">J377</f>
        <v>"/&gt;</v>
      </c>
      <c r="K378" t="str">
        <f t="shared" ref="K378" si="2002">F378&amp;A378&amp;G378&amp;C378&amp;H378&amp;D378&amp;I378&amp;E378&amp;J378</f>
        <v>&lt;record id="170075" posx="0" posy="0" dir="0"/&gt;</v>
      </c>
    </row>
    <row r="379" spans="1:11">
      <c r="A379">
        <f>Sheet1!A461</f>
        <v>170076</v>
      </c>
      <c r="B379" t="str">
        <f>Sheet1!B461</f>
        <v>远古蟹将</v>
      </c>
      <c r="C379">
        <f>Sheet1!Q461</f>
        <v>0</v>
      </c>
      <c r="D379">
        <f>Sheet1!R461</f>
        <v>0</v>
      </c>
      <c r="E379">
        <f>Sheet1!U461</f>
        <v>0</v>
      </c>
      <c r="F379" t="str">
        <f t="shared" ref="F379" si="2003">F378</f>
        <v>&lt;record id="</v>
      </c>
      <c r="G379" t="str">
        <f t="shared" ref="G379" si="2004">G378</f>
        <v>" posx="</v>
      </c>
      <c r="H379" t="str">
        <f t="shared" ref="H379" si="2005">H378</f>
        <v>" posy="</v>
      </c>
      <c r="I379" t="str">
        <f t="shared" ref="I379" si="2006">I378</f>
        <v>" dir="</v>
      </c>
      <c r="J379" t="str">
        <f t="shared" ref="J379" si="2007">J378</f>
        <v>"/&gt;</v>
      </c>
      <c r="K379" t="str">
        <f t="shared" ref="K379" si="2008">F379&amp;A379&amp;G379&amp;C379&amp;H379&amp;D379&amp;I379&amp;E379&amp;J379</f>
        <v>&lt;record id="170076" posx="0" posy="0" dir="0"/&gt;</v>
      </c>
    </row>
    <row r="380" spans="1:11">
      <c r="A380">
        <f>Sheet1!A462</f>
        <v>170077</v>
      </c>
      <c r="B380" t="str">
        <f>Sheet1!B462</f>
        <v>心月狐之影</v>
      </c>
      <c r="C380">
        <f>Sheet1!Q462</f>
        <v>0</v>
      </c>
      <c r="D380">
        <f>Sheet1!R462</f>
        <v>0</v>
      </c>
      <c r="E380">
        <f>Sheet1!U462</f>
        <v>0</v>
      </c>
      <c r="F380" t="str">
        <f t="shared" ref="F380" si="2009">F379</f>
        <v>&lt;record id="</v>
      </c>
      <c r="G380" t="str">
        <f t="shared" ref="G380" si="2010">G379</f>
        <v>" posx="</v>
      </c>
      <c r="H380" t="str">
        <f t="shared" ref="H380" si="2011">H379</f>
        <v>" posy="</v>
      </c>
      <c r="I380" t="str">
        <f t="shared" ref="I380" si="2012">I379</f>
        <v>" dir="</v>
      </c>
      <c r="J380" t="str">
        <f t="shared" ref="J380:J385" si="2013">J379</f>
        <v>"/&gt;</v>
      </c>
      <c r="K380" t="str">
        <f t="shared" ref="K380" si="2014">F380&amp;A380&amp;G380&amp;C380&amp;H380&amp;D380&amp;I380&amp;E380&amp;J380</f>
        <v>&lt;record id="170077" posx="0" posy="0" dir="0"/&gt;</v>
      </c>
    </row>
    <row r="381" spans="1:11">
      <c r="A381">
        <f>Sheet1!A463</f>
        <v>170078</v>
      </c>
      <c r="B381" t="str">
        <f>Sheet1!B463</f>
        <v>远古龟精</v>
      </c>
      <c r="C381">
        <f>Sheet1!Q463</f>
        <v>0</v>
      </c>
      <c r="D381">
        <f>Sheet1!R463</f>
        <v>0</v>
      </c>
      <c r="E381">
        <f>Sheet1!U463</f>
        <v>0</v>
      </c>
      <c r="F381" t="str">
        <f t="shared" ref="F381" si="2015">F380</f>
        <v>&lt;record id="</v>
      </c>
      <c r="G381" t="str">
        <f t="shared" ref="G381:G386" si="2016">G380</f>
        <v>" posx="</v>
      </c>
      <c r="H381" t="str">
        <f t="shared" ref="H381" si="2017">H380</f>
        <v>" posy="</v>
      </c>
      <c r="I381" t="str">
        <f t="shared" ref="I381" si="2018">I380</f>
        <v>" dir="</v>
      </c>
      <c r="J381" t="str">
        <f t="shared" si="2013"/>
        <v>"/&gt;</v>
      </c>
      <c r="K381" t="str">
        <f t="shared" ref="K381:K386" si="2019">F381&amp;A381&amp;G381&amp;C381&amp;H381&amp;D381&amp;I381&amp;E381&amp;J381</f>
        <v>&lt;record id="170078" posx="0" posy="0" dir="0"/&gt;</v>
      </c>
    </row>
    <row r="382" spans="1:11">
      <c r="A382">
        <f>Sheet1!A464</f>
        <v>170079</v>
      </c>
      <c r="B382" t="str">
        <f>Sheet1!B464</f>
        <v>远古蚌精</v>
      </c>
      <c r="C382">
        <f>Sheet1!Q464</f>
        <v>0</v>
      </c>
      <c r="D382">
        <f>Sheet1!R464</f>
        <v>0</v>
      </c>
      <c r="E382">
        <f>Sheet1!U464</f>
        <v>0</v>
      </c>
      <c r="F382" t="str">
        <f t="shared" ref="F382" si="2020">F381</f>
        <v>&lt;record id="</v>
      </c>
      <c r="G382" t="str">
        <f t="shared" si="2016"/>
        <v>" posx="</v>
      </c>
      <c r="H382" t="str">
        <f t="shared" ref="H382" si="2021">H381</f>
        <v>" posy="</v>
      </c>
      <c r="I382" t="str">
        <f t="shared" ref="I382:I385" si="2022">I381</f>
        <v>" dir="</v>
      </c>
      <c r="J382" t="str">
        <f t="shared" si="2013"/>
        <v>"/&gt;</v>
      </c>
      <c r="K382" t="str">
        <f t="shared" si="2019"/>
        <v>&lt;record id="170079" posx="0" posy="0" dir="0"/&gt;</v>
      </c>
    </row>
    <row r="383" spans="1:11">
      <c r="A383">
        <f>Sheet1!A465</f>
        <v>170080</v>
      </c>
      <c r="B383" t="str">
        <f>Sheet1!B465</f>
        <v>远古僵尸</v>
      </c>
      <c r="C383">
        <f>Sheet1!Q465</f>
        <v>0</v>
      </c>
      <c r="D383">
        <f>Sheet1!R465</f>
        <v>0</v>
      </c>
      <c r="E383">
        <f>Sheet1!U465</f>
        <v>0</v>
      </c>
      <c r="F383" t="str">
        <f t="shared" ref="F383:F386" si="2023">F382</f>
        <v>&lt;record id="</v>
      </c>
      <c r="G383" t="str">
        <f t="shared" si="2016"/>
        <v>" posx="</v>
      </c>
      <c r="H383" t="str">
        <f t="shared" ref="H383:H385" si="2024">H382</f>
        <v>" posy="</v>
      </c>
      <c r="I383" t="str">
        <f t="shared" si="2022"/>
        <v>" dir="</v>
      </c>
      <c r="J383" t="str">
        <f t="shared" si="2013"/>
        <v>"/&gt;</v>
      </c>
      <c r="K383" t="str">
        <f t="shared" si="2019"/>
        <v>&lt;record id="170080" posx="0" posy="0" dir="0"/&gt;</v>
      </c>
    </row>
    <row r="384" spans="1:11">
      <c r="A384">
        <f>Sheet1!A466</f>
        <v>170081</v>
      </c>
      <c r="B384" t="str">
        <f>Sheet1!B466</f>
        <v>远古孤魂</v>
      </c>
      <c r="C384">
        <f>Sheet1!Q466</f>
        <v>0</v>
      </c>
      <c r="D384">
        <f>Sheet1!R466</f>
        <v>0</v>
      </c>
      <c r="E384">
        <f>Sheet1!U466</f>
        <v>0</v>
      </c>
      <c r="F384" t="str">
        <f t="shared" si="2023"/>
        <v>&lt;record id="</v>
      </c>
      <c r="G384" t="str">
        <f t="shared" si="2016"/>
        <v>" posx="</v>
      </c>
      <c r="H384" t="str">
        <f t="shared" si="2024"/>
        <v>" posy="</v>
      </c>
      <c r="I384" t="str">
        <f t="shared" si="2022"/>
        <v>" dir="</v>
      </c>
      <c r="J384" t="str">
        <f t="shared" si="2013"/>
        <v>"/&gt;</v>
      </c>
      <c r="K384" t="str">
        <f t="shared" si="2019"/>
        <v>&lt;record id="170081" posx="0" posy="0" dir="0"/&gt;</v>
      </c>
    </row>
    <row r="385" spans="1:11">
      <c r="A385">
        <f>Sheet1!A467</f>
        <v>170082</v>
      </c>
      <c r="B385" t="str">
        <f>Sheet1!B467</f>
        <v>远古夜叉</v>
      </c>
      <c r="C385">
        <f>Sheet1!Q467</f>
        <v>0</v>
      </c>
      <c r="D385">
        <f>Sheet1!R467</f>
        <v>0</v>
      </c>
      <c r="E385">
        <f>Sheet1!U467</f>
        <v>0</v>
      </c>
      <c r="F385" t="str">
        <f t="shared" si="2023"/>
        <v>&lt;record id="</v>
      </c>
      <c r="G385" t="str">
        <f t="shared" si="2016"/>
        <v>" posx="</v>
      </c>
      <c r="H385" t="str">
        <f t="shared" si="2024"/>
        <v>" posy="</v>
      </c>
      <c r="I385" t="str">
        <f t="shared" si="2022"/>
        <v>" dir="</v>
      </c>
      <c r="J385" t="str">
        <f t="shared" si="2013"/>
        <v>"/&gt;</v>
      </c>
      <c r="K385" t="str">
        <f t="shared" si="2019"/>
        <v>&lt;record id="170082" posx="0" posy="0" dir="0"/&gt;</v>
      </c>
    </row>
    <row r="386" spans="1:11">
      <c r="A386">
        <f>Sheet1!A468</f>
        <v>170083</v>
      </c>
      <c r="B386" t="str">
        <f>Sheet1!B468</f>
        <v>远古狮王</v>
      </c>
      <c r="C386">
        <f>Sheet1!Q468</f>
        <v>0</v>
      </c>
      <c r="D386">
        <f>Sheet1!R468</f>
        <v>0</v>
      </c>
      <c r="E386">
        <f>Sheet1!U468</f>
        <v>0</v>
      </c>
      <c r="F386" t="str">
        <f t="shared" si="2023"/>
        <v>&lt;record id="</v>
      </c>
      <c r="G386" t="str">
        <f t="shared" si="2016"/>
        <v>" posx="</v>
      </c>
      <c r="H386" t="str">
        <f t="shared" ref="H386" si="2025">H385</f>
        <v>" posy="</v>
      </c>
      <c r="I386" t="str">
        <f t="shared" ref="I386" si="2026">I385</f>
        <v>" dir="</v>
      </c>
      <c r="J386" t="str">
        <f t="shared" ref="J386" si="2027">J385</f>
        <v>"/&gt;</v>
      </c>
      <c r="K386" t="str">
        <f t="shared" si="2019"/>
        <v>&lt;record id="170083" posx="0" posy="0" dir="0"/&gt;</v>
      </c>
    </row>
    <row r="387" spans="1:11">
      <c r="A387">
        <f>Sheet1!A469</f>
        <v>170084</v>
      </c>
      <c r="B387" t="str">
        <f>Sheet1!B469</f>
        <v>远古僵尸</v>
      </c>
      <c r="C387">
        <f>Sheet1!Q469</f>
        <v>0</v>
      </c>
      <c r="D387">
        <f>Sheet1!R469</f>
        <v>0</v>
      </c>
      <c r="E387">
        <f>Sheet1!U469</f>
        <v>0</v>
      </c>
      <c r="F387" t="str">
        <f t="shared" ref="F387" si="2028">F386</f>
        <v>&lt;record id="</v>
      </c>
      <c r="G387" t="str">
        <f t="shared" ref="G387" si="2029">G386</f>
        <v>" posx="</v>
      </c>
      <c r="H387" t="str">
        <f t="shared" ref="H387" si="2030">H386</f>
        <v>" posy="</v>
      </c>
      <c r="I387" t="str">
        <f t="shared" ref="I387" si="2031">I386</f>
        <v>" dir="</v>
      </c>
      <c r="J387" t="str">
        <f t="shared" ref="J387" si="2032">J386</f>
        <v>"/&gt;</v>
      </c>
      <c r="K387" t="str">
        <f t="shared" ref="K387" si="2033">F387&amp;A387&amp;G387&amp;C387&amp;H387&amp;D387&amp;I387&amp;E387&amp;J387</f>
        <v>&lt;record id="170084" posx="0" posy="0" dir="0"/&gt;</v>
      </c>
    </row>
    <row r="388" spans="1:11">
      <c r="A388">
        <f>Sheet1!A470</f>
        <v>170085</v>
      </c>
      <c r="B388" t="str">
        <f>Sheet1!B470</f>
        <v>远古孤魂</v>
      </c>
      <c r="C388">
        <f>Sheet1!Q470</f>
        <v>0</v>
      </c>
      <c r="D388">
        <f>Sheet1!R470</f>
        <v>0</v>
      </c>
      <c r="E388">
        <f>Sheet1!U470</f>
        <v>0</v>
      </c>
      <c r="F388" t="str">
        <f t="shared" ref="F388" si="2034">F387</f>
        <v>&lt;record id="</v>
      </c>
      <c r="G388" t="str">
        <f t="shared" ref="G388" si="2035">G387</f>
        <v>" posx="</v>
      </c>
      <c r="H388" t="str">
        <f t="shared" ref="H388" si="2036">H387</f>
        <v>" posy="</v>
      </c>
      <c r="I388" t="str">
        <f t="shared" ref="I388" si="2037">I387</f>
        <v>" dir="</v>
      </c>
      <c r="J388" t="str">
        <f t="shared" ref="J388" si="2038">J387</f>
        <v>"/&gt;</v>
      </c>
      <c r="K388" t="str">
        <f t="shared" ref="K388" si="2039">F388&amp;A388&amp;G388&amp;C388&amp;H388&amp;D388&amp;I388&amp;E388&amp;J388</f>
        <v>&lt;record id="170085" posx="0" posy="0" dir="0"/&gt;</v>
      </c>
    </row>
    <row r="389" spans="1:11">
      <c r="A389">
        <f>Sheet1!A471</f>
        <v>170086</v>
      </c>
      <c r="B389" t="str">
        <f>Sheet1!B471</f>
        <v>远古夜叉</v>
      </c>
      <c r="C389">
        <f>Sheet1!Q471</f>
        <v>0</v>
      </c>
      <c r="D389">
        <f>Sheet1!R471</f>
        <v>0</v>
      </c>
      <c r="E389">
        <f>Sheet1!U471</f>
        <v>0</v>
      </c>
      <c r="F389" t="str">
        <f t="shared" ref="F389" si="2040">F388</f>
        <v>&lt;record id="</v>
      </c>
      <c r="G389" t="str">
        <f t="shared" ref="G389" si="2041">G388</f>
        <v>" posx="</v>
      </c>
      <c r="H389" t="str">
        <f t="shared" ref="H389" si="2042">H388</f>
        <v>" posy="</v>
      </c>
      <c r="I389" t="str">
        <f t="shared" ref="I389" si="2043">I388</f>
        <v>" dir="</v>
      </c>
      <c r="J389" t="str">
        <f t="shared" ref="J389" si="2044">J388</f>
        <v>"/&gt;</v>
      </c>
      <c r="K389" t="str">
        <f t="shared" ref="K389" si="2045">F389&amp;A389&amp;G389&amp;C389&amp;H389&amp;D389&amp;I389&amp;E389&amp;J389</f>
        <v>&lt;record id="170086" posx="0" posy="0" dir="0"/&gt;</v>
      </c>
    </row>
    <row r="390" spans="1:11">
      <c r="A390">
        <f>Sheet1!A472</f>
        <v>170087</v>
      </c>
      <c r="B390" t="str">
        <f>Sheet1!B472</f>
        <v>远古狮王</v>
      </c>
      <c r="C390">
        <f>Sheet1!Q472</f>
        <v>0</v>
      </c>
      <c r="D390">
        <f>Sheet1!R472</f>
        <v>0</v>
      </c>
      <c r="E390">
        <f>Sheet1!U472</f>
        <v>0</v>
      </c>
      <c r="F390" t="str">
        <f t="shared" ref="F390" si="2046">F389</f>
        <v>&lt;record id="</v>
      </c>
      <c r="G390" t="str">
        <f t="shared" ref="G390" si="2047">G389</f>
        <v>" posx="</v>
      </c>
      <c r="H390" t="str">
        <f t="shared" ref="H390" si="2048">H389</f>
        <v>" posy="</v>
      </c>
      <c r="I390" t="str">
        <f t="shared" ref="I390" si="2049">I389</f>
        <v>" dir="</v>
      </c>
      <c r="J390" t="str">
        <f t="shared" ref="J390" si="2050">J389</f>
        <v>"/&gt;</v>
      </c>
      <c r="K390" t="str">
        <f t="shared" ref="K390" si="2051">F390&amp;A390&amp;G390&amp;C390&amp;H390&amp;D390&amp;I390&amp;E390&amp;J390</f>
        <v>&lt;record id="170087" posx="0" posy="0" dir="0"/&gt;</v>
      </c>
    </row>
    <row r="391" spans="1:11">
      <c r="A391">
        <f>Sheet1!A473</f>
        <v>170088</v>
      </c>
      <c r="B391" t="str">
        <f>Sheet1!B473</f>
        <v>远古僵尸</v>
      </c>
      <c r="C391">
        <f>Sheet1!Q473</f>
        <v>0</v>
      </c>
      <c r="D391">
        <f>Sheet1!R473</f>
        <v>0</v>
      </c>
      <c r="E391">
        <f>Sheet1!U473</f>
        <v>0</v>
      </c>
      <c r="F391" t="str">
        <f t="shared" ref="F391" si="2052">F390</f>
        <v>&lt;record id="</v>
      </c>
      <c r="G391" t="str">
        <f t="shared" ref="G391" si="2053">G390</f>
        <v>" posx="</v>
      </c>
      <c r="H391" t="str">
        <f t="shared" ref="H391" si="2054">H390</f>
        <v>" posy="</v>
      </c>
      <c r="I391" t="str">
        <f t="shared" ref="I391" si="2055">I390</f>
        <v>" dir="</v>
      </c>
      <c r="J391" t="str">
        <f t="shared" ref="J391" si="2056">J390</f>
        <v>"/&gt;</v>
      </c>
      <c r="K391" t="str">
        <f t="shared" ref="K391" si="2057">F391&amp;A391&amp;G391&amp;C391&amp;H391&amp;D391&amp;I391&amp;E391&amp;J391</f>
        <v>&lt;record id="170088" posx="0" posy="0" dir="0"/&gt;</v>
      </c>
    </row>
    <row r="392" spans="1:11">
      <c r="A392">
        <f>Sheet1!A474</f>
        <v>170089</v>
      </c>
      <c r="B392" t="str">
        <f>Sheet1!B474</f>
        <v>远古孤魂</v>
      </c>
      <c r="C392">
        <f>Sheet1!Q474</f>
        <v>0</v>
      </c>
      <c r="D392">
        <f>Sheet1!R474</f>
        <v>0</v>
      </c>
      <c r="E392">
        <f>Sheet1!U474</f>
        <v>0</v>
      </c>
      <c r="F392" t="str">
        <f t="shared" ref="F392" si="2058">F391</f>
        <v>&lt;record id="</v>
      </c>
      <c r="G392" t="str">
        <f t="shared" ref="G392" si="2059">G391</f>
        <v>" posx="</v>
      </c>
      <c r="H392" t="str">
        <f t="shared" ref="H392" si="2060">H391</f>
        <v>" posy="</v>
      </c>
      <c r="I392" t="str">
        <f t="shared" ref="I392" si="2061">I391</f>
        <v>" dir="</v>
      </c>
      <c r="J392" t="str">
        <f t="shared" ref="J392" si="2062">J391</f>
        <v>"/&gt;</v>
      </c>
      <c r="K392" t="str">
        <f t="shared" ref="K392" si="2063">F392&amp;A392&amp;G392&amp;C392&amp;H392&amp;D392&amp;I392&amp;E392&amp;J392</f>
        <v>&lt;record id="170089" posx="0" posy="0" dir="0"/&gt;</v>
      </c>
    </row>
    <row r="393" spans="1:11">
      <c r="A393">
        <f>Sheet1!A475</f>
        <v>170090</v>
      </c>
      <c r="B393" t="str">
        <f>Sheet1!B475</f>
        <v>远古夜叉</v>
      </c>
      <c r="C393">
        <f>Sheet1!Q475</f>
        <v>0</v>
      </c>
      <c r="D393">
        <f>Sheet1!R475</f>
        <v>0</v>
      </c>
      <c r="E393">
        <f>Sheet1!U475</f>
        <v>0</v>
      </c>
      <c r="F393" t="str">
        <f t="shared" ref="F393" si="2064">F392</f>
        <v>&lt;record id="</v>
      </c>
      <c r="G393" t="str">
        <f t="shared" ref="G393" si="2065">G392</f>
        <v>" posx="</v>
      </c>
      <c r="H393" t="str">
        <f t="shared" ref="H393" si="2066">H392</f>
        <v>" posy="</v>
      </c>
      <c r="I393" t="str">
        <f t="shared" ref="I393" si="2067">I392</f>
        <v>" dir="</v>
      </c>
      <c r="J393" t="str">
        <f t="shared" ref="J393" si="2068">J392</f>
        <v>"/&gt;</v>
      </c>
      <c r="K393" t="str">
        <f t="shared" ref="K393" si="2069">F393&amp;A393&amp;G393&amp;C393&amp;H393&amp;D393&amp;I393&amp;E393&amp;J393</f>
        <v>&lt;record id="170090" posx="0" posy="0" dir="0"/&gt;</v>
      </c>
    </row>
    <row r="394" spans="1:11">
      <c r="A394">
        <f>Sheet1!A476</f>
        <v>170091</v>
      </c>
      <c r="B394" t="str">
        <f>Sheet1!B476</f>
        <v>远古狮王</v>
      </c>
      <c r="C394">
        <f>Sheet1!Q476</f>
        <v>0</v>
      </c>
      <c r="D394">
        <f>Sheet1!R476</f>
        <v>0</v>
      </c>
      <c r="E394">
        <f>Sheet1!U476</f>
        <v>0</v>
      </c>
      <c r="F394" t="str">
        <f t="shared" ref="F394" si="2070">F393</f>
        <v>&lt;record id="</v>
      </c>
      <c r="G394" t="str">
        <f t="shared" ref="G394" si="2071">G393</f>
        <v>" posx="</v>
      </c>
      <c r="H394" t="str">
        <f t="shared" ref="H394" si="2072">H393</f>
        <v>" posy="</v>
      </c>
      <c r="I394" t="str">
        <f t="shared" ref="I394" si="2073">I393</f>
        <v>" dir="</v>
      </c>
      <c r="J394" t="str">
        <f t="shared" ref="J394" si="2074">J393</f>
        <v>"/&gt;</v>
      </c>
      <c r="K394" t="str">
        <f t="shared" ref="K394" si="2075">F394&amp;A394&amp;G394&amp;C394&amp;H394&amp;D394&amp;I394&amp;E394&amp;J394</f>
        <v>&lt;record id="170091" posx="0" posy="0" dir="0"/&gt;</v>
      </c>
    </row>
    <row r="395" spans="1:11">
      <c r="A395">
        <f>Sheet1!A477</f>
        <v>170092</v>
      </c>
      <c r="B395" t="str">
        <f>Sheet1!B477</f>
        <v>★蚩尤战神★</v>
      </c>
      <c r="C395">
        <f>Sheet1!Q477</f>
        <v>0</v>
      </c>
      <c r="D395">
        <f>Sheet1!R477</f>
        <v>0</v>
      </c>
      <c r="E395">
        <f>Sheet1!U477</f>
        <v>0</v>
      </c>
      <c r="F395" t="str">
        <f t="shared" ref="F395" si="2076">F394</f>
        <v>&lt;record id="</v>
      </c>
      <c r="G395" t="str">
        <f t="shared" ref="G395" si="2077">G394</f>
        <v>" posx="</v>
      </c>
      <c r="H395" t="str">
        <f t="shared" ref="H395" si="2078">H394</f>
        <v>" posy="</v>
      </c>
      <c r="I395" t="str">
        <f t="shared" ref="I395" si="2079">I394</f>
        <v>" dir="</v>
      </c>
      <c r="J395" t="str">
        <f t="shared" ref="J395" si="2080">J394</f>
        <v>"/&gt;</v>
      </c>
      <c r="K395" t="str">
        <f t="shared" ref="K395" si="2081">F395&amp;A395&amp;G395&amp;C395&amp;H395&amp;D395&amp;I395&amp;E395&amp;J395</f>
        <v>&lt;record id="170092" posx="0" posy="0" dir="0"/&gt;</v>
      </c>
    </row>
    <row r="396" spans="1:11">
      <c r="A396">
        <f>Sheet1!A478</f>
        <v>170093</v>
      </c>
      <c r="B396" t="str">
        <f>Sheet1!B478</f>
        <v>★蚩尤战神★</v>
      </c>
      <c r="C396">
        <f>Sheet1!Q478</f>
        <v>0</v>
      </c>
      <c r="D396">
        <f>Sheet1!R478</f>
        <v>0</v>
      </c>
      <c r="E396">
        <f>Sheet1!U478</f>
        <v>0</v>
      </c>
      <c r="F396" t="str">
        <f t="shared" ref="F396" si="2082">F395</f>
        <v>&lt;record id="</v>
      </c>
      <c r="G396" t="str">
        <f t="shared" ref="G396" si="2083">G395</f>
        <v>" posx="</v>
      </c>
      <c r="H396" t="str">
        <f t="shared" ref="H396" si="2084">H395</f>
        <v>" posy="</v>
      </c>
      <c r="I396" t="str">
        <f t="shared" ref="I396" si="2085">I395</f>
        <v>" dir="</v>
      </c>
      <c r="J396" t="str">
        <f t="shared" ref="J396" si="2086">J395</f>
        <v>"/&gt;</v>
      </c>
      <c r="K396" t="str">
        <f t="shared" ref="K396" si="2087">F396&amp;A396&amp;G396&amp;C396&amp;H396&amp;D396&amp;I396&amp;E396&amp;J396</f>
        <v>&lt;record id="170093" posx="0" posy="0" dir="0"/&gt;</v>
      </c>
    </row>
    <row r="397" spans="1:11">
      <c r="A397">
        <f>Sheet1!A479</f>
        <v>170094</v>
      </c>
      <c r="B397" t="str">
        <f>Sheet1!B479</f>
        <v>★蚩尤战神★</v>
      </c>
      <c r="C397">
        <f>Sheet1!Q479</f>
        <v>0</v>
      </c>
      <c r="D397">
        <f>Sheet1!R479</f>
        <v>0</v>
      </c>
      <c r="E397">
        <f>Sheet1!U479</f>
        <v>0</v>
      </c>
      <c r="F397" t="str">
        <f t="shared" ref="F397" si="2088">F396</f>
        <v>&lt;record id="</v>
      </c>
      <c r="G397" t="str">
        <f t="shared" ref="G397" si="2089">G396</f>
        <v>" posx="</v>
      </c>
      <c r="H397" t="str">
        <f t="shared" ref="H397" si="2090">H396</f>
        <v>" posy="</v>
      </c>
      <c r="I397" t="str">
        <f t="shared" ref="I397" si="2091">I396</f>
        <v>" dir="</v>
      </c>
      <c r="J397" t="str">
        <f t="shared" ref="J397" si="2092">J396</f>
        <v>"/&gt;</v>
      </c>
      <c r="K397" t="str">
        <f t="shared" ref="K397" si="2093">F397&amp;A397&amp;G397&amp;C397&amp;H397&amp;D397&amp;I397&amp;E397&amp;J397</f>
        <v>&lt;record id="170094" posx="0" posy="0" dir="0"/&gt;</v>
      </c>
    </row>
    <row r="398" spans="1:11">
      <c r="A398">
        <f>Sheet1!A480</f>
        <v>170095</v>
      </c>
      <c r="B398" t="str">
        <f>Sheet1!B480</f>
        <v>★蚩尤战神★</v>
      </c>
      <c r="C398">
        <f>Sheet1!Q480</f>
        <v>0</v>
      </c>
      <c r="D398">
        <f>Sheet1!R480</f>
        <v>0</v>
      </c>
      <c r="E398">
        <f>Sheet1!U480</f>
        <v>0</v>
      </c>
      <c r="F398" t="str">
        <f t="shared" ref="F398" si="2094">F397</f>
        <v>&lt;record id="</v>
      </c>
      <c r="G398" t="str">
        <f t="shared" ref="G398" si="2095">G397</f>
        <v>" posx="</v>
      </c>
      <c r="H398" t="str">
        <f t="shared" ref="H398" si="2096">H397</f>
        <v>" posy="</v>
      </c>
      <c r="I398" t="str">
        <f t="shared" ref="I398" si="2097">I397</f>
        <v>" dir="</v>
      </c>
      <c r="J398" t="str">
        <f t="shared" ref="J398" si="2098">J397</f>
        <v>"/&gt;</v>
      </c>
      <c r="K398" t="str">
        <f t="shared" ref="K398" si="2099">F398&amp;A398&amp;G398&amp;C398&amp;H398&amp;D398&amp;I398&amp;E398&amp;J398</f>
        <v>&lt;record id="170095" posx="0" posy="0" dir="0"/&gt;</v>
      </c>
    </row>
    <row r="399" spans="1:11">
      <c r="A399">
        <f>Sheet1!A481</f>
        <v>170096</v>
      </c>
      <c r="B399" t="str">
        <f>Sheet1!B481</f>
        <v>★蚩尤战神★</v>
      </c>
      <c r="C399">
        <f>Sheet1!Q481</f>
        <v>0</v>
      </c>
      <c r="D399">
        <f>Sheet1!R481</f>
        <v>0</v>
      </c>
      <c r="E399">
        <f>Sheet1!U481</f>
        <v>0</v>
      </c>
      <c r="F399" t="str">
        <f t="shared" ref="F399" si="2100">F398</f>
        <v>&lt;record id="</v>
      </c>
      <c r="G399" t="str">
        <f t="shared" ref="G399" si="2101">G398</f>
        <v>" posx="</v>
      </c>
      <c r="H399" t="str">
        <f t="shared" ref="H399" si="2102">H398</f>
        <v>" posy="</v>
      </c>
      <c r="I399" t="str">
        <f t="shared" ref="I399" si="2103">I398</f>
        <v>" dir="</v>
      </c>
      <c r="J399" t="str">
        <f t="shared" ref="J399" si="2104">J398</f>
        <v>"/&gt;</v>
      </c>
      <c r="K399" t="str">
        <f t="shared" ref="K399" si="2105">F399&amp;A399&amp;G399&amp;C399&amp;H399&amp;D399&amp;I399&amp;E399&amp;J399</f>
        <v>&lt;record id="170096" posx="0" posy="0" dir="0"/&gt;</v>
      </c>
    </row>
    <row r="400" spans="1:11">
      <c r="A400">
        <f>Sheet1!A482</f>
        <v>170097</v>
      </c>
      <c r="B400" t="str">
        <f>Sheet1!B482</f>
        <v>★蚩尤战神★</v>
      </c>
      <c r="C400">
        <f>Sheet1!Q482</f>
        <v>0</v>
      </c>
      <c r="D400">
        <f>Sheet1!R482</f>
        <v>0</v>
      </c>
      <c r="E400">
        <f>Sheet1!U482</f>
        <v>0</v>
      </c>
      <c r="F400" t="str">
        <f t="shared" ref="F400" si="2106">F399</f>
        <v>&lt;record id="</v>
      </c>
      <c r="G400" t="str">
        <f t="shared" ref="G400" si="2107">G399</f>
        <v>" posx="</v>
      </c>
      <c r="H400" t="str">
        <f t="shared" ref="H400" si="2108">H399</f>
        <v>" posy="</v>
      </c>
      <c r="I400" t="str">
        <f t="shared" ref="I400" si="2109">I399</f>
        <v>" dir="</v>
      </c>
      <c r="J400" t="str">
        <f t="shared" ref="J400" si="2110">J399</f>
        <v>"/&gt;</v>
      </c>
      <c r="K400" t="str">
        <f t="shared" ref="K400" si="2111">F400&amp;A400&amp;G400&amp;C400&amp;H400&amp;D400&amp;I400&amp;E400&amp;J400</f>
        <v>&lt;record id="170097" posx="0" posy="0" dir="0"/&gt;</v>
      </c>
    </row>
    <row r="401" spans="1:11">
      <c r="A401" t="e">
        <f>Sheet1!#REF!</f>
        <v>#REF!</v>
      </c>
      <c r="B401" t="e">
        <f>Sheet1!#REF!</f>
        <v>#REF!</v>
      </c>
      <c r="C401" t="e">
        <f>Sheet1!#REF!</f>
        <v>#REF!</v>
      </c>
      <c r="D401" t="e">
        <f>Sheet1!#REF!</f>
        <v>#REF!</v>
      </c>
      <c r="E401" t="e">
        <f>Sheet1!#REF!</f>
        <v>#REF!</v>
      </c>
      <c r="F401" t="str">
        <f t="shared" ref="F401" si="2112">F400</f>
        <v>&lt;record id="</v>
      </c>
      <c r="G401" t="str">
        <f t="shared" ref="G401" si="2113">G400</f>
        <v>" posx="</v>
      </c>
      <c r="H401" t="str">
        <f t="shared" ref="H401" si="2114">H400</f>
        <v>" posy="</v>
      </c>
      <c r="I401" t="str">
        <f t="shared" ref="I401" si="2115">I400</f>
        <v>" dir="</v>
      </c>
      <c r="J401" t="str">
        <f t="shared" ref="J401" si="2116">J400</f>
        <v>"/&gt;</v>
      </c>
      <c r="K401" t="e">
        <f t="shared" ref="K401" si="2117">F401&amp;A401&amp;G401&amp;C401&amp;H401&amp;D401&amp;I401&amp;E401&amp;J401</f>
        <v>#REF!</v>
      </c>
    </row>
    <row r="402" spans="1:11">
      <c r="A402" t="e">
        <f>Sheet1!#REF!</f>
        <v>#REF!</v>
      </c>
      <c r="B402" t="e">
        <f>Sheet1!#REF!</f>
        <v>#REF!</v>
      </c>
      <c r="C402" t="e">
        <f>Sheet1!#REF!</f>
        <v>#REF!</v>
      </c>
      <c r="D402" t="e">
        <f>Sheet1!#REF!</f>
        <v>#REF!</v>
      </c>
      <c r="E402" t="e">
        <f>Sheet1!#REF!</f>
        <v>#REF!</v>
      </c>
      <c r="F402" t="str">
        <f t="shared" ref="F402" si="2118">F401</f>
        <v>&lt;record id="</v>
      </c>
      <c r="G402" t="str">
        <f t="shared" ref="G402" si="2119">G401</f>
        <v>" posx="</v>
      </c>
      <c r="H402" t="str">
        <f t="shared" ref="H402" si="2120">H401</f>
        <v>" posy="</v>
      </c>
      <c r="I402" t="str">
        <f t="shared" ref="I402" si="2121">I401</f>
        <v>" dir="</v>
      </c>
      <c r="J402" t="str">
        <f t="shared" ref="J402" si="2122">J401</f>
        <v>"/&gt;</v>
      </c>
      <c r="K402" t="e">
        <f t="shared" ref="K402" si="2123">F402&amp;A402&amp;G402&amp;C402&amp;H402&amp;D402&amp;I402&amp;E402&amp;J402</f>
        <v>#REF!</v>
      </c>
    </row>
    <row r="403" spans="1:11">
      <c r="A403" t="e">
        <f>Sheet1!#REF!</f>
        <v>#REF!</v>
      </c>
      <c r="B403" t="e">
        <f>Sheet1!#REF!</f>
        <v>#REF!</v>
      </c>
      <c r="C403" t="e">
        <f>Sheet1!#REF!</f>
        <v>#REF!</v>
      </c>
      <c r="D403" t="e">
        <f>Sheet1!#REF!</f>
        <v>#REF!</v>
      </c>
      <c r="E403" t="e">
        <f>Sheet1!#REF!</f>
        <v>#REF!</v>
      </c>
      <c r="F403" t="str">
        <f t="shared" ref="F403" si="2124">F402</f>
        <v>&lt;record id="</v>
      </c>
      <c r="G403" t="str">
        <f t="shared" ref="G403" si="2125">G402</f>
        <v>" posx="</v>
      </c>
      <c r="H403" t="str">
        <f t="shared" ref="H403" si="2126">H402</f>
        <v>" posy="</v>
      </c>
      <c r="I403" t="str">
        <f t="shared" ref="I403" si="2127">I402</f>
        <v>" dir="</v>
      </c>
      <c r="J403" t="str">
        <f t="shared" ref="J403" si="2128">J402</f>
        <v>"/&gt;</v>
      </c>
      <c r="K403" t="e">
        <f t="shared" ref="K403" si="2129">F403&amp;A403&amp;G403&amp;C403&amp;H403&amp;D403&amp;I403&amp;E403&amp;J403</f>
        <v>#REF!</v>
      </c>
    </row>
    <row r="404" spans="1:11">
      <c r="A404" t="e">
        <f>Sheet1!#REF!</f>
        <v>#REF!</v>
      </c>
      <c r="B404" t="e">
        <f>Sheet1!#REF!</f>
        <v>#REF!</v>
      </c>
      <c r="C404" t="e">
        <f>Sheet1!#REF!</f>
        <v>#REF!</v>
      </c>
      <c r="D404" t="e">
        <f>Sheet1!#REF!</f>
        <v>#REF!</v>
      </c>
      <c r="E404" t="e">
        <f>Sheet1!#REF!</f>
        <v>#REF!</v>
      </c>
      <c r="F404" t="str">
        <f t="shared" ref="F404" si="2130">F403</f>
        <v>&lt;record id="</v>
      </c>
      <c r="G404" t="str">
        <f t="shared" ref="G404" si="2131">G403</f>
        <v>" posx="</v>
      </c>
      <c r="H404" t="str">
        <f t="shared" ref="H404" si="2132">H403</f>
        <v>" posy="</v>
      </c>
      <c r="I404" t="str">
        <f t="shared" ref="I404" si="2133">I403</f>
        <v>" dir="</v>
      </c>
      <c r="J404" t="str">
        <f t="shared" ref="J404" si="2134">J403</f>
        <v>"/&gt;</v>
      </c>
      <c r="K404" t="e">
        <f t="shared" ref="K404" si="2135">F404&amp;A404&amp;G404&amp;C404&amp;H404&amp;D404&amp;I404&amp;E404&amp;J404</f>
        <v>#REF!</v>
      </c>
    </row>
    <row r="405" spans="1:11">
      <c r="A405" t="e">
        <f>Sheet1!#REF!</f>
        <v>#REF!</v>
      </c>
      <c r="B405" t="e">
        <f>Sheet1!#REF!</f>
        <v>#REF!</v>
      </c>
      <c r="C405" t="e">
        <f>Sheet1!#REF!</f>
        <v>#REF!</v>
      </c>
      <c r="D405" t="e">
        <f>Sheet1!#REF!</f>
        <v>#REF!</v>
      </c>
      <c r="E405" t="e">
        <f>Sheet1!#REF!</f>
        <v>#REF!</v>
      </c>
      <c r="F405" t="str">
        <f t="shared" ref="F405" si="2136">F404</f>
        <v>&lt;record id="</v>
      </c>
      <c r="G405" t="str">
        <f t="shared" ref="G405" si="2137">G404</f>
        <v>" posx="</v>
      </c>
      <c r="H405" t="str">
        <f t="shared" ref="H405" si="2138">H404</f>
        <v>" posy="</v>
      </c>
      <c r="I405" t="str">
        <f t="shared" ref="I405" si="2139">I404</f>
        <v>" dir="</v>
      </c>
      <c r="J405" t="str">
        <f t="shared" ref="J405" si="2140">J404</f>
        <v>"/&gt;</v>
      </c>
      <c r="K405" t="e">
        <f t="shared" ref="K405" si="2141">F405&amp;A405&amp;G405&amp;C405&amp;H405&amp;D405&amp;I405&amp;E405&amp;J405</f>
        <v>#REF!</v>
      </c>
    </row>
    <row r="406" spans="1:11">
      <c r="A406" t="e">
        <f>Sheet1!#REF!</f>
        <v>#REF!</v>
      </c>
      <c r="B406" t="e">
        <f>Sheet1!#REF!</f>
        <v>#REF!</v>
      </c>
      <c r="C406" t="e">
        <f>Sheet1!#REF!</f>
        <v>#REF!</v>
      </c>
      <c r="D406" t="e">
        <f>Sheet1!#REF!</f>
        <v>#REF!</v>
      </c>
      <c r="E406" t="e">
        <f>Sheet1!#REF!</f>
        <v>#REF!</v>
      </c>
      <c r="F406" t="str">
        <f t="shared" ref="F406" si="2142">F405</f>
        <v>&lt;record id="</v>
      </c>
      <c r="G406" t="str">
        <f t="shared" ref="G406" si="2143">G405</f>
        <v>" posx="</v>
      </c>
      <c r="H406" t="str">
        <f t="shared" ref="H406" si="2144">H405</f>
        <v>" posy="</v>
      </c>
      <c r="I406" t="str">
        <f t="shared" ref="I406" si="2145">I405</f>
        <v>" dir="</v>
      </c>
      <c r="J406" t="str">
        <f t="shared" ref="J406" si="2146">J405</f>
        <v>"/&gt;</v>
      </c>
      <c r="K406" t="e">
        <f t="shared" ref="K406" si="2147">F406&amp;A406&amp;G406&amp;C406&amp;H406&amp;D406&amp;I406&amp;E406&amp;J406</f>
        <v>#REF!</v>
      </c>
    </row>
    <row r="407" spans="1:11">
      <c r="A407" t="e">
        <f>Sheet1!#REF!</f>
        <v>#REF!</v>
      </c>
      <c r="B407" t="e">
        <f>Sheet1!#REF!</f>
        <v>#REF!</v>
      </c>
      <c r="C407" t="e">
        <f>Sheet1!#REF!</f>
        <v>#REF!</v>
      </c>
      <c r="D407" t="e">
        <f>Sheet1!#REF!</f>
        <v>#REF!</v>
      </c>
      <c r="E407" t="e">
        <f>Sheet1!#REF!</f>
        <v>#REF!</v>
      </c>
      <c r="F407" t="str">
        <f t="shared" ref="F407" si="2148">F406</f>
        <v>&lt;record id="</v>
      </c>
      <c r="G407" t="str">
        <f t="shared" ref="G407" si="2149">G406</f>
        <v>" posx="</v>
      </c>
      <c r="H407" t="str">
        <f t="shared" ref="H407" si="2150">H406</f>
        <v>" posy="</v>
      </c>
      <c r="I407" t="str">
        <f t="shared" ref="I407" si="2151">I406</f>
        <v>" dir="</v>
      </c>
      <c r="J407" t="str">
        <f t="shared" ref="J407" si="2152">J406</f>
        <v>"/&gt;</v>
      </c>
      <c r="K407" t="e">
        <f t="shared" ref="K407" si="2153">F407&amp;A407&amp;G407&amp;C407&amp;H407&amp;D407&amp;I407&amp;E407&amp;J407</f>
        <v>#REF!</v>
      </c>
    </row>
    <row r="408" spans="1:11">
      <c r="A408" t="e">
        <f>Sheet1!#REF!</f>
        <v>#REF!</v>
      </c>
      <c r="B408" t="e">
        <f>Sheet1!#REF!</f>
        <v>#REF!</v>
      </c>
      <c r="C408" t="e">
        <f>Sheet1!#REF!</f>
        <v>#REF!</v>
      </c>
      <c r="D408" t="e">
        <f>Sheet1!#REF!</f>
        <v>#REF!</v>
      </c>
      <c r="E408" t="e">
        <f>Sheet1!#REF!</f>
        <v>#REF!</v>
      </c>
      <c r="F408" t="str">
        <f t="shared" ref="F408" si="2154">F407</f>
        <v>&lt;record id="</v>
      </c>
      <c r="G408" t="str">
        <f t="shared" ref="G408" si="2155">G407</f>
        <v>" posx="</v>
      </c>
      <c r="H408" t="str">
        <f t="shared" ref="H408" si="2156">H407</f>
        <v>" posy="</v>
      </c>
      <c r="I408" t="str">
        <f t="shared" ref="I408" si="2157">I407</f>
        <v>" dir="</v>
      </c>
      <c r="J408" t="str">
        <f t="shared" ref="J408" si="2158">J407</f>
        <v>"/&gt;</v>
      </c>
      <c r="K408" t="e">
        <f t="shared" ref="K408" si="2159">F408&amp;A408&amp;G408&amp;C408&amp;H408&amp;D408&amp;I408&amp;E408&amp;J408</f>
        <v>#REF!</v>
      </c>
    </row>
    <row r="409" spans="1:11">
      <c r="A409" t="e">
        <f>Sheet1!#REF!</f>
        <v>#REF!</v>
      </c>
      <c r="B409" t="e">
        <f>Sheet1!#REF!</f>
        <v>#REF!</v>
      </c>
      <c r="C409" t="e">
        <f>Sheet1!#REF!</f>
        <v>#REF!</v>
      </c>
      <c r="D409" t="e">
        <f>Sheet1!#REF!</f>
        <v>#REF!</v>
      </c>
      <c r="E409" t="e">
        <f>Sheet1!#REF!</f>
        <v>#REF!</v>
      </c>
      <c r="F409" t="str">
        <f t="shared" ref="F409" si="2160">F408</f>
        <v>&lt;record id="</v>
      </c>
      <c r="G409" t="str">
        <f t="shared" ref="G409" si="2161">G408</f>
        <v>" posx="</v>
      </c>
      <c r="H409" t="str">
        <f t="shared" ref="H409" si="2162">H408</f>
        <v>" posy="</v>
      </c>
      <c r="I409" t="str">
        <f t="shared" ref="I409" si="2163">I408</f>
        <v>" dir="</v>
      </c>
      <c r="J409" t="str">
        <f t="shared" ref="J409" si="2164">J408</f>
        <v>"/&gt;</v>
      </c>
      <c r="K409" t="e">
        <f t="shared" ref="K409" si="2165">F409&amp;A409&amp;G409&amp;C409&amp;H409&amp;D409&amp;I409&amp;E409&amp;J409</f>
        <v>#REF!</v>
      </c>
    </row>
    <row r="410" spans="1:11">
      <c r="A410" t="e">
        <f>Sheet1!#REF!</f>
        <v>#REF!</v>
      </c>
      <c r="B410" t="e">
        <f>Sheet1!#REF!</f>
        <v>#REF!</v>
      </c>
      <c r="C410" t="e">
        <f>Sheet1!#REF!</f>
        <v>#REF!</v>
      </c>
      <c r="D410" t="e">
        <f>Sheet1!#REF!</f>
        <v>#REF!</v>
      </c>
      <c r="E410" t="e">
        <f>Sheet1!#REF!</f>
        <v>#REF!</v>
      </c>
      <c r="F410" t="str">
        <f t="shared" ref="F410" si="2166">F409</f>
        <v>&lt;record id="</v>
      </c>
      <c r="G410" t="str">
        <f t="shared" ref="G410" si="2167">G409</f>
        <v>" posx="</v>
      </c>
      <c r="H410" t="str">
        <f t="shared" ref="H410" si="2168">H409</f>
        <v>" posy="</v>
      </c>
      <c r="I410" t="str">
        <f t="shared" ref="I410" si="2169">I409</f>
        <v>" dir="</v>
      </c>
      <c r="J410" t="str">
        <f t="shared" ref="J410" si="2170">J409</f>
        <v>"/&gt;</v>
      </c>
      <c r="K410" t="e">
        <f t="shared" ref="K410" si="2171">F410&amp;A410&amp;G410&amp;C410&amp;H410&amp;D410&amp;I410&amp;E410&amp;J410</f>
        <v>#REF!</v>
      </c>
    </row>
    <row r="411" spans="1:11">
      <c r="A411" t="e">
        <f>Sheet1!#REF!</f>
        <v>#REF!</v>
      </c>
      <c r="B411" t="e">
        <f>Sheet1!#REF!</f>
        <v>#REF!</v>
      </c>
      <c r="C411" t="e">
        <f>Sheet1!#REF!</f>
        <v>#REF!</v>
      </c>
      <c r="D411" t="e">
        <f>Sheet1!#REF!</f>
        <v>#REF!</v>
      </c>
      <c r="E411" t="e">
        <f>Sheet1!#REF!</f>
        <v>#REF!</v>
      </c>
      <c r="F411" t="str">
        <f t="shared" ref="F411" si="2172">F410</f>
        <v>&lt;record id="</v>
      </c>
      <c r="G411" t="str">
        <f t="shared" ref="G411" si="2173">G410</f>
        <v>" posx="</v>
      </c>
      <c r="H411" t="str">
        <f t="shared" ref="H411" si="2174">H410</f>
        <v>" posy="</v>
      </c>
      <c r="I411" t="str">
        <f t="shared" ref="I411" si="2175">I410</f>
        <v>" dir="</v>
      </c>
      <c r="J411" t="str">
        <f t="shared" ref="J411" si="2176">J410</f>
        <v>"/&gt;</v>
      </c>
      <c r="K411" t="e">
        <f t="shared" ref="K411" si="2177">F411&amp;A411&amp;G411&amp;C411&amp;H411&amp;D411&amp;I411&amp;E411&amp;J411</f>
        <v>#REF!</v>
      </c>
    </row>
    <row r="412" spans="1:11">
      <c r="A412">
        <f>Sheet1!A483</f>
        <v>170111</v>
      </c>
      <c r="B412" t="str">
        <f>Sheet1!B483</f>
        <v>大萌萌血老厚了</v>
      </c>
      <c r="C412">
        <f>Sheet1!Q483</f>
        <v>0</v>
      </c>
      <c r="D412">
        <f>Sheet1!R483</f>
        <v>0</v>
      </c>
      <c r="E412">
        <f>Sheet1!U483</f>
        <v>0</v>
      </c>
      <c r="F412" t="str">
        <f t="shared" ref="F412" si="2178">F411</f>
        <v>&lt;record id="</v>
      </c>
      <c r="G412" t="str">
        <f t="shared" ref="G412" si="2179">G411</f>
        <v>" posx="</v>
      </c>
      <c r="H412" t="str">
        <f t="shared" ref="H412" si="2180">H411</f>
        <v>" posy="</v>
      </c>
      <c r="I412" t="str">
        <f t="shared" ref="I412" si="2181">I411</f>
        <v>" dir="</v>
      </c>
      <c r="J412" t="str">
        <f t="shared" ref="J412" si="2182">J411</f>
        <v>"/&gt;</v>
      </c>
      <c r="K412" t="str">
        <f t="shared" ref="K412" si="2183">F412&amp;A412&amp;G412&amp;C412&amp;H412&amp;D412&amp;I412&amp;E412&amp;J412</f>
        <v>&lt;record id="170111" posx="0" posy="0" dir="0"/&gt;</v>
      </c>
    </row>
    <row r="413" spans="1:11">
      <c r="A413">
        <f>Sheet1!A484</f>
        <v>170201</v>
      </c>
      <c r="B413" t="str">
        <f>Sheet1!B484</f>
        <v>贼王吴二枫</v>
      </c>
      <c r="C413">
        <f>Sheet1!Q484</f>
        <v>0</v>
      </c>
      <c r="D413">
        <f>Sheet1!R484</f>
        <v>0</v>
      </c>
      <c r="E413">
        <f>Sheet1!U484</f>
        <v>0</v>
      </c>
      <c r="F413" t="str">
        <f t="shared" ref="F413" si="2184">F412</f>
        <v>&lt;record id="</v>
      </c>
      <c r="G413" t="str">
        <f t="shared" ref="G413" si="2185">G412</f>
        <v>" posx="</v>
      </c>
      <c r="H413" t="str">
        <f t="shared" ref="H413" si="2186">H412</f>
        <v>" posy="</v>
      </c>
      <c r="I413" t="str">
        <f t="shared" ref="I413" si="2187">I412</f>
        <v>" dir="</v>
      </c>
      <c r="J413" t="str">
        <f t="shared" ref="J413:J418" si="2188">J412</f>
        <v>"/&gt;</v>
      </c>
      <c r="K413" t="str">
        <f t="shared" ref="K413" si="2189">F413&amp;A413&amp;G413&amp;C413&amp;H413&amp;D413&amp;I413&amp;E413&amp;J413</f>
        <v>&lt;record id="170201" posx="0" posy="0" dir="0"/&gt;</v>
      </c>
    </row>
    <row r="414" spans="1:11">
      <c r="A414">
        <f>Sheet1!A485</f>
        <v>170210</v>
      </c>
      <c r="B414" t="str">
        <f>Sheet1!B485</f>
        <v>野猪宝宝</v>
      </c>
      <c r="C414">
        <f>Sheet1!Q485</f>
        <v>0</v>
      </c>
      <c r="D414">
        <f>Sheet1!R485</f>
        <v>0</v>
      </c>
      <c r="E414">
        <f>Sheet1!U485</f>
        <v>0</v>
      </c>
      <c r="F414" t="str">
        <f t="shared" ref="F414:F419" si="2190">F413</f>
        <v>&lt;record id="</v>
      </c>
      <c r="G414" t="str">
        <f t="shared" ref="G414" si="2191">G413</f>
        <v>" posx="</v>
      </c>
      <c r="H414" t="str">
        <f t="shared" ref="H414" si="2192">H413</f>
        <v>" posy="</v>
      </c>
      <c r="I414" t="str">
        <f t="shared" ref="I414:I418" si="2193">I413</f>
        <v>" dir="</v>
      </c>
      <c r="J414" t="str">
        <f t="shared" si="2188"/>
        <v>"/&gt;</v>
      </c>
      <c r="K414" t="str">
        <f t="shared" ref="K414:K419" si="2194">F414&amp;A414&amp;G414&amp;C414&amp;H414&amp;D414&amp;I414&amp;E414&amp;J414</f>
        <v>&lt;record id="170210" posx="0" posy="0" dir="0"/&gt;</v>
      </c>
    </row>
    <row r="415" spans="1:11">
      <c r="A415">
        <f>Sheet1!A486</f>
        <v>170211</v>
      </c>
      <c r="B415" t="str">
        <f>Sheet1!B486</f>
        <v>老虎宝宝</v>
      </c>
      <c r="C415">
        <f>Sheet1!Q486</f>
        <v>0</v>
      </c>
      <c r="D415">
        <f>Sheet1!R486</f>
        <v>0</v>
      </c>
      <c r="E415">
        <f>Sheet1!U486</f>
        <v>0</v>
      </c>
      <c r="F415" t="str">
        <f t="shared" si="2190"/>
        <v>&lt;record id="</v>
      </c>
      <c r="G415" t="str">
        <f t="shared" ref="G415" si="2195">G414</f>
        <v>" posx="</v>
      </c>
      <c r="H415" t="str">
        <f t="shared" ref="H415:H418" si="2196">H414</f>
        <v>" posy="</v>
      </c>
      <c r="I415" t="str">
        <f t="shared" si="2193"/>
        <v>" dir="</v>
      </c>
      <c r="J415" t="str">
        <f t="shared" si="2188"/>
        <v>"/&gt;</v>
      </c>
      <c r="K415" t="str">
        <f t="shared" si="2194"/>
        <v>&lt;record id="170211" posx="0" posy="0" dir="0"/&gt;</v>
      </c>
    </row>
    <row r="416" spans="1:11">
      <c r="A416">
        <f>Sheet1!A487</f>
        <v>170212</v>
      </c>
      <c r="B416" t="str">
        <f>Sheet1!B487</f>
        <v>野猪宝宝</v>
      </c>
      <c r="C416">
        <f>Sheet1!Q487</f>
        <v>0</v>
      </c>
      <c r="D416">
        <f>Sheet1!R487</f>
        <v>0</v>
      </c>
      <c r="E416">
        <f>Sheet1!U487</f>
        <v>0</v>
      </c>
      <c r="F416" t="str">
        <f t="shared" si="2190"/>
        <v>&lt;record id="</v>
      </c>
      <c r="G416" t="str">
        <f t="shared" ref="G416:G418" si="2197">G415</f>
        <v>" posx="</v>
      </c>
      <c r="H416" t="str">
        <f t="shared" si="2196"/>
        <v>" posy="</v>
      </c>
      <c r="I416" t="str">
        <f t="shared" si="2193"/>
        <v>" dir="</v>
      </c>
      <c r="J416" t="str">
        <f t="shared" si="2188"/>
        <v>"/&gt;</v>
      </c>
      <c r="K416" t="str">
        <f t="shared" si="2194"/>
        <v>&lt;record id="170212" posx="0" posy="0" dir="0"/&gt;</v>
      </c>
    </row>
    <row r="417" spans="1:11">
      <c r="A417">
        <f>Sheet1!A488</f>
        <v>170213</v>
      </c>
      <c r="B417" t="str">
        <f>Sheet1!B488</f>
        <v>囧龟宝宝</v>
      </c>
      <c r="C417">
        <f>Sheet1!Q488</f>
        <v>0</v>
      </c>
      <c r="D417">
        <f>Sheet1!R488</f>
        <v>0</v>
      </c>
      <c r="E417">
        <f>Sheet1!U488</f>
        <v>0</v>
      </c>
      <c r="F417" t="str">
        <f t="shared" si="2190"/>
        <v>&lt;record id="</v>
      </c>
      <c r="G417" t="str">
        <f t="shared" si="2197"/>
        <v>" posx="</v>
      </c>
      <c r="H417" t="str">
        <f t="shared" si="2196"/>
        <v>" posy="</v>
      </c>
      <c r="I417" t="str">
        <f t="shared" si="2193"/>
        <v>" dir="</v>
      </c>
      <c r="J417" t="str">
        <f t="shared" si="2188"/>
        <v>"/&gt;</v>
      </c>
      <c r="K417" t="str">
        <f t="shared" si="2194"/>
        <v>&lt;record id="170213" posx="0" posy="0" dir="0"/&gt;</v>
      </c>
    </row>
    <row r="418" spans="1:11">
      <c r="A418">
        <f>Sheet1!A489</f>
        <v>170214</v>
      </c>
      <c r="B418" t="str">
        <f>Sheet1!B489</f>
        <v>牛头宝宝</v>
      </c>
      <c r="C418">
        <f>Sheet1!Q489</f>
        <v>0</v>
      </c>
      <c r="D418">
        <f>Sheet1!R489</f>
        <v>0</v>
      </c>
      <c r="E418">
        <f>Sheet1!U489</f>
        <v>0</v>
      </c>
      <c r="F418" t="str">
        <f t="shared" si="2190"/>
        <v>&lt;record id="</v>
      </c>
      <c r="G418" t="str">
        <f t="shared" si="2197"/>
        <v>" posx="</v>
      </c>
      <c r="H418" t="str">
        <f t="shared" si="2196"/>
        <v>" posy="</v>
      </c>
      <c r="I418" t="str">
        <f t="shared" si="2193"/>
        <v>" dir="</v>
      </c>
      <c r="J418" t="str">
        <f t="shared" si="2188"/>
        <v>"/&gt;</v>
      </c>
      <c r="K418" t="str">
        <f t="shared" si="2194"/>
        <v>&lt;record id="170214" posx="0" posy="0" dir="0"/&gt;</v>
      </c>
    </row>
    <row r="419" spans="1:11">
      <c r="A419">
        <f>Sheet1!A490</f>
        <v>170215</v>
      </c>
      <c r="B419" t="str">
        <f>Sheet1!B490</f>
        <v>马面宝宝</v>
      </c>
      <c r="C419">
        <f>Sheet1!Q490</f>
        <v>0</v>
      </c>
      <c r="D419">
        <f>Sheet1!R490</f>
        <v>0</v>
      </c>
      <c r="E419">
        <f>Sheet1!U490</f>
        <v>0</v>
      </c>
      <c r="F419" t="str">
        <f t="shared" si="2190"/>
        <v>&lt;record id="</v>
      </c>
      <c r="G419" t="str">
        <f t="shared" ref="G419" si="2198">G418</f>
        <v>" posx="</v>
      </c>
      <c r="H419" t="str">
        <f t="shared" ref="H419" si="2199">H418</f>
        <v>" posy="</v>
      </c>
      <c r="I419" t="str">
        <f t="shared" ref="I419" si="2200">I418</f>
        <v>" dir="</v>
      </c>
      <c r="J419" t="str">
        <f t="shared" ref="J419" si="2201">J418</f>
        <v>"/&gt;</v>
      </c>
      <c r="K419" t="str">
        <f t="shared" si="2194"/>
        <v>&lt;record id="170215" posx="0" posy="0" dir="0"/&gt;</v>
      </c>
    </row>
    <row r="420" spans="1:11">
      <c r="A420">
        <f>Sheet1!A491</f>
        <v>170216</v>
      </c>
      <c r="B420" t="str">
        <f>Sheet1!B491</f>
        <v>龟丞相宝宝</v>
      </c>
      <c r="C420">
        <f>Sheet1!Q491</f>
        <v>0</v>
      </c>
      <c r="D420">
        <f>Sheet1!R491</f>
        <v>0</v>
      </c>
      <c r="E420">
        <f>Sheet1!U491</f>
        <v>0</v>
      </c>
      <c r="F420" t="str">
        <f t="shared" ref="F420" si="2202">F419</f>
        <v>&lt;record id="</v>
      </c>
      <c r="G420" t="str">
        <f t="shared" ref="G420" si="2203">G419</f>
        <v>" posx="</v>
      </c>
      <c r="H420" t="str">
        <f t="shared" ref="H420" si="2204">H419</f>
        <v>" posy="</v>
      </c>
      <c r="I420" t="str">
        <f t="shared" ref="I420" si="2205">I419</f>
        <v>" dir="</v>
      </c>
      <c r="J420" t="str">
        <f t="shared" ref="J420" si="2206">J419</f>
        <v>"/&gt;</v>
      </c>
      <c r="K420" t="str">
        <f t="shared" ref="K420" si="2207">F420&amp;A420&amp;G420&amp;C420&amp;H420&amp;D420&amp;I420&amp;E420&amp;J420</f>
        <v>&lt;record id="170216" posx="0" posy="0" dir="0"/&gt;</v>
      </c>
    </row>
    <row r="421" spans="1:11">
      <c r="A421">
        <f>Sheet1!A492</f>
        <v>170217</v>
      </c>
      <c r="B421" t="str">
        <f>Sheet1!B492</f>
        <v>净瓶女娲</v>
      </c>
      <c r="C421">
        <f>Sheet1!Q492</f>
        <v>0</v>
      </c>
      <c r="D421">
        <f>Sheet1!R492</f>
        <v>0</v>
      </c>
      <c r="E421">
        <f>Sheet1!U492</f>
        <v>0</v>
      </c>
      <c r="F421" t="str">
        <f t="shared" ref="F421" si="2208">F420</f>
        <v>&lt;record id="</v>
      </c>
      <c r="G421" t="str">
        <f t="shared" ref="G421" si="2209">G420</f>
        <v>" posx="</v>
      </c>
      <c r="H421" t="str">
        <f t="shared" ref="H421" si="2210">H420</f>
        <v>" posy="</v>
      </c>
      <c r="I421" t="str">
        <f t="shared" ref="I421" si="2211">I420</f>
        <v>" dir="</v>
      </c>
      <c r="J421" t="str">
        <f t="shared" ref="J421" si="2212">J420</f>
        <v>"/&gt;</v>
      </c>
      <c r="K421" t="str">
        <f t="shared" ref="K421" si="2213">F421&amp;A421&amp;G421&amp;C421&amp;H421&amp;D421&amp;I421&amp;E421&amp;J421</f>
        <v>&lt;record id="170217" posx="0" posy="0" dir="0"/&gt;</v>
      </c>
    </row>
    <row r="422" spans="1:11">
      <c r="A422">
        <f>Sheet1!A493</f>
        <v>170218</v>
      </c>
      <c r="B422" t="str">
        <f>Sheet1!B493</f>
        <v>虾兵宝宝</v>
      </c>
      <c r="C422">
        <f>Sheet1!Q493</f>
        <v>0</v>
      </c>
      <c r="D422">
        <f>Sheet1!R493</f>
        <v>0</v>
      </c>
      <c r="E422">
        <f>Sheet1!U493</f>
        <v>0</v>
      </c>
      <c r="F422" t="str">
        <f t="shared" ref="F422" si="2214">F421</f>
        <v>&lt;record id="</v>
      </c>
      <c r="G422" t="str">
        <f t="shared" ref="G422" si="2215">G421</f>
        <v>" posx="</v>
      </c>
      <c r="H422" t="str">
        <f t="shared" ref="H422" si="2216">H421</f>
        <v>" posy="</v>
      </c>
      <c r="I422" t="str">
        <f t="shared" ref="I422" si="2217">I421</f>
        <v>" dir="</v>
      </c>
      <c r="J422" t="str">
        <f t="shared" ref="J422" si="2218">J421</f>
        <v>"/&gt;</v>
      </c>
      <c r="K422" t="str">
        <f t="shared" ref="K422" si="2219">F422&amp;A422&amp;G422&amp;C422&amp;H422&amp;D422&amp;I422&amp;E422&amp;J422</f>
        <v>&lt;record id="170218" posx="0" posy="0" dir="0"/&gt;</v>
      </c>
    </row>
    <row r="423" spans="1:11">
      <c r="A423">
        <f>Sheet1!A494</f>
        <v>170219</v>
      </c>
      <c r="B423" t="str">
        <f>Sheet1!B494</f>
        <v>蟹将宝宝</v>
      </c>
      <c r="C423">
        <f>Sheet1!Q494</f>
        <v>0</v>
      </c>
      <c r="D423">
        <f>Sheet1!R494</f>
        <v>0</v>
      </c>
      <c r="E423">
        <f>Sheet1!U494</f>
        <v>0</v>
      </c>
      <c r="F423" t="str">
        <f t="shared" ref="F423" si="2220">F422</f>
        <v>&lt;record id="</v>
      </c>
      <c r="G423" t="str">
        <f t="shared" ref="G423" si="2221">G422</f>
        <v>" posx="</v>
      </c>
      <c r="H423" t="str">
        <f t="shared" ref="H423" si="2222">H422</f>
        <v>" posy="</v>
      </c>
      <c r="I423" t="str">
        <f t="shared" ref="I423" si="2223">I422</f>
        <v>" dir="</v>
      </c>
      <c r="J423" t="str">
        <f t="shared" ref="J423" si="2224">J422</f>
        <v>"/&gt;</v>
      </c>
      <c r="K423" t="str">
        <f t="shared" ref="K423" si="2225">F423&amp;A423&amp;G423&amp;C423&amp;H423&amp;D423&amp;I423&amp;E423&amp;J423</f>
        <v>&lt;record id="170219" posx="0" posy="0" dir="0"/&gt;</v>
      </c>
    </row>
    <row r="424" spans="1:11">
      <c r="A424">
        <f>Sheet1!A495</f>
        <v>170220</v>
      </c>
      <c r="B424" t="str">
        <f>Sheet1!B495</f>
        <v>古代瑞兽宝宝</v>
      </c>
      <c r="C424">
        <f>Sheet1!Q495</f>
        <v>0</v>
      </c>
      <c r="D424">
        <f>Sheet1!R495</f>
        <v>0</v>
      </c>
      <c r="E424">
        <f>Sheet1!U495</f>
        <v>0</v>
      </c>
      <c r="F424" t="str">
        <f t="shared" ref="F424" si="2226">F423</f>
        <v>&lt;record id="</v>
      </c>
      <c r="G424" t="str">
        <f t="shared" ref="G424" si="2227">G423</f>
        <v>" posx="</v>
      </c>
      <c r="H424" t="str">
        <f t="shared" ref="H424" si="2228">H423</f>
        <v>" posy="</v>
      </c>
      <c r="I424" t="str">
        <f t="shared" ref="I424" si="2229">I423</f>
        <v>" dir="</v>
      </c>
      <c r="J424" t="str">
        <f t="shared" ref="J424" si="2230">J423</f>
        <v>"/&gt;</v>
      </c>
      <c r="K424" t="str">
        <f t="shared" ref="K424" si="2231">F424&amp;A424&amp;G424&amp;C424&amp;H424&amp;D424&amp;I424&amp;E424&amp;J424</f>
        <v>&lt;record id="170220" posx="0" posy="0" dir="0"/&gt;</v>
      </c>
    </row>
    <row r="425" spans="1:11">
      <c r="A425">
        <f>Sheet1!A496</f>
        <v>170221</v>
      </c>
      <c r="B425" t="str">
        <f>Sheet1!B496</f>
        <v>灵符女娲</v>
      </c>
      <c r="C425">
        <f>Sheet1!Q496</f>
        <v>0</v>
      </c>
      <c r="D425">
        <f>Sheet1!R496</f>
        <v>0</v>
      </c>
      <c r="E425">
        <f>Sheet1!U496</f>
        <v>0</v>
      </c>
      <c r="F425" t="str">
        <f t="shared" ref="F425" si="2232">F424</f>
        <v>&lt;record id="</v>
      </c>
      <c r="G425" t="str">
        <f t="shared" ref="G425" si="2233">G424</f>
        <v>" posx="</v>
      </c>
      <c r="H425" t="str">
        <f t="shared" ref="H425" si="2234">H424</f>
        <v>" posy="</v>
      </c>
      <c r="I425" t="str">
        <f t="shared" ref="I425" si="2235">I424</f>
        <v>" dir="</v>
      </c>
      <c r="J425" t="str">
        <f t="shared" ref="J425" si="2236">J424</f>
        <v>"/&gt;</v>
      </c>
      <c r="K425" t="str">
        <f t="shared" ref="K425" si="2237">F425&amp;A425&amp;G425&amp;C425&amp;H425&amp;D425&amp;I425&amp;E425&amp;J425</f>
        <v>&lt;record id="170221" posx="0" posy="0" dir="0"/&gt;</v>
      </c>
    </row>
    <row r="426" spans="1:11">
      <c r="A426">
        <f>Sheet1!A497</f>
        <v>170222</v>
      </c>
      <c r="B426" t="str">
        <f>Sheet1!B497</f>
        <v>鲛将军宝宝</v>
      </c>
      <c r="C426">
        <f>Sheet1!Q497</f>
        <v>0</v>
      </c>
      <c r="D426">
        <f>Sheet1!R497</f>
        <v>0</v>
      </c>
      <c r="E426">
        <f>Sheet1!U497</f>
        <v>0</v>
      </c>
      <c r="F426" t="str">
        <f t="shared" ref="F426" si="2238">F425</f>
        <v>&lt;record id="</v>
      </c>
      <c r="G426" t="str">
        <f t="shared" ref="G426" si="2239">G425</f>
        <v>" posx="</v>
      </c>
      <c r="H426" t="str">
        <f t="shared" ref="H426" si="2240">H425</f>
        <v>" posy="</v>
      </c>
      <c r="I426" t="str">
        <f t="shared" ref="I426" si="2241">I425</f>
        <v>" dir="</v>
      </c>
      <c r="J426" t="str">
        <f t="shared" ref="J426" si="2242">J425</f>
        <v>"/&gt;</v>
      </c>
      <c r="K426" t="str">
        <f t="shared" ref="K426" si="2243">F426&amp;A426&amp;G426&amp;C426&amp;H426&amp;D426&amp;I426&amp;E426&amp;J426</f>
        <v>&lt;record id="170222" posx="0" posy="0" dir="0"/&gt;</v>
      </c>
    </row>
    <row r="427" spans="1:11">
      <c r="A427">
        <f>Sheet1!A498</f>
        <v>170223</v>
      </c>
      <c r="B427" t="str">
        <f>Sheet1!B498</f>
        <v>蚌仙子宝宝</v>
      </c>
      <c r="C427">
        <f>Sheet1!Q498</f>
        <v>0</v>
      </c>
      <c r="D427">
        <f>Sheet1!R498</f>
        <v>0</v>
      </c>
      <c r="E427">
        <f>Sheet1!U498</f>
        <v>0</v>
      </c>
      <c r="F427" t="str">
        <f t="shared" ref="F427" si="2244">F426</f>
        <v>&lt;record id="</v>
      </c>
      <c r="G427" t="str">
        <f t="shared" ref="G427" si="2245">G426</f>
        <v>" posx="</v>
      </c>
      <c r="H427" t="str">
        <f t="shared" ref="H427" si="2246">H426</f>
        <v>" posy="</v>
      </c>
      <c r="I427" t="str">
        <f t="shared" ref="I427" si="2247">I426</f>
        <v>" dir="</v>
      </c>
      <c r="J427" t="str">
        <f t="shared" ref="J427" si="2248">J426</f>
        <v>"/&gt;</v>
      </c>
      <c r="K427" t="str">
        <f t="shared" ref="K427" si="2249">F427&amp;A427&amp;G427&amp;C427&amp;H427&amp;D427&amp;I427&amp;E427&amp;J427</f>
        <v>&lt;record id="170223" posx="0" posy="0" dir="0"/&gt;</v>
      </c>
    </row>
    <row r="428" spans="1:11">
      <c r="A428">
        <f>Sheet1!A499</f>
        <v>170224</v>
      </c>
      <c r="B428" t="str">
        <f>Sheet1!B499</f>
        <v>龙女宝宝</v>
      </c>
      <c r="C428">
        <f>Sheet1!Q499</f>
        <v>0</v>
      </c>
      <c r="D428">
        <f>Sheet1!R499</f>
        <v>0</v>
      </c>
      <c r="E428">
        <f>Sheet1!U499</f>
        <v>0</v>
      </c>
      <c r="F428" t="str">
        <f t="shared" ref="F428" si="2250">F427</f>
        <v>&lt;record id="</v>
      </c>
      <c r="G428" t="str">
        <f t="shared" ref="G428" si="2251">G427</f>
        <v>" posx="</v>
      </c>
      <c r="H428" t="str">
        <f t="shared" ref="H428" si="2252">H427</f>
        <v>" posy="</v>
      </c>
      <c r="I428" t="str">
        <f t="shared" ref="I428" si="2253">I427</f>
        <v>" dir="</v>
      </c>
      <c r="J428" t="str">
        <f t="shared" ref="J428" si="2254">J427</f>
        <v>"/&gt;</v>
      </c>
      <c r="K428" t="str">
        <f t="shared" ref="K428" si="2255">F428&amp;A428&amp;G428&amp;C428&amp;H428&amp;D428&amp;I428&amp;E428&amp;J428</f>
        <v>&lt;record id="170224" posx="0" posy="0" dir="0"/&gt;</v>
      </c>
    </row>
    <row r="429" spans="1:11">
      <c r="A429">
        <f>Sheet1!A500</f>
        <v>170225</v>
      </c>
      <c r="B429" t="str">
        <f>Sheet1!B500</f>
        <v>律法女娲</v>
      </c>
      <c r="C429">
        <f>Sheet1!Q500</f>
        <v>0</v>
      </c>
      <c r="D429">
        <f>Sheet1!R500</f>
        <v>0</v>
      </c>
      <c r="E429">
        <f>Sheet1!U500</f>
        <v>0</v>
      </c>
      <c r="F429" t="str">
        <f t="shared" ref="F429" si="2256">F428</f>
        <v>&lt;record id="</v>
      </c>
      <c r="G429" t="str">
        <f t="shared" ref="G429" si="2257">G428</f>
        <v>" posx="</v>
      </c>
      <c r="H429" t="str">
        <f t="shared" ref="H429" si="2258">H428</f>
        <v>" posy="</v>
      </c>
      <c r="I429" t="str">
        <f t="shared" ref="I429" si="2259">I428</f>
        <v>" dir="</v>
      </c>
      <c r="J429" t="str">
        <f t="shared" ref="J429" si="2260">J428</f>
        <v>"/&gt;</v>
      </c>
      <c r="K429" t="str">
        <f t="shared" ref="K429" si="2261">F429&amp;A429&amp;G429&amp;C429&amp;H429&amp;D429&amp;I429&amp;E429&amp;J429</f>
        <v>&lt;record id="170225" posx="0" posy="0" dir="0"/&gt;</v>
      </c>
    </row>
    <row r="430" spans="1:11">
      <c r="A430">
        <f>Sheet1!A501</f>
        <v>170226</v>
      </c>
      <c r="B430" t="str">
        <f>Sheet1!B501</f>
        <v>千年僵尸宝宝</v>
      </c>
      <c r="C430">
        <f>Sheet1!Q501</f>
        <v>0</v>
      </c>
      <c r="D430">
        <f>Sheet1!R501</f>
        <v>0</v>
      </c>
      <c r="E430">
        <f>Sheet1!U501</f>
        <v>0</v>
      </c>
      <c r="F430" t="str">
        <f t="shared" ref="F430" si="2262">F429</f>
        <v>&lt;record id="</v>
      </c>
      <c r="G430" t="str">
        <f t="shared" ref="G430" si="2263">G429</f>
        <v>" posx="</v>
      </c>
      <c r="H430" t="str">
        <f t="shared" ref="H430" si="2264">H429</f>
        <v>" posy="</v>
      </c>
      <c r="I430" t="str">
        <f t="shared" ref="I430" si="2265">I429</f>
        <v>" dir="</v>
      </c>
      <c r="J430" t="str">
        <f t="shared" ref="J430" si="2266">J429</f>
        <v>"/&gt;</v>
      </c>
      <c r="K430" t="str">
        <f t="shared" ref="K430" si="2267">F430&amp;A430&amp;G430&amp;C430&amp;H430&amp;D430&amp;I430&amp;E430&amp;J430</f>
        <v>&lt;record id="170226" posx="0" posy="0" dir="0"/&gt;</v>
      </c>
    </row>
    <row r="431" spans="1:11">
      <c r="A431">
        <f>Sheet1!A502</f>
        <v>170227</v>
      </c>
      <c r="B431" t="str">
        <f>Sheet1!B502</f>
        <v>孤魂野鬼宝宝</v>
      </c>
      <c r="C431">
        <f>Sheet1!Q502</f>
        <v>0</v>
      </c>
      <c r="D431">
        <f>Sheet1!R502</f>
        <v>0</v>
      </c>
      <c r="E431">
        <f>Sheet1!U502</f>
        <v>0</v>
      </c>
      <c r="F431" t="str">
        <f t="shared" ref="F431" si="2268">F430</f>
        <v>&lt;record id="</v>
      </c>
      <c r="G431" t="str">
        <f t="shared" ref="G431" si="2269">G430</f>
        <v>" posx="</v>
      </c>
      <c r="H431" t="str">
        <f t="shared" ref="H431" si="2270">H430</f>
        <v>" posy="</v>
      </c>
      <c r="I431" t="str">
        <f t="shared" ref="I431" si="2271">I430</f>
        <v>" dir="</v>
      </c>
      <c r="J431" t="str">
        <f t="shared" ref="J431" si="2272">J430</f>
        <v>"/&gt;</v>
      </c>
      <c r="K431" t="str">
        <f t="shared" ref="K431" si="2273">F431&amp;A431&amp;G431&amp;C431&amp;H431&amp;D431&amp;I431&amp;E431&amp;J431</f>
        <v>&lt;record id="170227" posx="0" posy="0" dir="0"/&gt;</v>
      </c>
    </row>
    <row r="432" spans="1:11">
      <c r="A432">
        <f>Sheet1!A503</f>
        <v>170228</v>
      </c>
      <c r="B432" t="str">
        <f>Sheet1!B503</f>
        <v>忘川童子宝宝</v>
      </c>
      <c r="C432">
        <f>Sheet1!Q503</f>
        <v>0</v>
      </c>
      <c r="D432">
        <f>Sheet1!R503</f>
        <v>0</v>
      </c>
      <c r="E432">
        <f>Sheet1!U503</f>
        <v>0</v>
      </c>
      <c r="F432" t="str">
        <f t="shared" ref="F432" si="2274">F431</f>
        <v>&lt;record id="</v>
      </c>
      <c r="G432" t="str">
        <f t="shared" ref="G432" si="2275">G431</f>
        <v>" posx="</v>
      </c>
      <c r="H432" t="str">
        <f t="shared" ref="H432" si="2276">H431</f>
        <v>" posy="</v>
      </c>
      <c r="I432" t="str">
        <f t="shared" ref="I432" si="2277">I431</f>
        <v>" dir="</v>
      </c>
      <c r="J432" t="str">
        <f t="shared" ref="J432" si="2278">J431</f>
        <v>"/&gt;</v>
      </c>
      <c r="K432" t="str">
        <f t="shared" ref="K432" si="2279">F432&amp;A432&amp;G432&amp;C432&amp;H432&amp;D432&amp;I432&amp;E432&amp;J432</f>
        <v>&lt;record id="170228" posx="0" posy="0" dir="0"/&gt;</v>
      </c>
    </row>
    <row r="433" spans="1:11">
      <c r="A433">
        <f>Sheet1!A504</f>
        <v>170229</v>
      </c>
      <c r="B433" t="str">
        <f>Sheet1!B504</f>
        <v>蜃蛇</v>
      </c>
      <c r="C433">
        <f>Sheet1!Q504</f>
        <v>0</v>
      </c>
      <c r="D433">
        <f>Sheet1!R504</f>
        <v>0</v>
      </c>
      <c r="E433">
        <f>Sheet1!U504</f>
        <v>0</v>
      </c>
      <c r="F433" t="str">
        <f t="shared" ref="F433" si="2280">F432</f>
        <v>&lt;record id="</v>
      </c>
      <c r="G433" t="str">
        <f t="shared" ref="G433" si="2281">G432</f>
        <v>" posx="</v>
      </c>
      <c r="H433" t="str">
        <f t="shared" ref="H433" si="2282">H432</f>
        <v>" posy="</v>
      </c>
      <c r="I433" t="str">
        <f t="shared" ref="I433" si="2283">I432</f>
        <v>" dir="</v>
      </c>
      <c r="J433" t="str">
        <f t="shared" ref="J433" si="2284">J432</f>
        <v>"/&gt;</v>
      </c>
      <c r="K433" t="str">
        <f t="shared" ref="K433" si="2285">F433&amp;A433&amp;G433&amp;C433&amp;H433&amp;D433&amp;I433&amp;E433&amp;J433</f>
        <v>&lt;record id="170229" posx="0" posy="0" dir="0"/&gt;</v>
      </c>
    </row>
    <row r="434" spans="1:11">
      <c r="A434">
        <f>Sheet1!A505</f>
        <v>170230</v>
      </c>
      <c r="B434" t="str">
        <f>Sheet1!B505</f>
        <v>吸血鬼</v>
      </c>
      <c r="C434">
        <f>Sheet1!Q505</f>
        <v>0</v>
      </c>
      <c r="D434">
        <f>Sheet1!R505</f>
        <v>0</v>
      </c>
      <c r="E434">
        <f>Sheet1!U505</f>
        <v>0</v>
      </c>
      <c r="F434" t="str">
        <f t="shared" ref="F434" si="2286">F433</f>
        <v>&lt;record id="</v>
      </c>
      <c r="G434" t="str">
        <f t="shared" ref="G434" si="2287">G433</f>
        <v>" posx="</v>
      </c>
      <c r="H434" t="str">
        <f t="shared" ref="H434" si="2288">H433</f>
        <v>" posy="</v>
      </c>
      <c r="I434" t="str">
        <f t="shared" ref="I434" si="2289">I433</f>
        <v>" dir="</v>
      </c>
      <c r="J434" t="str">
        <f t="shared" ref="J434" si="2290">J433</f>
        <v>"/&gt;</v>
      </c>
      <c r="K434" t="str">
        <f t="shared" ref="K434" si="2291">F434&amp;A434&amp;G434&amp;C434&amp;H434&amp;D434&amp;I434&amp;E434&amp;J434</f>
        <v>&lt;record id="170230" posx="0" posy="0" dir="0"/&gt;</v>
      </c>
    </row>
    <row r="435" spans="1:11">
      <c r="A435">
        <f>Sheet1!A506</f>
        <v>170231</v>
      </c>
      <c r="B435" t="str">
        <f>Sheet1!B506</f>
        <v>夜叉宝宝</v>
      </c>
      <c r="C435">
        <f>Sheet1!Q506</f>
        <v>0</v>
      </c>
      <c r="D435">
        <f>Sheet1!R506</f>
        <v>0</v>
      </c>
      <c r="E435">
        <f>Sheet1!U506</f>
        <v>0</v>
      </c>
      <c r="F435" t="str">
        <f t="shared" ref="F435" si="2292">F434</f>
        <v>&lt;record id="</v>
      </c>
      <c r="G435" t="str">
        <f t="shared" ref="G435" si="2293">G434</f>
        <v>" posx="</v>
      </c>
      <c r="H435" t="str">
        <f t="shared" ref="H435" si="2294">H434</f>
        <v>" posy="</v>
      </c>
      <c r="I435" t="str">
        <f t="shared" ref="I435" si="2295">I434</f>
        <v>" dir="</v>
      </c>
      <c r="J435" t="str">
        <f t="shared" ref="J435" si="2296">J434</f>
        <v>"/&gt;</v>
      </c>
      <c r="K435" t="str">
        <f t="shared" ref="K435" si="2297">F435&amp;A435&amp;G435&amp;C435&amp;H435&amp;D435&amp;I435&amp;E435&amp;J435</f>
        <v>&lt;record id="170231" posx="0" posy="0" dir="0"/&gt;</v>
      </c>
    </row>
    <row r="436" spans="1:11">
      <c r="A436">
        <f>Sheet1!A507</f>
        <v>170232</v>
      </c>
      <c r="B436" t="str">
        <f>Sheet1!B507</f>
        <v>幽莹娃娃宝宝</v>
      </c>
      <c r="C436">
        <f>Sheet1!Q507</f>
        <v>0</v>
      </c>
      <c r="D436">
        <f>Sheet1!R507</f>
        <v>0</v>
      </c>
      <c r="E436">
        <f>Sheet1!U507</f>
        <v>0</v>
      </c>
      <c r="F436" t="str">
        <f t="shared" ref="F436" si="2298">F435</f>
        <v>&lt;record id="</v>
      </c>
      <c r="G436" t="str">
        <f t="shared" ref="G436" si="2299">G435</f>
        <v>" posx="</v>
      </c>
      <c r="H436" t="str">
        <f t="shared" ref="H436" si="2300">H435</f>
        <v>" posy="</v>
      </c>
      <c r="I436" t="str">
        <f t="shared" ref="I436" si="2301">I435</f>
        <v>" dir="</v>
      </c>
      <c r="J436" t="str">
        <f t="shared" ref="J436" si="2302">J435</f>
        <v>"/&gt;</v>
      </c>
      <c r="K436" t="str">
        <f t="shared" ref="K436" si="2303">F436&amp;A436&amp;G436&amp;C436&amp;H436&amp;D436&amp;I436&amp;E436&amp;J436</f>
        <v>&lt;record id="170232" posx="0" posy="0" dir="0"/&gt;</v>
      </c>
    </row>
    <row r="437" spans="1:11">
      <c r="A437">
        <f>Sheet1!A508</f>
        <v>170233</v>
      </c>
      <c r="B437" t="str">
        <f>Sheet1!B508</f>
        <v>鬼将宝宝</v>
      </c>
      <c r="C437">
        <f>Sheet1!Q508</f>
        <v>0</v>
      </c>
      <c r="D437">
        <f>Sheet1!R508</f>
        <v>0</v>
      </c>
      <c r="E437">
        <f>Sheet1!U508</f>
        <v>0</v>
      </c>
      <c r="F437" t="str">
        <f t="shared" ref="F437" si="2304">F436</f>
        <v>&lt;record id="</v>
      </c>
      <c r="G437" t="str">
        <f t="shared" ref="G437" si="2305">G436</f>
        <v>" posx="</v>
      </c>
      <c r="H437" t="str">
        <f t="shared" ref="H437" si="2306">H436</f>
        <v>" posy="</v>
      </c>
      <c r="I437" t="str">
        <f t="shared" ref="I437" si="2307">I436</f>
        <v>" dir="</v>
      </c>
      <c r="J437" t="str">
        <f t="shared" ref="J437" si="2308">J436</f>
        <v>"/&gt;</v>
      </c>
      <c r="K437" t="str">
        <f t="shared" ref="K437" si="2309">F437&amp;A437&amp;G437&amp;C437&amp;H437&amp;D437&amp;I437&amp;E437&amp;J437</f>
        <v>&lt;record id="170233" posx="0" posy="0" dir="0"/&gt;</v>
      </c>
    </row>
    <row r="438" spans="1:11">
      <c r="A438">
        <f>Sheet1!A509</f>
        <v>170234</v>
      </c>
      <c r="B438" t="str">
        <f>Sheet1!B509</f>
        <v>幽冥书生</v>
      </c>
      <c r="C438">
        <f>Sheet1!Q509</f>
        <v>0</v>
      </c>
      <c r="D438">
        <f>Sheet1!R509</f>
        <v>0</v>
      </c>
      <c r="E438">
        <f>Sheet1!U509</f>
        <v>0</v>
      </c>
      <c r="F438" t="str">
        <f t="shared" ref="F438" si="2310">F437</f>
        <v>&lt;record id="</v>
      </c>
      <c r="G438" t="str">
        <f t="shared" ref="G438" si="2311">G437</f>
        <v>" posx="</v>
      </c>
      <c r="H438" t="str">
        <f t="shared" ref="H438" si="2312">H437</f>
        <v>" posy="</v>
      </c>
      <c r="I438" t="str">
        <f t="shared" ref="I438" si="2313">I437</f>
        <v>" dir="</v>
      </c>
      <c r="J438" t="str">
        <f t="shared" ref="J438" si="2314">J437</f>
        <v>"/&gt;</v>
      </c>
      <c r="K438" t="str">
        <f t="shared" ref="K438" si="2315">F438&amp;A438&amp;G438&amp;C438&amp;H438&amp;D438&amp;I438&amp;E438&amp;J438</f>
        <v>&lt;record id="170234" posx="0" posy="0" dir="0"/&gt;</v>
      </c>
    </row>
    <row r="439" spans="1:11">
      <c r="A439">
        <f>Sheet1!A510</f>
        <v>170235</v>
      </c>
      <c r="B439" t="str">
        <f>Sheet1!B510</f>
        <v>蟠桃童子宝宝</v>
      </c>
      <c r="C439">
        <f>Sheet1!Q510</f>
        <v>0</v>
      </c>
      <c r="D439">
        <f>Sheet1!R510</f>
        <v>0</v>
      </c>
      <c r="E439">
        <f>Sheet1!U510</f>
        <v>0</v>
      </c>
      <c r="F439" t="str">
        <f t="shared" ref="F439" si="2316">F438</f>
        <v>&lt;record id="</v>
      </c>
      <c r="G439" t="str">
        <f t="shared" ref="G439" si="2317">G438</f>
        <v>" posx="</v>
      </c>
      <c r="H439" t="str">
        <f t="shared" ref="H439" si="2318">H438</f>
        <v>" posy="</v>
      </c>
      <c r="I439" t="str">
        <f t="shared" ref="I439" si="2319">I438</f>
        <v>" dir="</v>
      </c>
      <c r="J439" t="str">
        <f t="shared" ref="J439" si="2320">J438</f>
        <v>"/&gt;</v>
      </c>
      <c r="K439" t="str">
        <f t="shared" ref="K439" si="2321">F439&amp;A439&amp;G439&amp;C439&amp;H439&amp;D439&amp;I439&amp;E439&amp;J439</f>
        <v>&lt;record id="170235" posx="0" posy="0" dir="0"/&gt;</v>
      </c>
    </row>
    <row r="440" spans="1:11">
      <c r="A440">
        <f>Sheet1!A511</f>
        <v>170236</v>
      </c>
      <c r="B440" t="str">
        <f>Sheet1!B511</f>
        <v>天兵宝宝</v>
      </c>
      <c r="C440">
        <f>Sheet1!Q511</f>
        <v>0</v>
      </c>
      <c r="D440">
        <f>Sheet1!R511</f>
        <v>0</v>
      </c>
      <c r="E440">
        <f>Sheet1!U511</f>
        <v>0</v>
      </c>
      <c r="F440" t="str">
        <f t="shared" ref="F440" si="2322">F439</f>
        <v>&lt;record id="</v>
      </c>
      <c r="G440" t="str">
        <f t="shared" ref="G440" si="2323">G439</f>
        <v>" posx="</v>
      </c>
      <c r="H440" t="str">
        <f t="shared" ref="H440" si="2324">H439</f>
        <v>" posy="</v>
      </c>
      <c r="I440" t="str">
        <f t="shared" ref="I440" si="2325">I439</f>
        <v>" dir="</v>
      </c>
      <c r="J440" t="str">
        <f t="shared" ref="J440" si="2326">J439</f>
        <v>"/&gt;</v>
      </c>
      <c r="K440" t="str">
        <f t="shared" ref="K440" si="2327">F440&amp;A440&amp;G440&amp;C440&amp;H440&amp;D440&amp;I440&amp;E440&amp;J440</f>
        <v>&lt;record id="170236" posx="0" posy="0" dir="0"/&gt;</v>
      </c>
    </row>
    <row r="441" spans="1:11">
      <c r="A441">
        <f>Sheet1!A512</f>
        <v>170237</v>
      </c>
      <c r="B441" t="str">
        <f>Sheet1!B512</f>
        <v>巨灵神将宝宝</v>
      </c>
      <c r="C441">
        <f>Sheet1!Q512</f>
        <v>0</v>
      </c>
      <c r="D441">
        <f>Sheet1!R512</f>
        <v>0</v>
      </c>
      <c r="E441">
        <f>Sheet1!U512</f>
        <v>0</v>
      </c>
      <c r="F441" t="str">
        <f t="shared" ref="F441" si="2328">F440</f>
        <v>&lt;record id="</v>
      </c>
      <c r="G441" t="str">
        <f t="shared" ref="G441" si="2329">G440</f>
        <v>" posx="</v>
      </c>
      <c r="H441" t="str">
        <f t="shared" ref="H441" si="2330">H440</f>
        <v>" posy="</v>
      </c>
      <c r="I441" t="str">
        <f t="shared" ref="I441" si="2331">I440</f>
        <v>" dir="</v>
      </c>
      <c r="J441" t="str">
        <f t="shared" ref="J441" si="2332">J440</f>
        <v>"/&gt;</v>
      </c>
      <c r="K441" t="str">
        <f t="shared" ref="K441" si="2333">F441&amp;A441&amp;G441&amp;C441&amp;H441&amp;D441&amp;I441&amp;E441&amp;J441</f>
        <v>&lt;record id="170237" posx="0" posy="0" dir="0"/&gt;</v>
      </c>
    </row>
    <row r="442" spans="1:11">
      <c r="A442">
        <f>Sheet1!A513</f>
        <v>170238</v>
      </c>
      <c r="B442" t="str">
        <f>Sheet1!B513</f>
        <v>御风童子灵兽</v>
      </c>
      <c r="C442">
        <f>Sheet1!Q513</f>
        <v>0</v>
      </c>
      <c r="D442">
        <f>Sheet1!R513</f>
        <v>0</v>
      </c>
      <c r="E442">
        <f>Sheet1!U513</f>
        <v>0</v>
      </c>
      <c r="F442" t="str">
        <f t="shared" ref="F442" si="2334">F441</f>
        <v>&lt;record id="</v>
      </c>
      <c r="G442" t="str">
        <f t="shared" ref="G442" si="2335">G441</f>
        <v>" posx="</v>
      </c>
      <c r="H442" t="str">
        <f t="shared" ref="H442" si="2336">H441</f>
        <v>" posy="</v>
      </c>
      <c r="I442" t="str">
        <f t="shared" ref="I442" si="2337">I441</f>
        <v>" dir="</v>
      </c>
      <c r="J442" t="str">
        <f t="shared" ref="J442" si="2338">J441</f>
        <v>"/&gt;</v>
      </c>
      <c r="K442" t="str">
        <f t="shared" ref="K442" si="2339">F442&amp;A442&amp;G442&amp;C442&amp;H442&amp;D442&amp;I442&amp;E442&amp;J442</f>
        <v>&lt;record id="170238" posx="0" posy="0" dir="0"/&gt;</v>
      </c>
    </row>
    <row r="443" spans="1:11">
      <c r="A443">
        <f>Sheet1!A514</f>
        <v>170239</v>
      </c>
      <c r="B443" t="str">
        <f>Sheet1!B514</f>
        <v>珍露童子宝宝</v>
      </c>
      <c r="C443">
        <f>Sheet1!Q514</f>
        <v>0</v>
      </c>
      <c r="D443">
        <f>Sheet1!R514</f>
        <v>0</v>
      </c>
      <c r="E443">
        <f>Sheet1!U514</f>
        <v>0</v>
      </c>
      <c r="F443" t="str">
        <f t="shared" ref="F443" si="2340">F442</f>
        <v>&lt;record id="</v>
      </c>
      <c r="G443" t="str">
        <f t="shared" ref="G443" si="2341">G442</f>
        <v>" posx="</v>
      </c>
      <c r="H443" t="str">
        <f t="shared" ref="H443" si="2342">H442</f>
        <v>" posy="</v>
      </c>
      <c r="I443" t="str">
        <f t="shared" ref="I443" si="2343">I442</f>
        <v>" dir="</v>
      </c>
      <c r="J443" t="str">
        <f t="shared" ref="J443" si="2344">J442</f>
        <v>"/&gt;</v>
      </c>
      <c r="K443" t="str">
        <f t="shared" ref="K443" si="2345">F443&amp;A443&amp;G443&amp;C443&amp;H443&amp;D443&amp;I443&amp;E443&amp;J443</f>
        <v>&lt;record id="170239" posx="0" posy="0" dir="0"/&gt;</v>
      </c>
    </row>
    <row r="444" spans="1:11">
      <c r="A444">
        <f>Sheet1!A515</f>
        <v>170240</v>
      </c>
      <c r="B444" t="str">
        <f>Sheet1!B515</f>
        <v>猴小仙宝宝</v>
      </c>
      <c r="C444">
        <f>Sheet1!Q515</f>
        <v>0</v>
      </c>
      <c r="D444">
        <f>Sheet1!R515</f>
        <v>0</v>
      </c>
      <c r="E444">
        <f>Sheet1!U515</f>
        <v>0</v>
      </c>
      <c r="F444" t="str">
        <f t="shared" ref="F444" si="2346">F443</f>
        <v>&lt;record id="</v>
      </c>
      <c r="G444" t="str">
        <f t="shared" ref="G444" si="2347">G443</f>
        <v>" posx="</v>
      </c>
      <c r="H444" t="str">
        <f t="shared" ref="H444" si="2348">H443</f>
        <v>" posy="</v>
      </c>
      <c r="I444" t="str">
        <f t="shared" ref="I444" si="2349">I443</f>
        <v>" dir="</v>
      </c>
      <c r="J444" t="str">
        <f t="shared" ref="J444:J449" si="2350">J443</f>
        <v>"/&gt;</v>
      </c>
      <c r="K444" t="str">
        <f t="shared" ref="K444" si="2351">F444&amp;A444&amp;G444&amp;C444&amp;H444&amp;D444&amp;I444&amp;E444&amp;J444</f>
        <v>&lt;record id="170240" posx="0" posy="0" dir="0"/&gt;</v>
      </c>
    </row>
    <row r="445" spans="1:11">
      <c r="A445">
        <f>Sheet1!A516</f>
        <v>170241</v>
      </c>
      <c r="B445" t="str">
        <f>Sheet1!B516</f>
        <v>芙蓉仙子宝宝</v>
      </c>
      <c r="C445">
        <f>Sheet1!Q516</f>
        <v>0</v>
      </c>
      <c r="D445">
        <f>Sheet1!R516</f>
        <v>0</v>
      </c>
      <c r="E445">
        <f>Sheet1!U516</f>
        <v>0</v>
      </c>
      <c r="F445" t="str">
        <f t="shared" ref="F445" si="2352">F444</f>
        <v>&lt;record id="</v>
      </c>
      <c r="G445" t="str">
        <f t="shared" ref="G445:G450" si="2353">G444</f>
        <v>" posx="</v>
      </c>
      <c r="H445" t="str">
        <f t="shared" ref="H445" si="2354">H444</f>
        <v>" posy="</v>
      </c>
      <c r="I445" t="str">
        <f t="shared" ref="I445" si="2355">I444</f>
        <v>" dir="</v>
      </c>
      <c r="J445" t="str">
        <f t="shared" si="2350"/>
        <v>"/&gt;</v>
      </c>
      <c r="K445" t="str">
        <f t="shared" ref="K445:K450" si="2356">F445&amp;A445&amp;G445&amp;C445&amp;H445&amp;D445&amp;I445&amp;E445&amp;J445</f>
        <v>&lt;record id="170241" posx="0" posy="0" dir="0"/&gt;</v>
      </c>
    </row>
    <row r="446" spans="1:11">
      <c r="A446">
        <f>Sheet1!A517</f>
        <v>170242</v>
      </c>
      <c r="B446" t="str">
        <f>Sheet1!B517</f>
        <v>巡游天神</v>
      </c>
      <c r="C446">
        <f>Sheet1!Q517</f>
        <v>0</v>
      </c>
      <c r="D446">
        <f>Sheet1!R517</f>
        <v>0</v>
      </c>
      <c r="E446">
        <f>Sheet1!U517</f>
        <v>0</v>
      </c>
      <c r="F446" t="str">
        <f t="shared" ref="F446" si="2357">F445</f>
        <v>&lt;record id="</v>
      </c>
      <c r="G446" t="str">
        <f t="shared" si="2353"/>
        <v>" posx="</v>
      </c>
      <c r="H446" t="str">
        <f t="shared" ref="H446" si="2358">H445</f>
        <v>" posy="</v>
      </c>
      <c r="I446" t="str">
        <f t="shared" ref="I446:I449" si="2359">I445</f>
        <v>" dir="</v>
      </c>
      <c r="J446" t="str">
        <f t="shared" si="2350"/>
        <v>"/&gt;</v>
      </c>
      <c r="K446" t="str">
        <f t="shared" si="2356"/>
        <v>&lt;record id="170242" posx="0" posy="0" dir="0"/&gt;</v>
      </c>
    </row>
    <row r="447" spans="1:11">
      <c r="A447">
        <f>Sheet1!A518</f>
        <v>170243</v>
      </c>
      <c r="B447" t="str">
        <f>Sheet1!B518</f>
        <v>蛟龙宝宝</v>
      </c>
      <c r="C447">
        <f>Sheet1!Q518</f>
        <v>0</v>
      </c>
      <c r="D447">
        <f>Sheet1!R518</f>
        <v>0</v>
      </c>
      <c r="E447">
        <f>Sheet1!U518</f>
        <v>0</v>
      </c>
      <c r="F447" t="str">
        <f t="shared" ref="F447:F450" si="2360">F446</f>
        <v>&lt;record id="</v>
      </c>
      <c r="G447" t="str">
        <f t="shared" si="2353"/>
        <v>" posx="</v>
      </c>
      <c r="H447" t="str">
        <f t="shared" ref="H447:H449" si="2361">H446</f>
        <v>" posy="</v>
      </c>
      <c r="I447" t="str">
        <f t="shared" si="2359"/>
        <v>" dir="</v>
      </c>
      <c r="J447" t="str">
        <f t="shared" si="2350"/>
        <v>"/&gt;</v>
      </c>
      <c r="K447" t="str">
        <f t="shared" si="2356"/>
        <v>&lt;record id="170243" posx="0" posy="0" dir="0"/&gt;</v>
      </c>
    </row>
    <row r="448" spans="1:11">
      <c r="A448">
        <f>Sheet1!A519</f>
        <v>170244</v>
      </c>
      <c r="B448" t="str">
        <f>Sheet1!B519</f>
        <v>凤凰仙子宝宝</v>
      </c>
      <c r="C448">
        <f>Sheet1!Q519</f>
        <v>0</v>
      </c>
      <c r="D448">
        <f>Sheet1!R519</f>
        <v>0</v>
      </c>
      <c r="E448">
        <f>Sheet1!U519</f>
        <v>0</v>
      </c>
      <c r="F448" t="str">
        <f t="shared" si="2360"/>
        <v>&lt;record id="</v>
      </c>
      <c r="G448" t="str">
        <f t="shared" si="2353"/>
        <v>" posx="</v>
      </c>
      <c r="H448" t="str">
        <f t="shared" si="2361"/>
        <v>" posy="</v>
      </c>
      <c r="I448" t="str">
        <f t="shared" si="2359"/>
        <v>" dir="</v>
      </c>
      <c r="J448" t="str">
        <f t="shared" si="2350"/>
        <v>"/&gt;</v>
      </c>
      <c r="K448" t="str">
        <f t="shared" si="2356"/>
        <v>&lt;record id="170244" posx="0" posy="0" dir="0"/&gt;</v>
      </c>
    </row>
    <row r="449" spans="1:11">
      <c r="A449">
        <f>Sheet1!A520</f>
        <v>170245</v>
      </c>
      <c r="B449" t="str">
        <f>Sheet1!B520</f>
        <v>鬼剑宝宝</v>
      </c>
      <c r="C449">
        <f>Sheet1!Q520</f>
        <v>0</v>
      </c>
      <c r="D449">
        <f>Sheet1!R520</f>
        <v>0</v>
      </c>
      <c r="E449">
        <f>Sheet1!U520</f>
        <v>0</v>
      </c>
      <c r="F449" t="str">
        <f t="shared" si="2360"/>
        <v>&lt;record id="</v>
      </c>
      <c r="G449" t="str">
        <f t="shared" si="2353"/>
        <v>" posx="</v>
      </c>
      <c r="H449" t="str">
        <f t="shared" si="2361"/>
        <v>" posy="</v>
      </c>
      <c r="I449" t="str">
        <f t="shared" si="2359"/>
        <v>" dir="</v>
      </c>
      <c r="J449" t="str">
        <f t="shared" si="2350"/>
        <v>"/&gt;</v>
      </c>
      <c r="K449" t="str">
        <f t="shared" si="2356"/>
        <v>&lt;record id="170245" posx="0" posy="0" dir="0"/&gt;</v>
      </c>
    </row>
    <row r="450" spans="1:11">
      <c r="A450">
        <f>Sheet1!A521</f>
        <v>170246</v>
      </c>
      <c r="B450" t="str">
        <f>Sheet1!B521</f>
        <v>羽云仙子</v>
      </c>
      <c r="C450">
        <f>Sheet1!Q521</f>
        <v>0</v>
      </c>
      <c r="D450">
        <f>Sheet1!R521</f>
        <v>0</v>
      </c>
      <c r="E450">
        <f>Sheet1!U521</f>
        <v>0</v>
      </c>
      <c r="F450" t="str">
        <f t="shared" si="2360"/>
        <v>&lt;record id="</v>
      </c>
      <c r="G450" t="str">
        <f t="shared" si="2353"/>
        <v>" posx="</v>
      </c>
      <c r="H450" t="str">
        <f t="shared" ref="H450" si="2362">H449</f>
        <v>" posy="</v>
      </c>
      <c r="I450" t="str">
        <f t="shared" ref="I450" si="2363">I449</f>
        <v>" dir="</v>
      </c>
      <c r="J450" t="str">
        <f t="shared" ref="J450" si="2364">J449</f>
        <v>"/&gt;</v>
      </c>
      <c r="K450" t="str">
        <f t="shared" si="2356"/>
        <v>&lt;record id="170246" posx="0" posy="0" dir="0"/&gt;</v>
      </c>
    </row>
    <row r="451" spans="1:11">
      <c r="A451">
        <f>Sheet1!A522</f>
        <v>170247</v>
      </c>
      <c r="B451" t="str">
        <f>Sheet1!B522</f>
        <v>布雨神君宝宝</v>
      </c>
      <c r="C451">
        <f>Sheet1!Q522</f>
        <v>0</v>
      </c>
      <c r="D451">
        <f>Sheet1!R522</f>
        <v>0</v>
      </c>
      <c r="E451">
        <f>Sheet1!U522</f>
        <v>0</v>
      </c>
      <c r="F451" t="str">
        <f t="shared" ref="F451" si="2365">F450</f>
        <v>&lt;record id="</v>
      </c>
      <c r="G451" t="str">
        <f t="shared" ref="G451" si="2366">G450</f>
        <v>" posx="</v>
      </c>
      <c r="H451" t="str">
        <f t="shared" ref="H451" si="2367">H450</f>
        <v>" posy="</v>
      </c>
      <c r="I451" t="str">
        <f t="shared" ref="I451" si="2368">I450</f>
        <v>" dir="</v>
      </c>
      <c r="J451" t="str">
        <f t="shared" ref="J451" si="2369">J450</f>
        <v>"/&gt;</v>
      </c>
      <c r="K451" t="str">
        <f t="shared" ref="K451" si="2370">F451&amp;A451&amp;G451&amp;C451&amp;H451&amp;D451&amp;I451&amp;E451&amp;J451</f>
        <v>&lt;record id="170247" posx="0" posy="0" dir="0"/&gt;</v>
      </c>
    </row>
    <row r="452" spans="1:11">
      <c r="A452">
        <f>Sheet1!A523</f>
        <v>170248</v>
      </c>
      <c r="B452" t="str">
        <f>Sheet1!B523</f>
        <v>武罗仙子宝宝</v>
      </c>
      <c r="C452">
        <f>Sheet1!Q523</f>
        <v>0</v>
      </c>
      <c r="D452">
        <f>Sheet1!R523</f>
        <v>0</v>
      </c>
      <c r="E452">
        <f>Sheet1!U523</f>
        <v>0</v>
      </c>
      <c r="F452" t="str">
        <f t="shared" ref="F452" si="2371">F451</f>
        <v>&lt;record id="</v>
      </c>
      <c r="G452" t="str">
        <f t="shared" ref="G452" si="2372">G451</f>
        <v>" posx="</v>
      </c>
      <c r="H452" t="str">
        <f t="shared" ref="H452" si="2373">H451</f>
        <v>" posy="</v>
      </c>
      <c r="I452" t="str">
        <f t="shared" ref="I452" si="2374">I451</f>
        <v>" dir="</v>
      </c>
      <c r="J452" t="str">
        <f t="shared" ref="J452" si="2375">J451</f>
        <v>"/&gt;</v>
      </c>
      <c r="K452" t="str">
        <f t="shared" ref="K452" si="2376">F452&amp;A452&amp;G452&amp;C452&amp;H452&amp;D452&amp;I452&amp;E452&amp;J452</f>
        <v>&lt;record id="170248" posx="0" posy="0" dir="0"/&gt;</v>
      </c>
    </row>
    <row r="453" spans="1:11">
      <c r="A453">
        <f>Sheet1!A524</f>
        <v>170249</v>
      </c>
      <c r="B453" t="str">
        <f>Sheet1!B524</f>
        <v>噬天虎宝宝</v>
      </c>
      <c r="C453">
        <f>Sheet1!Q524</f>
        <v>0</v>
      </c>
      <c r="D453">
        <f>Sheet1!R524</f>
        <v>0</v>
      </c>
      <c r="E453">
        <f>Sheet1!U524</f>
        <v>0</v>
      </c>
      <c r="F453" t="str">
        <f t="shared" ref="F453" si="2377">F452</f>
        <v>&lt;record id="</v>
      </c>
      <c r="G453" t="str">
        <f t="shared" ref="G453" si="2378">G452</f>
        <v>" posx="</v>
      </c>
      <c r="H453" t="str">
        <f t="shared" ref="H453" si="2379">H452</f>
        <v>" posy="</v>
      </c>
      <c r="I453" t="str">
        <f t="shared" ref="I453" si="2380">I452</f>
        <v>" dir="</v>
      </c>
      <c r="J453" t="str">
        <f t="shared" ref="J453" si="2381">J452</f>
        <v>"/&gt;</v>
      </c>
      <c r="K453" t="str">
        <f t="shared" ref="K453" si="2382">F453&amp;A453&amp;G453&amp;C453&amp;H453&amp;D453&amp;I453&amp;E453&amp;J453</f>
        <v>&lt;record id="170249" posx="0" posy="0" dir="0"/&gt;</v>
      </c>
    </row>
    <row r="454" spans="1:11">
      <c r="A454">
        <f>Sheet1!A525</f>
        <v>170250</v>
      </c>
      <c r="B454" t="str">
        <f>Sheet1!B525</f>
        <v>雾中仙</v>
      </c>
      <c r="C454">
        <f>Sheet1!Q525</f>
        <v>0</v>
      </c>
      <c r="D454">
        <f>Sheet1!R525</f>
        <v>0</v>
      </c>
      <c r="E454">
        <f>Sheet1!U525</f>
        <v>0</v>
      </c>
      <c r="F454" t="str">
        <f t="shared" ref="F454" si="2383">F453</f>
        <v>&lt;record id="</v>
      </c>
      <c r="G454" t="str">
        <f t="shared" ref="G454" si="2384">G453</f>
        <v>" posx="</v>
      </c>
      <c r="H454" t="str">
        <f t="shared" ref="H454" si="2385">H453</f>
        <v>" posy="</v>
      </c>
      <c r="I454" t="str">
        <f t="shared" ref="I454" si="2386">I453</f>
        <v>" dir="</v>
      </c>
      <c r="J454" t="str">
        <f t="shared" ref="J454" si="2387">J453</f>
        <v>"/&gt;</v>
      </c>
      <c r="K454" t="str">
        <f t="shared" ref="K454" si="2388">F454&amp;A454&amp;G454&amp;C454&amp;H454&amp;D454&amp;I454&amp;E454&amp;J454</f>
        <v>&lt;record id="170250" posx="0" posy="0" dir="0"/&gt;</v>
      </c>
    </row>
    <row r="455" spans="1:11">
      <c r="A455">
        <f>Sheet1!A526</f>
        <v>170251</v>
      </c>
      <c r="B455" t="str">
        <f>Sheet1!B526</f>
        <v>变异野猪宝宝</v>
      </c>
      <c r="C455">
        <f>Sheet1!Q526</f>
        <v>0</v>
      </c>
      <c r="D455">
        <f>Sheet1!R526</f>
        <v>0</v>
      </c>
      <c r="E455">
        <f>Sheet1!U526</f>
        <v>0</v>
      </c>
      <c r="F455" t="str">
        <f t="shared" ref="F455" si="2389">F454</f>
        <v>&lt;record id="</v>
      </c>
      <c r="G455" t="str">
        <f t="shared" ref="G455" si="2390">G454</f>
        <v>" posx="</v>
      </c>
      <c r="H455" t="str">
        <f t="shared" ref="H455" si="2391">H454</f>
        <v>" posy="</v>
      </c>
      <c r="I455" t="str">
        <f t="shared" ref="I455" si="2392">I454</f>
        <v>" dir="</v>
      </c>
      <c r="J455" t="str">
        <f t="shared" ref="J455" si="2393">J454</f>
        <v>"/&gt;</v>
      </c>
      <c r="K455" t="str">
        <f t="shared" ref="K455" si="2394">F455&amp;A455&amp;G455&amp;C455&amp;H455&amp;D455&amp;I455&amp;E455&amp;J455</f>
        <v>&lt;record id="170251" posx="0" posy="0" dir="0"/&gt;</v>
      </c>
    </row>
    <row r="456" spans="1:11">
      <c r="A456">
        <f>Sheet1!A527</f>
        <v>170252</v>
      </c>
      <c r="B456" t="str">
        <f>Sheet1!B527</f>
        <v>变异老虎宝宝</v>
      </c>
      <c r="C456">
        <f>Sheet1!Q527</f>
        <v>0</v>
      </c>
      <c r="D456">
        <f>Sheet1!R527</f>
        <v>0</v>
      </c>
      <c r="E456">
        <f>Sheet1!U527</f>
        <v>0</v>
      </c>
      <c r="F456" t="str">
        <f t="shared" ref="F456" si="2395">F455</f>
        <v>&lt;record id="</v>
      </c>
      <c r="G456" t="str">
        <f t="shared" ref="G456" si="2396">G455</f>
        <v>" posx="</v>
      </c>
      <c r="H456" t="str">
        <f t="shared" ref="H456" si="2397">H455</f>
        <v>" posy="</v>
      </c>
      <c r="I456" t="str">
        <f t="shared" ref="I456" si="2398">I455</f>
        <v>" dir="</v>
      </c>
      <c r="J456" t="str">
        <f t="shared" ref="J456" si="2399">J455</f>
        <v>"/&gt;</v>
      </c>
      <c r="K456" t="str">
        <f t="shared" ref="K456" si="2400">F456&amp;A456&amp;G456&amp;C456&amp;H456&amp;D456&amp;I456&amp;E456&amp;J456</f>
        <v>&lt;record id="170252" posx="0" posy="0" dir="0"/&gt;</v>
      </c>
    </row>
    <row r="457" spans="1:11">
      <c r="A457">
        <f>Sheet1!A528</f>
        <v>170253</v>
      </c>
      <c r="B457" t="str">
        <f>Sheet1!B528</f>
        <v>变异野猪宝宝</v>
      </c>
      <c r="C457">
        <f>Sheet1!Q528</f>
        <v>0</v>
      </c>
      <c r="D457">
        <f>Sheet1!R528</f>
        <v>0</v>
      </c>
      <c r="E457">
        <f>Sheet1!U528</f>
        <v>0</v>
      </c>
      <c r="F457" t="str">
        <f t="shared" ref="F457" si="2401">F456</f>
        <v>&lt;record id="</v>
      </c>
      <c r="G457" t="str">
        <f t="shared" ref="G457" si="2402">G456</f>
        <v>" posx="</v>
      </c>
      <c r="H457" t="str">
        <f t="shared" ref="H457" si="2403">H456</f>
        <v>" posy="</v>
      </c>
      <c r="I457" t="str">
        <f t="shared" ref="I457" si="2404">I456</f>
        <v>" dir="</v>
      </c>
      <c r="J457" t="str">
        <f t="shared" ref="J457" si="2405">J456</f>
        <v>"/&gt;</v>
      </c>
      <c r="K457" t="str">
        <f t="shared" ref="K457" si="2406">F457&amp;A457&amp;G457&amp;C457&amp;H457&amp;D457&amp;I457&amp;E457&amp;J457</f>
        <v>&lt;record id="170253" posx="0" posy="0" dir="0"/&gt;</v>
      </c>
    </row>
    <row r="458" spans="1:11">
      <c r="A458">
        <f>Sheet1!A529</f>
        <v>170254</v>
      </c>
      <c r="B458" t="str">
        <f>Sheet1!B529</f>
        <v>变异囧龟宝宝</v>
      </c>
      <c r="C458">
        <f>Sheet1!Q529</f>
        <v>0</v>
      </c>
      <c r="D458">
        <f>Sheet1!R529</f>
        <v>0</v>
      </c>
      <c r="E458">
        <f>Sheet1!U529</f>
        <v>0</v>
      </c>
      <c r="F458" t="str">
        <f t="shared" ref="F458" si="2407">F457</f>
        <v>&lt;record id="</v>
      </c>
      <c r="G458" t="str">
        <f t="shared" ref="G458" si="2408">G457</f>
        <v>" posx="</v>
      </c>
      <c r="H458" t="str">
        <f t="shared" ref="H458" si="2409">H457</f>
        <v>" posy="</v>
      </c>
      <c r="I458" t="str">
        <f t="shared" ref="I458" si="2410">I457</f>
        <v>" dir="</v>
      </c>
      <c r="J458" t="str">
        <f t="shared" ref="J458" si="2411">J457</f>
        <v>"/&gt;</v>
      </c>
      <c r="K458" t="str">
        <f t="shared" ref="K458" si="2412">F458&amp;A458&amp;G458&amp;C458&amp;H458&amp;D458&amp;I458&amp;E458&amp;J458</f>
        <v>&lt;record id="170254" posx="0" posy="0" dir="0"/&gt;</v>
      </c>
    </row>
    <row r="459" spans="1:11">
      <c r="A459">
        <f>Sheet1!A530</f>
        <v>170255</v>
      </c>
      <c r="B459" t="str">
        <f>Sheet1!B530</f>
        <v>变异牛头宝宝</v>
      </c>
      <c r="C459">
        <f>Sheet1!Q530</f>
        <v>0</v>
      </c>
      <c r="D459">
        <f>Sheet1!R530</f>
        <v>0</v>
      </c>
      <c r="E459">
        <f>Sheet1!U530</f>
        <v>0</v>
      </c>
      <c r="F459" t="str">
        <f t="shared" ref="F459" si="2413">F458</f>
        <v>&lt;record id="</v>
      </c>
      <c r="G459" t="str">
        <f t="shared" ref="G459" si="2414">G458</f>
        <v>" posx="</v>
      </c>
      <c r="H459" t="str">
        <f t="shared" ref="H459" si="2415">H458</f>
        <v>" posy="</v>
      </c>
      <c r="I459" t="str">
        <f t="shared" ref="I459" si="2416">I458</f>
        <v>" dir="</v>
      </c>
      <c r="J459" t="str">
        <f t="shared" ref="J459" si="2417">J458</f>
        <v>"/&gt;</v>
      </c>
      <c r="K459" t="str">
        <f t="shared" ref="K459" si="2418">F459&amp;A459&amp;G459&amp;C459&amp;H459&amp;D459&amp;I459&amp;E459&amp;J459</f>
        <v>&lt;record id="170255" posx="0" posy="0" dir="0"/&gt;</v>
      </c>
    </row>
    <row r="460" spans="1:11">
      <c r="A460">
        <f>Sheet1!A531</f>
        <v>170256</v>
      </c>
      <c r="B460" t="str">
        <f>Sheet1!B531</f>
        <v>变异马面宝宝</v>
      </c>
      <c r="C460">
        <f>Sheet1!Q531</f>
        <v>0</v>
      </c>
      <c r="D460">
        <f>Sheet1!R531</f>
        <v>0</v>
      </c>
      <c r="E460">
        <f>Sheet1!U531</f>
        <v>0</v>
      </c>
      <c r="F460" t="str">
        <f t="shared" ref="F460" si="2419">F459</f>
        <v>&lt;record id="</v>
      </c>
      <c r="G460" t="str">
        <f t="shared" ref="G460" si="2420">G459</f>
        <v>" posx="</v>
      </c>
      <c r="H460" t="str">
        <f t="shared" ref="H460" si="2421">H459</f>
        <v>" posy="</v>
      </c>
      <c r="I460" t="str">
        <f t="shared" ref="I460" si="2422">I459</f>
        <v>" dir="</v>
      </c>
      <c r="J460" t="str">
        <f t="shared" ref="J460" si="2423">J459</f>
        <v>"/&gt;</v>
      </c>
      <c r="K460" t="str">
        <f t="shared" ref="K460" si="2424">F460&amp;A460&amp;G460&amp;C460&amp;H460&amp;D460&amp;I460&amp;E460&amp;J460</f>
        <v>&lt;record id="170256" posx="0" posy="0" dir="0"/&gt;</v>
      </c>
    </row>
    <row r="461" spans="1:11">
      <c r="A461">
        <f>Sheet1!A532</f>
        <v>170257</v>
      </c>
      <c r="B461" t="str">
        <f>Sheet1!B532</f>
        <v>变异龟丞相宝宝</v>
      </c>
      <c r="C461">
        <f>Sheet1!Q532</f>
        <v>0</v>
      </c>
      <c r="D461">
        <f>Sheet1!R532</f>
        <v>0</v>
      </c>
      <c r="E461">
        <f>Sheet1!U532</f>
        <v>0</v>
      </c>
      <c r="F461" t="str">
        <f t="shared" ref="F461" si="2425">F460</f>
        <v>&lt;record id="</v>
      </c>
      <c r="G461" t="str">
        <f t="shared" ref="G461" si="2426">G460</f>
        <v>" posx="</v>
      </c>
      <c r="H461" t="str">
        <f t="shared" ref="H461" si="2427">H460</f>
        <v>" posy="</v>
      </c>
      <c r="I461" t="str">
        <f t="shared" ref="I461" si="2428">I460</f>
        <v>" dir="</v>
      </c>
      <c r="J461" t="str">
        <f t="shared" ref="J461" si="2429">J460</f>
        <v>"/&gt;</v>
      </c>
      <c r="K461" t="str">
        <f t="shared" ref="K461" si="2430">F461&amp;A461&amp;G461&amp;C461&amp;H461&amp;D461&amp;I461&amp;E461&amp;J461</f>
        <v>&lt;record id="170257" posx="0" posy="0" dir="0"/&gt;</v>
      </c>
    </row>
    <row r="462" spans="1:11">
      <c r="A462">
        <f>Sheet1!A533</f>
        <v>170258</v>
      </c>
      <c r="B462" t="str">
        <f>Sheet1!B533</f>
        <v>变异净瓶女娲</v>
      </c>
      <c r="C462">
        <f>Sheet1!Q533</f>
        <v>0</v>
      </c>
      <c r="D462">
        <f>Sheet1!R533</f>
        <v>0</v>
      </c>
      <c r="E462">
        <f>Sheet1!U533</f>
        <v>0</v>
      </c>
      <c r="F462" t="str">
        <f t="shared" ref="F462" si="2431">F461</f>
        <v>&lt;record id="</v>
      </c>
      <c r="G462" t="str">
        <f t="shared" ref="G462" si="2432">G461</f>
        <v>" posx="</v>
      </c>
      <c r="H462" t="str">
        <f t="shared" ref="H462" si="2433">H461</f>
        <v>" posy="</v>
      </c>
      <c r="I462" t="str">
        <f t="shared" ref="I462" si="2434">I461</f>
        <v>" dir="</v>
      </c>
      <c r="J462" t="str">
        <f t="shared" ref="J462" si="2435">J461</f>
        <v>"/&gt;</v>
      </c>
      <c r="K462" t="str">
        <f t="shared" ref="K462" si="2436">F462&amp;A462&amp;G462&amp;C462&amp;H462&amp;D462&amp;I462&amp;E462&amp;J462</f>
        <v>&lt;record id="170258" posx="0" posy="0" dir="0"/&gt;</v>
      </c>
    </row>
    <row r="463" spans="1:11">
      <c r="A463">
        <f>Sheet1!A534</f>
        <v>170259</v>
      </c>
      <c r="B463" t="str">
        <f>Sheet1!B534</f>
        <v>变异虾兵宝宝</v>
      </c>
      <c r="C463">
        <f>Sheet1!Q534</f>
        <v>0</v>
      </c>
      <c r="D463">
        <f>Sheet1!R534</f>
        <v>0</v>
      </c>
      <c r="E463">
        <f>Sheet1!U534</f>
        <v>0</v>
      </c>
      <c r="F463" t="str">
        <f t="shared" ref="F463" si="2437">F462</f>
        <v>&lt;record id="</v>
      </c>
      <c r="G463" t="str">
        <f t="shared" ref="G463" si="2438">G462</f>
        <v>" posx="</v>
      </c>
      <c r="H463" t="str">
        <f t="shared" ref="H463" si="2439">H462</f>
        <v>" posy="</v>
      </c>
      <c r="I463" t="str">
        <f t="shared" ref="I463" si="2440">I462</f>
        <v>" dir="</v>
      </c>
      <c r="J463" t="str">
        <f t="shared" ref="J463" si="2441">J462</f>
        <v>"/&gt;</v>
      </c>
      <c r="K463" t="str">
        <f t="shared" ref="K463" si="2442">F463&amp;A463&amp;G463&amp;C463&amp;H463&amp;D463&amp;I463&amp;E463&amp;J463</f>
        <v>&lt;record id="170259" posx="0" posy="0" dir="0"/&gt;</v>
      </c>
    </row>
    <row r="464" spans="1:11">
      <c r="A464">
        <f>Sheet1!A535</f>
        <v>170260</v>
      </c>
      <c r="B464" t="str">
        <f>Sheet1!B535</f>
        <v>变异蟹将宝宝</v>
      </c>
      <c r="C464">
        <f>Sheet1!Q535</f>
        <v>0</v>
      </c>
      <c r="D464">
        <f>Sheet1!R535</f>
        <v>0</v>
      </c>
      <c r="E464">
        <f>Sheet1!U535</f>
        <v>0</v>
      </c>
      <c r="F464" t="str">
        <f t="shared" ref="F464" si="2443">F463</f>
        <v>&lt;record id="</v>
      </c>
      <c r="G464" t="str">
        <f t="shared" ref="G464" si="2444">G463</f>
        <v>" posx="</v>
      </c>
      <c r="H464" t="str">
        <f t="shared" ref="H464" si="2445">H463</f>
        <v>" posy="</v>
      </c>
      <c r="I464" t="str">
        <f t="shared" ref="I464" si="2446">I463</f>
        <v>" dir="</v>
      </c>
      <c r="J464" t="str">
        <f t="shared" ref="J464" si="2447">J463</f>
        <v>"/&gt;</v>
      </c>
      <c r="K464" t="str">
        <f t="shared" ref="K464" si="2448">F464&amp;A464&amp;G464&amp;C464&amp;H464&amp;D464&amp;I464&amp;E464&amp;J464</f>
        <v>&lt;record id="170260" posx="0" posy="0" dir="0"/&gt;</v>
      </c>
    </row>
    <row r="465" spans="1:11">
      <c r="A465">
        <f>Sheet1!A536</f>
        <v>170261</v>
      </c>
      <c r="B465" t="str">
        <f>Sheet1!B536</f>
        <v>变异古代瑞兽宝宝</v>
      </c>
      <c r="C465">
        <f>Sheet1!Q536</f>
        <v>0</v>
      </c>
      <c r="D465">
        <f>Sheet1!R536</f>
        <v>0</v>
      </c>
      <c r="E465">
        <f>Sheet1!U536</f>
        <v>0</v>
      </c>
      <c r="F465" t="str">
        <f t="shared" ref="F465" si="2449">F464</f>
        <v>&lt;record id="</v>
      </c>
      <c r="G465" t="str">
        <f t="shared" ref="G465" si="2450">G464</f>
        <v>" posx="</v>
      </c>
      <c r="H465" t="str">
        <f t="shared" ref="H465" si="2451">H464</f>
        <v>" posy="</v>
      </c>
      <c r="I465" t="str">
        <f t="shared" ref="I465" si="2452">I464</f>
        <v>" dir="</v>
      </c>
      <c r="J465" t="str">
        <f t="shared" ref="J465" si="2453">J464</f>
        <v>"/&gt;</v>
      </c>
      <c r="K465" t="str">
        <f t="shared" ref="K465" si="2454">F465&amp;A465&amp;G465&amp;C465&amp;H465&amp;D465&amp;I465&amp;E465&amp;J465</f>
        <v>&lt;record id="170261" posx="0" posy="0" dir="0"/&gt;</v>
      </c>
    </row>
    <row r="466" spans="1:11">
      <c r="A466">
        <f>Sheet1!A537</f>
        <v>170262</v>
      </c>
      <c r="B466" t="str">
        <f>Sheet1!B537</f>
        <v>变异灵符女娲</v>
      </c>
      <c r="C466">
        <f>Sheet1!Q537</f>
        <v>0</v>
      </c>
      <c r="D466">
        <f>Sheet1!R537</f>
        <v>0</v>
      </c>
      <c r="E466">
        <f>Sheet1!U537</f>
        <v>0</v>
      </c>
      <c r="F466" t="str">
        <f t="shared" ref="F466" si="2455">F465</f>
        <v>&lt;record id="</v>
      </c>
      <c r="G466" t="str">
        <f t="shared" ref="G466" si="2456">G465</f>
        <v>" posx="</v>
      </c>
      <c r="H466" t="str">
        <f t="shared" ref="H466" si="2457">H465</f>
        <v>" posy="</v>
      </c>
      <c r="I466" t="str">
        <f t="shared" ref="I466" si="2458">I465</f>
        <v>" dir="</v>
      </c>
      <c r="J466" t="str">
        <f t="shared" ref="J466" si="2459">J465</f>
        <v>"/&gt;</v>
      </c>
      <c r="K466" t="str">
        <f t="shared" ref="K466" si="2460">F466&amp;A466&amp;G466&amp;C466&amp;H466&amp;D466&amp;I466&amp;E466&amp;J466</f>
        <v>&lt;record id="170262" posx="0" posy="0" dir="0"/&gt;</v>
      </c>
    </row>
    <row r="467" spans="1:11">
      <c r="A467">
        <f>Sheet1!A538</f>
        <v>170263</v>
      </c>
      <c r="B467" t="str">
        <f>Sheet1!B538</f>
        <v>变异鲛将军宝宝</v>
      </c>
      <c r="C467">
        <f>Sheet1!Q538</f>
        <v>0</v>
      </c>
      <c r="D467">
        <f>Sheet1!R538</f>
        <v>0</v>
      </c>
      <c r="E467">
        <f>Sheet1!U538</f>
        <v>0</v>
      </c>
      <c r="F467" t="str">
        <f t="shared" ref="F467" si="2461">F466</f>
        <v>&lt;record id="</v>
      </c>
      <c r="G467" t="str">
        <f t="shared" ref="G467" si="2462">G466</f>
        <v>" posx="</v>
      </c>
      <c r="H467" t="str">
        <f t="shared" ref="H467" si="2463">H466</f>
        <v>" posy="</v>
      </c>
      <c r="I467" t="str">
        <f t="shared" ref="I467" si="2464">I466</f>
        <v>" dir="</v>
      </c>
      <c r="J467" t="str">
        <f t="shared" ref="J467" si="2465">J466</f>
        <v>"/&gt;</v>
      </c>
      <c r="K467" t="str">
        <f t="shared" ref="K467" si="2466">F467&amp;A467&amp;G467&amp;C467&amp;H467&amp;D467&amp;I467&amp;E467&amp;J467</f>
        <v>&lt;record id="170263" posx="0" posy="0" dir="0"/&gt;</v>
      </c>
    </row>
    <row r="468" spans="1:11">
      <c r="A468">
        <f>Sheet1!A539</f>
        <v>170264</v>
      </c>
      <c r="B468" t="str">
        <f>Sheet1!B539</f>
        <v>变异蚌仙子宝宝</v>
      </c>
      <c r="C468">
        <f>Sheet1!Q539</f>
        <v>0</v>
      </c>
      <c r="D468">
        <f>Sheet1!R539</f>
        <v>0</v>
      </c>
      <c r="E468">
        <f>Sheet1!U539</f>
        <v>0</v>
      </c>
      <c r="F468" t="str">
        <f t="shared" ref="F468" si="2467">F467</f>
        <v>&lt;record id="</v>
      </c>
      <c r="G468" t="str">
        <f t="shared" ref="G468" si="2468">G467</f>
        <v>" posx="</v>
      </c>
      <c r="H468" t="str">
        <f t="shared" ref="H468" si="2469">H467</f>
        <v>" posy="</v>
      </c>
      <c r="I468" t="str">
        <f t="shared" ref="I468" si="2470">I467</f>
        <v>" dir="</v>
      </c>
      <c r="J468" t="str">
        <f t="shared" ref="J468" si="2471">J467</f>
        <v>"/&gt;</v>
      </c>
      <c r="K468" t="str">
        <f t="shared" ref="K468" si="2472">F468&amp;A468&amp;G468&amp;C468&amp;H468&amp;D468&amp;I468&amp;E468&amp;J468</f>
        <v>&lt;record id="170264" posx="0" posy="0" dir="0"/&gt;</v>
      </c>
    </row>
    <row r="469" spans="1:11">
      <c r="A469">
        <f>Sheet1!A540</f>
        <v>170265</v>
      </c>
      <c r="B469" t="str">
        <f>Sheet1!B540</f>
        <v>变异龙女宝宝</v>
      </c>
      <c r="C469">
        <f>Sheet1!Q540</f>
        <v>0</v>
      </c>
      <c r="D469">
        <f>Sheet1!R540</f>
        <v>0</v>
      </c>
      <c r="E469">
        <f>Sheet1!U540</f>
        <v>0</v>
      </c>
      <c r="F469" t="str">
        <f t="shared" ref="F469" si="2473">F468</f>
        <v>&lt;record id="</v>
      </c>
      <c r="G469" t="str">
        <f t="shared" ref="G469" si="2474">G468</f>
        <v>" posx="</v>
      </c>
      <c r="H469" t="str">
        <f t="shared" ref="H469" si="2475">H468</f>
        <v>" posy="</v>
      </c>
      <c r="I469" t="str">
        <f t="shared" ref="I469" si="2476">I468</f>
        <v>" dir="</v>
      </c>
      <c r="J469" t="str">
        <f t="shared" ref="J469" si="2477">J468</f>
        <v>"/&gt;</v>
      </c>
      <c r="K469" t="str">
        <f t="shared" ref="K469" si="2478">F469&amp;A469&amp;G469&amp;C469&amp;H469&amp;D469&amp;I469&amp;E469&amp;J469</f>
        <v>&lt;record id="170265" posx="0" posy="0" dir="0"/&gt;</v>
      </c>
    </row>
    <row r="470" spans="1:11">
      <c r="A470">
        <f>Sheet1!A541</f>
        <v>170266</v>
      </c>
      <c r="B470" t="str">
        <f>Sheet1!B541</f>
        <v>变异律法女娲</v>
      </c>
      <c r="C470">
        <f>Sheet1!Q541</f>
        <v>0</v>
      </c>
      <c r="D470">
        <f>Sheet1!R541</f>
        <v>0</v>
      </c>
      <c r="E470">
        <f>Sheet1!U541</f>
        <v>0</v>
      </c>
      <c r="F470" t="str">
        <f t="shared" ref="F470" si="2479">F469</f>
        <v>&lt;record id="</v>
      </c>
      <c r="G470" t="str">
        <f t="shared" ref="G470" si="2480">G469</f>
        <v>" posx="</v>
      </c>
      <c r="H470" t="str">
        <f t="shared" ref="H470" si="2481">H469</f>
        <v>" posy="</v>
      </c>
      <c r="I470" t="str">
        <f t="shared" ref="I470" si="2482">I469</f>
        <v>" dir="</v>
      </c>
      <c r="J470" t="str">
        <f t="shared" ref="J470" si="2483">J469</f>
        <v>"/&gt;</v>
      </c>
      <c r="K470" t="str">
        <f t="shared" ref="K470" si="2484">F470&amp;A470&amp;G470&amp;C470&amp;H470&amp;D470&amp;I470&amp;E470&amp;J470</f>
        <v>&lt;record id="170266" posx="0" posy="0" dir="0"/&gt;</v>
      </c>
    </row>
    <row r="471" spans="1:11">
      <c r="A471">
        <f>Sheet1!A542</f>
        <v>170267</v>
      </c>
      <c r="B471" t="str">
        <f>Sheet1!B542</f>
        <v>变异千年僵尸宝宝</v>
      </c>
      <c r="C471">
        <f>Sheet1!Q542</f>
        <v>0</v>
      </c>
      <c r="D471">
        <f>Sheet1!R542</f>
        <v>0</v>
      </c>
      <c r="E471">
        <f>Sheet1!U542</f>
        <v>0</v>
      </c>
      <c r="F471" t="str">
        <f t="shared" ref="F471" si="2485">F470</f>
        <v>&lt;record id="</v>
      </c>
      <c r="G471" t="str">
        <f t="shared" ref="G471" si="2486">G470</f>
        <v>" posx="</v>
      </c>
      <c r="H471" t="str">
        <f t="shared" ref="H471" si="2487">H470</f>
        <v>" posy="</v>
      </c>
      <c r="I471" t="str">
        <f t="shared" ref="I471" si="2488">I470</f>
        <v>" dir="</v>
      </c>
      <c r="J471" t="str">
        <f t="shared" ref="J471" si="2489">J470</f>
        <v>"/&gt;</v>
      </c>
      <c r="K471" t="str">
        <f t="shared" ref="K471" si="2490">F471&amp;A471&amp;G471&amp;C471&amp;H471&amp;D471&amp;I471&amp;E471&amp;J471</f>
        <v>&lt;record id="170267" posx="0" posy="0" dir="0"/&gt;</v>
      </c>
    </row>
    <row r="472" spans="1:11">
      <c r="A472">
        <f>Sheet1!A543</f>
        <v>170268</v>
      </c>
      <c r="B472" t="str">
        <f>Sheet1!B543</f>
        <v>变异孤魂野鬼宝宝</v>
      </c>
      <c r="C472">
        <f>Sheet1!Q543</f>
        <v>0</v>
      </c>
      <c r="D472">
        <f>Sheet1!R543</f>
        <v>0</v>
      </c>
      <c r="E472">
        <f>Sheet1!U543</f>
        <v>0</v>
      </c>
      <c r="F472" t="str">
        <f t="shared" ref="F472" si="2491">F471</f>
        <v>&lt;record id="</v>
      </c>
      <c r="G472" t="str">
        <f t="shared" ref="G472" si="2492">G471</f>
        <v>" posx="</v>
      </c>
      <c r="H472" t="str">
        <f t="shared" ref="H472" si="2493">H471</f>
        <v>" posy="</v>
      </c>
      <c r="I472" t="str">
        <f t="shared" ref="I472" si="2494">I471</f>
        <v>" dir="</v>
      </c>
      <c r="J472" t="str">
        <f t="shared" ref="J472" si="2495">J471</f>
        <v>"/&gt;</v>
      </c>
      <c r="K472" t="str">
        <f t="shared" ref="K472" si="2496">F472&amp;A472&amp;G472&amp;C472&amp;H472&amp;D472&amp;I472&amp;E472&amp;J472</f>
        <v>&lt;record id="170268" posx="0" posy="0" dir="0"/&gt;</v>
      </c>
    </row>
    <row r="473" spans="1:11">
      <c r="A473">
        <f>Sheet1!A544</f>
        <v>170269</v>
      </c>
      <c r="B473" t="str">
        <f>Sheet1!B544</f>
        <v>变异忘川童子宝宝</v>
      </c>
      <c r="C473">
        <f>Sheet1!Q544</f>
        <v>0</v>
      </c>
      <c r="D473">
        <f>Sheet1!R544</f>
        <v>0</v>
      </c>
      <c r="E473">
        <f>Sheet1!U544</f>
        <v>0</v>
      </c>
      <c r="F473" t="str">
        <f t="shared" ref="F473" si="2497">F472</f>
        <v>&lt;record id="</v>
      </c>
      <c r="G473" t="str">
        <f t="shared" ref="G473" si="2498">G472</f>
        <v>" posx="</v>
      </c>
      <c r="H473" t="str">
        <f t="shared" ref="H473" si="2499">H472</f>
        <v>" posy="</v>
      </c>
      <c r="I473" t="str">
        <f t="shared" ref="I473" si="2500">I472</f>
        <v>" dir="</v>
      </c>
      <c r="J473" t="str">
        <f t="shared" ref="J473" si="2501">J472</f>
        <v>"/&gt;</v>
      </c>
      <c r="K473" t="str">
        <f t="shared" ref="K473" si="2502">F473&amp;A473&amp;G473&amp;C473&amp;H473&amp;D473&amp;I473&amp;E473&amp;J473</f>
        <v>&lt;record id="170269" posx="0" posy="0" dir="0"/&gt;</v>
      </c>
    </row>
    <row r="474" spans="1:11">
      <c r="A474">
        <f>Sheet1!A545</f>
        <v>170270</v>
      </c>
      <c r="B474" t="str">
        <f>Sheet1!B545</f>
        <v>变异蜃蛇</v>
      </c>
      <c r="C474">
        <f>Sheet1!Q545</f>
        <v>0</v>
      </c>
      <c r="D474">
        <f>Sheet1!R545</f>
        <v>0</v>
      </c>
      <c r="E474">
        <f>Sheet1!U545</f>
        <v>0</v>
      </c>
      <c r="F474" t="str">
        <f t="shared" ref="F474" si="2503">F473</f>
        <v>&lt;record id="</v>
      </c>
      <c r="G474" t="str">
        <f t="shared" ref="G474" si="2504">G473</f>
        <v>" posx="</v>
      </c>
      <c r="H474" t="str">
        <f t="shared" ref="H474" si="2505">H473</f>
        <v>" posy="</v>
      </c>
      <c r="I474" t="str">
        <f t="shared" ref="I474" si="2506">I473</f>
        <v>" dir="</v>
      </c>
      <c r="J474" t="str">
        <f t="shared" ref="J474" si="2507">J473</f>
        <v>"/&gt;</v>
      </c>
      <c r="K474" t="str">
        <f t="shared" ref="K474" si="2508">F474&amp;A474&amp;G474&amp;C474&amp;H474&amp;D474&amp;I474&amp;E474&amp;J474</f>
        <v>&lt;record id="170270" posx="0" posy="0" dir="0"/&gt;</v>
      </c>
    </row>
    <row r="475" spans="1:11">
      <c r="A475">
        <f>Sheet1!A546</f>
        <v>170271</v>
      </c>
      <c r="B475" t="str">
        <f>Sheet1!B546</f>
        <v>变异吸血鬼</v>
      </c>
      <c r="C475">
        <f>Sheet1!Q546</f>
        <v>0</v>
      </c>
      <c r="D475">
        <f>Sheet1!R546</f>
        <v>0</v>
      </c>
      <c r="E475">
        <f>Sheet1!U546</f>
        <v>0</v>
      </c>
      <c r="F475" t="str">
        <f t="shared" ref="F475" si="2509">F474</f>
        <v>&lt;record id="</v>
      </c>
      <c r="G475" t="str">
        <f t="shared" ref="G475" si="2510">G474</f>
        <v>" posx="</v>
      </c>
      <c r="H475" t="str">
        <f t="shared" ref="H475" si="2511">H474</f>
        <v>" posy="</v>
      </c>
      <c r="I475" t="str">
        <f t="shared" ref="I475" si="2512">I474</f>
        <v>" dir="</v>
      </c>
      <c r="J475" t="str">
        <f t="shared" ref="J475" si="2513">J474</f>
        <v>"/&gt;</v>
      </c>
      <c r="K475" t="str">
        <f t="shared" ref="K475" si="2514">F475&amp;A475&amp;G475&amp;C475&amp;H475&amp;D475&amp;I475&amp;E475&amp;J475</f>
        <v>&lt;record id="170271" posx="0" posy="0" dir="0"/&gt;</v>
      </c>
    </row>
    <row r="476" spans="1:11">
      <c r="A476">
        <f>Sheet1!A547</f>
        <v>170272</v>
      </c>
      <c r="B476" t="str">
        <f>Sheet1!B547</f>
        <v>变异夜叉宝宝</v>
      </c>
      <c r="C476">
        <f>Sheet1!Q547</f>
        <v>0</v>
      </c>
      <c r="D476">
        <f>Sheet1!R547</f>
        <v>0</v>
      </c>
      <c r="E476">
        <f>Sheet1!U547</f>
        <v>0</v>
      </c>
      <c r="F476" t="str">
        <f t="shared" ref="F476" si="2515">F475</f>
        <v>&lt;record id="</v>
      </c>
      <c r="G476" t="str">
        <f t="shared" ref="G476" si="2516">G475</f>
        <v>" posx="</v>
      </c>
      <c r="H476" t="str">
        <f t="shared" ref="H476" si="2517">H475</f>
        <v>" posy="</v>
      </c>
      <c r="I476" t="str">
        <f t="shared" ref="I476" si="2518">I475</f>
        <v>" dir="</v>
      </c>
      <c r="J476" t="str">
        <f t="shared" ref="J476" si="2519">J475</f>
        <v>"/&gt;</v>
      </c>
      <c r="K476" t="str">
        <f t="shared" ref="K476" si="2520">F476&amp;A476&amp;G476&amp;C476&amp;H476&amp;D476&amp;I476&amp;E476&amp;J476</f>
        <v>&lt;record id="170272" posx="0" posy="0" dir="0"/&gt;</v>
      </c>
    </row>
    <row r="477" spans="1:11">
      <c r="A477">
        <f>Sheet1!A548</f>
        <v>170273</v>
      </c>
      <c r="B477" t="str">
        <f>Sheet1!B548</f>
        <v>变异幽莹娃娃宝宝</v>
      </c>
      <c r="C477">
        <f>Sheet1!Q548</f>
        <v>0</v>
      </c>
      <c r="D477">
        <f>Sheet1!R548</f>
        <v>0</v>
      </c>
      <c r="E477">
        <f>Sheet1!U548</f>
        <v>0</v>
      </c>
      <c r="F477" t="str">
        <f t="shared" ref="F477" si="2521">F476</f>
        <v>&lt;record id="</v>
      </c>
      <c r="G477" t="str">
        <f t="shared" ref="G477" si="2522">G476</f>
        <v>" posx="</v>
      </c>
      <c r="H477" t="str">
        <f t="shared" ref="H477" si="2523">H476</f>
        <v>" posy="</v>
      </c>
      <c r="I477" t="str">
        <f t="shared" ref="I477" si="2524">I476</f>
        <v>" dir="</v>
      </c>
      <c r="J477" t="str">
        <f t="shared" ref="J477:J482" si="2525">J476</f>
        <v>"/&gt;</v>
      </c>
      <c r="K477" t="str">
        <f t="shared" ref="K477" si="2526">F477&amp;A477&amp;G477&amp;C477&amp;H477&amp;D477&amp;I477&amp;E477&amp;J477</f>
        <v>&lt;record id="170273" posx="0" posy="0" dir="0"/&gt;</v>
      </c>
    </row>
    <row r="478" spans="1:11">
      <c r="A478">
        <f>Sheet1!A549</f>
        <v>170274</v>
      </c>
      <c r="B478" t="str">
        <f>Sheet1!B549</f>
        <v>变异鬼将宝宝</v>
      </c>
      <c r="C478">
        <f>Sheet1!Q549</f>
        <v>0</v>
      </c>
      <c r="D478">
        <f>Sheet1!R549</f>
        <v>0</v>
      </c>
      <c r="E478">
        <f>Sheet1!U549</f>
        <v>0</v>
      </c>
      <c r="F478" t="str">
        <f t="shared" ref="F478:F483" si="2527">F477</f>
        <v>&lt;record id="</v>
      </c>
      <c r="G478" t="str">
        <f t="shared" ref="G478" si="2528">G477</f>
        <v>" posx="</v>
      </c>
      <c r="H478" t="str">
        <f t="shared" ref="H478" si="2529">H477</f>
        <v>" posy="</v>
      </c>
      <c r="I478" t="str">
        <f t="shared" ref="I478:I482" si="2530">I477</f>
        <v>" dir="</v>
      </c>
      <c r="J478" t="str">
        <f t="shared" si="2525"/>
        <v>"/&gt;</v>
      </c>
      <c r="K478" t="str">
        <f t="shared" ref="K478:K483" si="2531">F478&amp;A478&amp;G478&amp;C478&amp;H478&amp;D478&amp;I478&amp;E478&amp;J478</f>
        <v>&lt;record id="170274" posx="0" posy="0" dir="0"/&gt;</v>
      </c>
    </row>
    <row r="479" spans="1:11">
      <c r="A479">
        <f>Sheet1!A550</f>
        <v>170275</v>
      </c>
      <c r="B479" t="str">
        <f>Sheet1!B550</f>
        <v>变异幽冥书生</v>
      </c>
      <c r="C479">
        <f>Sheet1!Q550</f>
        <v>0</v>
      </c>
      <c r="D479">
        <f>Sheet1!R550</f>
        <v>0</v>
      </c>
      <c r="E479">
        <f>Sheet1!U550</f>
        <v>0</v>
      </c>
      <c r="F479" t="str">
        <f t="shared" si="2527"/>
        <v>&lt;record id="</v>
      </c>
      <c r="G479" t="str">
        <f t="shared" ref="G479" si="2532">G478</f>
        <v>" posx="</v>
      </c>
      <c r="H479" t="str">
        <f t="shared" ref="H479:H482" si="2533">H478</f>
        <v>" posy="</v>
      </c>
      <c r="I479" t="str">
        <f t="shared" si="2530"/>
        <v>" dir="</v>
      </c>
      <c r="J479" t="str">
        <f t="shared" si="2525"/>
        <v>"/&gt;</v>
      </c>
      <c r="K479" t="str">
        <f t="shared" si="2531"/>
        <v>&lt;record id="170275" posx="0" posy="0" dir="0"/&gt;</v>
      </c>
    </row>
    <row r="480" spans="1:11">
      <c r="A480">
        <f>Sheet1!A551</f>
        <v>170276</v>
      </c>
      <c r="B480" t="str">
        <f>Sheet1!B551</f>
        <v>变异蟠桃童子宝宝</v>
      </c>
      <c r="C480">
        <f>Sheet1!Q551</f>
        <v>0</v>
      </c>
      <c r="D480">
        <f>Sheet1!R551</f>
        <v>0</v>
      </c>
      <c r="E480">
        <f>Sheet1!U551</f>
        <v>0</v>
      </c>
      <c r="F480" t="str">
        <f t="shared" si="2527"/>
        <v>&lt;record id="</v>
      </c>
      <c r="G480" t="str">
        <f t="shared" ref="G480:G482" si="2534">G479</f>
        <v>" posx="</v>
      </c>
      <c r="H480" t="str">
        <f t="shared" si="2533"/>
        <v>" posy="</v>
      </c>
      <c r="I480" t="str">
        <f t="shared" si="2530"/>
        <v>" dir="</v>
      </c>
      <c r="J480" t="str">
        <f t="shared" si="2525"/>
        <v>"/&gt;</v>
      </c>
      <c r="K480" t="str">
        <f t="shared" si="2531"/>
        <v>&lt;record id="170276" posx="0" posy="0" dir="0"/&gt;</v>
      </c>
    </row>
    <row r="481" spans="1:11">
      <c r="A481">
        <f>Sheet1!A552</f>
        <v>170277</v>
      </c>
      <c r="B481" t="str">
        <f>Sheet1!B552</f>
        <v>变异天兵宝宝</v>
      </c>
      <c r="C481">
        <f>Sheet1!Q552</f>
        <v>0</v>
      </c>
      <c r="D481">
        <f>Sheet1!R552</f>
        <v>0</v>
      </c>
      <c r="E481">
        <f>Sheet1!U552</f>
        <v>0</v>
      </c>
      <c r="F481" t="str">
        <f t="shared" si="2527"/>
        <v>&lt;record id="</v>
      </c>
      <c r="G481" t="str">
        <f t="shared" si="2534"/>
        <v>" posx="</v>
      </c>
      <c r="H481" t="str">
        <f t="shared" si="2533"/>
        <v>" posy="</v>
      </c>
      <c r="I481" t="str">
        <f t="shared" si="2530"/>
        <v>" dir="</v>
      </c>
      <c r="J481" t="str">
        <f t="shared" si="2525"/>
        <v>"/&gt;</v>
      </c>
      <c r="K481" t="str">
        <f t="shared" si="2531"/>
        <v>&lt;record id="170277" posx="0" posy="0" dir="0"/&gt;</v>
      </c>
    </row>
    <row r="482" spans="1:11">
      <c r="A482">
        <f>Sheet1!A553</f>
        <v>170278</v>
      </c>
      <c r="B482" t="str">
        <f>Sheet1!B553</f>
        <v>变异巨灵神将宝宝</v>
      </c>
      <c r="C482">
        <f>Sheet1!Q553</f>
        <v>0</v>
      </c>
      <c r="D482">
        <f>Sheet1!R553</f>
        <v>0</v>
      </c>
      <c r="E482">
        <f>Sheet1!U553</f>
        <v>0</v>
      </c>
      <c r="F482" t="str">
        <f t="shared" si="2527"/>
        <v>&lt;record id="</v>
      </c>
      <c r="G482" t="str">
        <f t="shared" si="2534"/>
        <v>" posx="</v>
      </c>
      <c r="H482" t="str">
        <f t="shared" si="2533"/>
        <v>" posy="</v>
      </c>
      <c r="I482" t="str">
        <f t="shared" si="2530"/>
        <v>" dir="</v>
      </c>
      <c r="J482" t="str">
        <f t="shared" si="2525"/>
        <v>"/&gt;</v>
      </c>
      <c r="K482" t="str">
        <f t="shared" si="2531"/>
        <v>&lt;record id="170278" posx="0" posy="0" dir="0"/&gt;</v>
      </c>
    </row>
    <row r="483" spans="1:11">
      <c r="A483">
        <f>Sheet1!A554</f>
        <v>170279</v>
      </c>
      <c r="B483" t="str">
        <f>Sheet1!B554</f>
        <v>变异御风童子灵兽</v>
      </c>
      <c r="C483">
        <f>Sheet1!Q554</f>
        <v>0</v>
      </c>
      <c r="D483">
        <f>Sheet1!R554</f>
        <v>0</v>
      </c>
      <c r="E483">
        <f>Sheet1!U554</f>
        <v>0</v>
      </c>
      <c r="F483" t="str">
        <f t="shared" si="2527"/>
        <v>&lt;record id="</v>
      </c>
      <c r="G483" t="str">
        <f t="shared" ref="G483" si="2535">G482</f>
        <v>" posx="</v>
      </c>
      <c r="H483" t="str">
        <f t="shared" ref="H483" si="2536">H482</f>
        <v>" posy="</v>
      </c>
      <c r="I483" t="str">
        <f t="shared" ref="I483" si="2537">I482</f>
        <v>" dir="</v>
      </c>
      <c r="J483" t="str">
        <f t="shared" ref="J483" si="2538">J482</f>
        <v>"/&gt;</v>
      </c>
      <c r="K483" t="str">
        <f t="shared" si="2531"/>
        <v>&lt;record id="170279" posx="0" posy="0" dir="0"/&gt;</v>
      </c>
    </row>
    <row r="484" spans="1:11">
      <c r="A484">
        <f>Sheet1!A555</f>
        <v>170280</v>
      </c>
      <c r="B484" t="str">
        <f>Sheet1!B555</f>
        <v>变异珍露童子宝宝</v>
      </c>
      <c r="C484">
        <f>Sheet1!Q555</f>
        <v>0</v>
      </c>
      <c r="D484">
        <f>Sheet1!R555</f>
        <v>0</v>
      </c>
      <c r="E484">
        <f>Sheet1!U555</f>
        <v>0</v>
      </c>
      <c r="F484" t="str">
        <f t="shared" ref="F484" si="2539">F483</f>
        <v>&lt;record id="</v>
      </c>
      <c r="G484" t="str">
        <f t="shared" ref="G484" si="2540">G483</f>
        <v>" posx="</v>
      </c>
      <c r="H484" t="str">
        <f t="shared" ref="H484" si="2541">H483</f>
        <v>" posy="</v>
      </c>
      <c r="I484" t="str">
        <f t="shared" ref="I484" si="2542">I483</f>
        <v>" dir="</v>
      </c>
      <c r="J484" t="str">
        <f t="shared" ref="J484" si="2543">J483</f>
        <v>"/&gt;</v>
      </c>
      <c r="K484" t="str">
        <f t="shared" ref="K484" si="2544">F484&amp;A484&amp;G484&amp;C484&amp;H484&amp;D484&amp;I484&amp;E484&amp;J484</f>
        <v>&lt;record id="170280" posx="0" posy="0" dir="0"/&gt;</v>
      </c>
    </row>
    <row r="485" spans="1:11">
      <c r="A485">
        <f>Sheet1!A556</f>
        <v>170281</v>
      </c>
      <c r="B485" t="str">
        <f>Sheet1!B556</f>
        <v>变异猴小仙宝宝</v>
      </c>
      <c r="C485">
        <f>Sheet1!Q556</f>
        <v>0</v>
      </c>
      <c r="D485">
        <f>Sheet1!R556</f>
        <v>0</v>
      </c>
      <c r="E485">
        <f>Sheet1!U556</f>
        <v>0</v>
      </c>
      <c r="F485" t="str">
        <f t="shared" ref="F485" si="2545">F484</f>
        <v>&lt;record id="</v>
      </c>
      <c r="G485" t="str">
        <f t="shared" ref="G485" si="2546">G484</f>
        <v>" posx="</v>
      </c>
      <c r="H485" t="str">
        <f t="shared" ref="H485" si="2547">H484</f>
        <v>" posy="</v>
      </c>
      <c r="I485" t="str">
        <f t="shared" ref="I485" si="2548">I484</f>
        <v>" dir="</v>
      </c>
      <c r="J485" t="str">
        <f t="shared" ref="J485" si="2549">J484</f>
        <v>"/&gt;</v>
      </c>
      <c r="K485" t="str">
        <f t="shared" ref="K485" si="2550">F485&amp;A485&amp;G485&amp;C485&amp;H485&amp;D485&amp;I485&amp;E485&amp;J485</f>
        <v>&lt;record id="170281" posx="0" posy="0" dir="0"/&gt;</v>
      </c>
    </row>
    <row r="486" spans="1:11">
      <c r="A486">
        <f>Sheet1!A557</f>
        <v>170282</v>
      </c>
      <c r="B486" t="str">
        <f>Sheet1!B557</f>
        <v>变异芙蓉仙子宝宝</v>
      </c>
      <c r="C486">
        <f>Sheet1!Q557</f>
        <v>0</v>
      </c>
      <c r="D486">
        <f>Sheet1!R557</f>
        <v>0</v>
      </c>
      <c r="E486">
        <f>Sheet1!U557</f>
        <v>0</v>
      </c>
      <c r="F486" t="str">
        <f t="shared" ref="F486" si="2551">F485</f>
        <v>&lt;record id="</v>
      </c>
      <c r="G486" t="str">
        <f t="shared" ref="G486" si="2552">G485</f>
        <v>" posx="</v>
      </c>
      <c r="H486" t="str">
        <f t="shared" ref="H486" si="2553">H485</f>
        <v>" posy="</v>
      </c>
      <c r="I486" t="str">
        <f t="shared" ref="I486" si="2554">I485</f>
        <v>" dir="</v>
      </c>
      <c r="J486" t="str">
        <f t="shared" ref="J486" si="2555">J485</f>
        <v>"/&gt;</v>
      </c>
      <c r="K486" t="str">
        <f t="shared" ref="K486" si="2556">F486&amp;A486&amp;G486&amp;C486&amp;H486&amp;D486&amp;I486&amp;E486&amp;J486</f>
        <v>&lt;record id="170282" posx="0" posy="0" dir="0"/&gt;</v>
      </c>
    </row>
    <row r="487" spans="1:11">
      <c r="A487">
        <f>Sheet1!A558</f>
        <v>170283</v>
      </c>
      <c r="B487" t="str">
        <f>Sheet1!B558</f>
        <v>变异巡游天神</v>
      </c>
      <c r="C487">
        <f>Sheet1!Q558</f>
        <v>0</v>
      </c>
      <c r="D487">
        <f>Sheet1!R558</f>
        <v>0</v>
      </c>
      <c r="E487">
        <f>Sheet1!U558</f>
        <v>0</v>
      </c>
      <c r="F487" t="str">
        <f t="shared" ref="F487" si="2557">F486</f>
        <v>&lt;record id="</v>
      </c>
      <c r="G487" t="str">
        <f t="shared" ref="G487" si="2558">G486</f>
        <v>" posx="</v>
      </c>
      <c r="H487" t="str">
        <f t="shared" ref="H487" si="2559">H486</f>
        <v>" posy="</v>
      </c>
      <c r="I487" t="str">
        <f t="shared" ref="I487" si="2560">I486</f>
        <v>" dir="</v>
      </c>
      <c r="J487" t="str">
        <f t="shared" ref="J487" si="2561">J486</f>
        <v>"/&gt;</v>
      </c>
      <c r="K487" t="str">
        <f t="shared" ref="K487" si="2562">F487&amp;A487&amp;G487&amp;C487&amp;H487&amp;D487&amp;I487&amp;E487&amp;J487</f>
        <v>&lt;record id="170283" posx="0" posy="0" dir="0"/&gt;</v>
      </c>
    </row>
    <row r="488" spans="1:11">
      <c r="A488">
        <f>Sheet1!A559</f>
        <v>170284</v>
      </c>
      <c r="B488" t="str">
        <f>Sheet1!B559</f>
        <v>变异蛟龙宝宝</v>
      </c>
      <c r="C488">
        <f>Sheet1!Q559</f>
        <v>0</v>
      </c>
      <c r="D488">
        <f>Sheet1!R559</f>
        <v>0</v>
      </c>
      <c r="E488">
        <f>Sheet1!U559</f>
        <v>0</v>
      </c>
      <c r="F488" t="str">
        <f t="shared" ref="F488" si="2563">F487</f>
        <v>&lt;record id="</v>
      </c>
      <c r="G488" t="str">
        <f t="shared" ref="G488" si="2564">G487</f>
        <v>" posx="</v>
      </c>
      <c r="H488" t="str">
        <f t="shared" ref="H488" si="2565">H487</f>
        <v>" posy="</v>
      </c>
      <c r="I488" t="str">
        <f t="shared" ref="I488" si="2566">I487</f>
        <v>" dir="</v>
      </c>
      <c r="J488" t="str">
        <f t="shared" ref="J488" si="2567">J487</f>
        <v>"/&gt;</v>
      </c>
      <c r="K488" t="str">
        <f t="shared" ref="K488" si="2568">F488&amp;A488&amp;G488&amp;C488&amp;H488&amp;D488&amp;I488&amp;E488&amp;J488</f>
        <v>&lt;record id="170284" posx="0" posy="0" dir="0"/&gt;</v>
      </c>
    </row>
    <row r="489" spans="1:11">
      <c r="A489">
        <f>Sheet1!A560</f>
        <v>170285</v>
      </c>
      <c r="B489" t="str">
        <f>Sheet1!B560</f>
        <v>变异凤凰仙子宝宝</v>
      </c>
      <c r="C489">
        <f>Sheet1!Q560</f>
        <v>0</v>
      </c>
      <c r="D489">
        <f>Sheet1!R560</f>
        <v>0</v>
      </c>
      <c r="E489">
        <f>Sheet1!U560</f>
        <v>0</v>
      </c>
      <c r="F489" t="str">
        <f t="shared" ref="F489" si="2569">F488</f>
        <v>&lt;record id="</v>
      </c>
      <c r="G489" t="str">
        <f t="shared" ref="G489" si="2570">G488</f>
        <v>" posx="</v>
      </c>
      <c r="H489" t="str">
        <f t="shared" ref="H489" si="2571">H488</f>
        <v>" posy="</v>
      </c>
      <c r="I489" t="str">
        <f t="shared" ref="I489" si="2572">I488</f>
        <v>" dir="</v>
      </c>
      <c r="J489" t="str">
        <f t="shared" ref="J489" si="2573">J488</f>
        <v>"/&gt;</v>
      </c>
      <c r="K489" t="str">
        <f t="shared" ref="K489" si="2574">F489&amp;A489&amp;G489&amp;C489&amp;H489&amp;D489&amp;I489&amp;E489&amp;J489</f>
        <v>&lt;record id="170285" posx="0" posy="0" dir="0"/&gt;</v>
      </c>
    </row>
    <row r="490" spans="1:11">
      <c r="A490">
        <f>Sheet1!A561</f>
        <v>170286</v>
      </c>
      <c r="B490" t="str">
        <f>Sheet1!B561</f>
        <v>变异鬼剑宝宝</v>
      </c>
      <c r="C490">
        <f>Sheet1!Q561</f>
        <v>0</v>
      </c>
      <c r="D490">
        <f>Sheet1!R561</f>
        <v>0</v>
      </c>
      <c r="E490">
        <f>Sheet1!U561</f>
        <v>0</v>
      </c>
      <c r="F490" t="str">
        <f t="shared" ref="F490" si="2575">F489</f>
        <v>&lt;record id="</v>
      </c>
      <c r="G490" t="str">
        <f t="shared" ref="G490" si="2576">G489</f>
        <v>" posx="</v>
      </c>
      <c r="H490" t="str">
        <f t="shared" ref="H490" si="2577">H489</f>
        <v>" posy="</v>
      </c>
      <c r="I490" t="str">
        <f t="shared" ref="I490" si="2578">I489</f>
        <v>" dir="</v>
      </c>
      <c r="J490" t="str">
        <f t="shared" ref="J490" si="2579">J489</f>
        <v>"/&gt;</v>
      </c>
      <c r="K490" t="str">
        <f t="shared" ref="K490" si="2580">F490&amp;A490&amp;G490&amp;C490&amp;H490&amp;D490&amp;I490&amp;E490&amp;J490</f>
        <v>&lt;record id="170286" posx="0" posy="0" dir="0"/&gt;</v>
      </c>
    </row>
    <row r="491" spans="1:11">
      <c r="A491">
        <f>Sheet1!A562</f>
        <v>170287</v>
      </c>
      <c r="B491" t="str">
        <f>Sheet1!B562</f>
        <v>变异羽云仙子</v>
      </c>
      <c r="C491">
        <f>Sheet1!Q562</f>
        <v>0</v>
      </c>
      <c r="D491">
        <f>Sheet1!R562</f>
        <v>0</v>
      </c>
      <c r="E491">
        <f>Sheet1!U562</f>
        <v>0</v>
      </c>
      <c r="F491" t="str">
        <f t="shared" ref="F491" si="2581">F490</f>
        <v>&lt;record id="</v>
      </c>
      <c r="G491" t="str">
        <f t="shared" ref="G491" si="2582">G490</f>
        <v>" posx="</v>
      </c>
      <c r="H491" t="str">
        <f t="shared" ref="H491" si="2583">H490</f>
        <v>" posy="</v>
      </c>
      <c r="I491" t="str">
        <f t="shared" ref="I491" si="2584">I490</f>
        <v>" dir="</v>
      </c>
      <c r="J491" t="str">
        <f t="shared" ref="J491" si="2585">J490</f>
        <v>"/&gt;</v>
      </c>
      <c r="K491" t="str">
        <f t="shared" ref="K491" si="2586">F491&amp;A491&amp;G491&amp;C491&amp;H491&amp;D491&amp;I491&amp;E491&amp;J491</f>
        <v>&lt;record id="170287" posx="0" posy="0" dir="0"/&gt;</v>
      </c>
    </row>
    <row r="492" spans="1:11">
      <c r="A492">
        <f>Sheet1!A563</f>
        <v>170288</v>
      </c>
      <c r="B492" t="str">
        <f>Sheet1!B563</f>
        <v>变异布雨神君宝宝</v>
      </c>
      <c r="C492">
        <f>Sheet1!Q563</f>
        <v>0</v>
      </c>
      <c r="D492">
        <f>Sheet1!R563</f>
        <v>0</v>
      </c>
      <c r="E492">
        <f>Sheet1!U563</f>
        <v>0</v>
      </c>
      <c r="F492" t="str">
        <f t="shared" ref="F492" si="2587">F491</f>
        <v>&lt;record id="</v>
      </c>
      <c r="G492" t="str">
        <f t="shared" ref="G492" si="2588">G491</f>
        <v>" posx="</v>
      </c>
      <c r="H492" t="str">
        <f t="shared" ref="H492" si="2589">H491</f>
        <v>" posy="</v>
      </c>
      <c r="I492" t="str">
        <f t="shared" ref="I492" si="2590">I491</f>
        <v>" dir="</v>
      </c>
      <c r="J492" t="str">
        <f t="shared" ref="J492" si="2591">J491</f>
        <v>"/&gt;</v>
      </c>
      <c r="K492" t="str">
        <f t="shared" ref="K492" si="2592">F492&amp;A492&amp;G492&amp;C492&amp;H492&amp;D492&amp;I492&amp;E492&amp;J492</f>
        <v>&lt;record id="170288" posx="0" posy="0" dir="0"/&gt;</v>
      </c>
    </row>
    <row r="493" spans="1:11">
      <c r="A493">
        <f>Sheet1!A564</f>
        <v>170289</v>
      </c>
      <c r="B493" t="str">
        <f>Sheet1!B564</f>
        <v>变异武罗仙子宝宝</v>
      </c>
      <c r="C493">
        <f>Sheet1!Q564</f>
        <v>0</v>
      </c>
      <c r="D493">
        <f>Sheet1!R564</f>
        <v>0</v>
      </c>
      <c r="E493">
        <f>Sheet1!U564</f>
        <v>0</v>
      </c>
      <c r="F493" t="str">
        <f t="shared" ref="F493" si="2593">F492</f>
        <v>&lt;record id="</v>
      </c>
      <c r="G493" t="str">
        <f t="shared" ref="G493" si="2594">G492</f>
        <v>" posx="</v>
      </c>
      <c r="H493" t="str">
        <f t="shared" ref="H493" si="2595">H492</f>
        <v>" posy="</v>
      </c>
      <c r="I493" t="str">
        <f t="shared" ref="I493" si="2596">I492</f>
        <v>" dir="</v>
      </c>
      <c r="J493" t="str">
        <f t="shared" ref="J493" si="2597">J492</f>
        <v>"/&gt;</v>
      </c>
      <c r="K493" t="str">
        <f t="shared" ref="K493" si="2598">F493&amp;A493&amp;G493&amp;C493&amp;H493&amp;D493&amp;I493&amp;E493&amp;J493</f>
        <v>&lt;record id="170289" posx="0" posy="0" dir="0"/&gt;</v>
      </c>
    </row>
    <row r="494" spans="1:11">
      <c r="A494">
        <f>Sheet1!A565</f>
        <v>170290</v>
      </c>
      <c r="B494" t="str">
        <f>Sheet1!B565</f>
        <v>变异噬天虎宝宝</v>
      </c>
      <c r="C494">
        <f>Sheet1!Q565</f>
        <v>0</v>
      </c>
      <c r="D494">
        <f>Sheet1!R565</f>
        <v>0</v>
      </c>
      <c r="E494">
        <f>Sheet1!U565</f>
        <v>0</v>
      </c>
      <c r="F494" t="str">
        <f t="shared" ref="F494" si="2599">F493</f>
        <v>&lt;record id="</v>
      </c>
      <c r="G494" t="str">
        <f t="shared" ref="G494" si="2600">G493</f>
        <v>" posx="</v>
      </c>
      <c r="H494" t="str">
        <f t="shared" ref="H494" si="2601">H493</f>
        <v>" posy="</v>
      </c>
      <c r="I494" t="str">
        <f t="shared" ref="I494" si="2602">I493</f>
        <v>" dir="</v>
      </c>
      <c r="J494" t="str">
        <f t="shared" ref="J494" si="2603">J493</f>
        <v>"/&gt;</v>
      </c>
      <c r="K494" t="str">
        <f t="shared" ref="K494" si="2604">F494&amp;A494&amp;G494&amp;C494&amp;H494&amp;D494&amp;I494&amp;E494&amp;J494</f>
        <v>&lt;record id="170290" posx="0" posy="0" dir="0"/&gt;</v>
      </c>
    </row>
    <row r="495" spans="1:11">
      <c r="A495">
        <f>Sheet1!A573</f>
        <v>170298</v>
      </c>
      <c r="B495" t="str">
        <f>Sheet1!B573</f>
        <v>辰龙</v>
      </c>
      <c r="C495">
        <f>Sheet1!Q573</f>
        <v>0</v>
      </c>
      <c r="D495">
        <f>Sheet1!R573</f>
        <v>0</v>
      </c>
      <c r="E495">
        <f>Sheet1!U573</f>
        <v>0</v>
      </c>
      <c r="F495" t="str">
        <f t="shared" ref="F495" si="2605">F494</f>
        <v>&lt;record id="</v>
      </c>
      <c r="G495" t="str">
        <f t="shared" ref="G495" si="2606">G494</f>
        <v>" posx="</v>
      </c>
      <c r="H495" t="str">
        <f t="shared" ref="H495" si="2607">H494</f>
        <v>" posy="</v>
      </c>
      <c r="I495" t="str">
        <f t="shared" ref="I495" si="2608">I494</f>
        <v>" dir="</v>
      </c>
      <c r="J495" t="str">
        <f t="shared" ref="J495" si="2609">J494</f>
        <v>"/&gt;</v>
      </c>
      <c r="K495" t="str">
        <f t="shared" ref="K495" si="2610">F495&amp;A495&amp;G495&amp;C495&amp;H495&amp;D495&amp;I495&amp;E495&amp;J495</f>
        <v>&lt;record id="170298" posx="0" posy="0" dir="0"/&gt;</v>
      </c>
    </row>
    <row r="496" spans="1:11">
      <c r="A496">
        <f>Sheet1!A1175</f>
        <v>180001</v>
      </c>
      <c r="B496" t="str">
        <f>Sheet1!B1175</f>
        <v>子时一刻讨吃鬼</v>
      </c>
      <c r="C496">
        <f>Sheet1!Q1175</f>
        <v>0</v>
      </c>
      <c r="D496">
        <f>Sheet1!R1175</f>
        <v>0</v>
      </c>
      <c r="E496">
        <f>Sheet1!U1175</f>
        <v>0</v>
      </c>
      <c r="F496" t="str">
        <f t="shared" ref="F496" si="2611">F495</f>
        <v>&lt;record id="</v>
      </c>
      <c r="G496" t="str">
        <f t="shared" ref="G496" si="2612">G495</f>
        <v>" posx="</v>
      </c>
      <c r="H496" t="str">
        <f t="shared" ref="H496" si="2613">H495</f>
        <v>" posy="</v>
      </c>
      <c r="I496" t="str">
        <f t="shared" ref="I496" si="2614">I495</f>
        <v>" dir="</v>
      </c>
      <c r="J496" t="str">
        <f t="shared" ref="J496" si="2615">J495</f>
        <v>"/&gt;</v>
      </c>
      <c r="K496" t="str">
        <f t="shared" ref="K496" si="2616">F496&amp;A496&amp;G496&amp;C496&amp;H496&amp;D496&amp;I496&amp;E496&amp;J496</f>
        <v>&lt;record id="180001" posx="0" posy="0" dir="0"/&gt;</v>
      </c>
    </row>
    <row r="497" spans="1:11">
      <c r="A497">
        <f>Sheet1!A1176</f>
        <v>180002</v>
      </c>
      <c r="B497" t="str">
        <f>Sheet1!B1176</f>
        <v>丑时两刻轻薄鬼</v>
      </c>
      <c r="C497">
        <f>Sheet1!Q1176</f>
        <v>412</v>
      </c>
      <c r="D497">
        <f>Sheet1!R1176</f>
        <v>916</v>
      </c>
      <c r="E497">
        <f>Sheet1!U1176</f>
        <v>1</v>
      </c>
      <c r="F497" t="str">
        <f t="shared" ref="F497" si="2617">F496</f>
        <v>&lt;record id="</v>
      </c>
      <c r="G497" t="str">
        <f t="shared" ref="G497" si="2618">G496</f>
        <v>" posx="</v>
      </c>
      <c r="H497" t="str">
        <f t="shared" ref="H497" si="2619">H496</f>
        <v>" posy="</v>
      </c>
      <c r="I497" t="str">
        <f t="shared" ref="I497" si="2620">I496</f>
        <v>" dir="</v>
      </c>
      <c r="J497" t="str">
        <f t="shared" ref="J497" si="2621">J496</f>
        <v>"/&gt;</v>
      </c>
      <c r="K497" t="str">
        <f t="shared" ref="K497" si="2622">F497&amp;A497&amp;G497&amp;C497&amp;H497&amp;D497&amp;I497&amp;E497&amp;J497</f>
        <v>&lt;record id="180002" posx="412" posy="916" dir="1"/&gt;</v>
      </c>
    </row>
    <row r="498" spans="1:11">
      <c r="A498">
        <f>Sheet1!A1177</f>
        <v>180003</v>
      </c>
      <c r="B498" t="str">
        <f>Sheet1!B1177</f>
        <v>卯时三刻伶俐鬼</v>
      </c>
      <c r="C498">
        <f>Sheet1!Q1177</f>
        <v>1200</v>
      </c>
      <c r="D498">
        <f>Sheet1!R1177</f>
        <v>1040</v>
      </c>
      <c r="E498">
        <f>Sheet1!U1177</f>
        <v>3</v>
      </c>
      <c r="F498" t="str">
        <f t="shared" ref="F498" si="2623">F497</f>
        <v>&lt;record id="</v>
      </c>
      <c r="G498" t="str">
        <f t="shared" ref="G498" si="2624">G497</f>
        <v>" posx="</v>
      </c>
      <c r="H498" t="str">
        <f t="shared" ref="H498" si="2625">H497</f>
        <v>" posy="</v>
      </c>
      <c r="I498" t="str">
        <f t="shared" ref="I498" si="2626">I497</f>
        <v>" dir="</v>
      </c>
      <c r="J498" t="str">
        <f t="shared" ref="J498" si="2627">J497</f>
        <v>"/&gt;</v>
      </c>
      <c r="K498" t="str">
        <f t="shared" ref="K498" si="2628">F498&amp;A498&amp;G498&amp;C498&amp;H498&amp;D498&amp;I498&amp;E498&amp;J498</f>
        <v>&lt;record id="180003" posx="1200" posy="1040" dir="3"/&gt;</v>
      </c>
    </row>
    <row r="499" spans="1:11">
      <c r="A499">
        <f>Sheet1!A1178</f>
        <v>180004</v>
      </c>
      <c r="B499" t="str">
        <f>Sheet1!B1178</f>
        <v>辰时一刻挖渣鬼</v>
      </c>
      <c r="C499">
        <f>Sheet1!Q1178</f>
        <v>782</v>
      </c>
      <c r="D499">
        <f>Sheet1!R1178</f>
        <v>306</v>
      </c>
      <c r="E499">
        <f>Sheet1!U1178</f>
        <v>3</v>
      </c>
      <c r="F499" t="str">
        <f t="shared" ref="F499" si="2629">F498</f>
        <v>&lt;record id="</v>
      </c>
      <c r="G499" t="str">
        <f t="shared" ref="G499" si="2630">G498</f>
        <v>" posx="</v>
      </c>
      <c r="H499" t="str">
        <f t="shared" ref="H499" si="2631">H498</f>
        <v>" posy="</v>
      </c>
      <c r="I499" t="str">
        <f t="shared" ref="I499" si="2632">I498</f>
        <v>" dir="</v>
      </c>
      <c r="J499" t="str">
        <f t="shared" ref="J499" si="2633">J498</f>
        <v>"/&gt;</v>
      </c>
      <c r="K499" t="str">
        <f t="shared" ref="K499" si="2634">F499&amp;A499&amp;G499&amp;C499&amp;H499&amp;D499&amp;I499&amp;E499&amp;J499</f>
        <v>&lt;record id="180004" posx="782" posy="306" dir="3"/&gt;</v>
      </c>
    </row>
    <row r="500" spans="1:11">
      <c r="A500">
        <f>Sheet1!A1179</f>
        <v>180005</v>
      </c>
      <c r="B500" t="str">
        <f>Sheet1!B1179</f>
        <v>巳时两刻绵缠鬼</v>
      </c>
      <c r="C500">
        <f>Sheet1!Q1179</f>
        <v>1287</v>
      </c>
      <c r="D500">
        <f>Sheet1!R1179</f>
        <v>156</v>
      </c>
      <c r="E500">
        <f>Sheet1!U1179</f>
        <v>3</v>
      </c>
      <c r="F500" t="str">
        <f t="shared" ref="F500" si="2635">F499</f>
        <v>&lt;record id="</v>
      </c>
      <c r="G500" t="str">
        <f t="shared" ref="G500" si="2636">G499</f>
        <v>" posx="</v>
      </c>
      <c r="H500" t="str">
        <f t="shared" ref="H500" si="2637">H499</f>
        <v>" posy="</v>
      </c>
      <c r="I500" t="str">
        <f t="shared" ref="I500" si="2638">I499</f>
        <v>" dir="</v>
      </c>
      <c r="J500" t="str">
        <f t="shared" ref="J500" si="2639">J499</f>
        <v>"/&gt;</v>
      </c>
      <c r="K500" t="str">
        <f t="shared" ref="K500" si="2640">F500&amp;A500&amp;G500&amp;C500&amp;H500&amp;D500&amp;I500&amp;E500&amp;J500</f>
        <v>&lt;record id="180005" posx="1287" posy="156" dir="3"/&gt;</v>
      </c>
    </row>
    <row r="501" spans="1:11">
      <c r="A501">
        <f>Sheet1!A1180</f>
        <v>180006</v>
      </c>
      <c r="B501" t="str">
        <f>Sheet1!B1180</f>
        <v>午时三刻醉死鬼</v>
      </c>
      <c r="C501">
        <f>Sheet1!Q1180</f>
        <v>759</v>
      </c>
      <c r="D501">
        <f>Sheet1!R1180</f>
        <v>172</v>
      </c>
      <c r="E501">
        <f>Sheet1!U1180</f>
        <v>3</v>
      </c>
      <c r="F501" t="str">
        <f t="shared" ref="F501" si="2641">F500</f>
        <v>&lt;record id="</v>
      </c>
      <c r="G501" t="str">
        <f t="shared" ref="G501" si="2642">G500</f>
        <v>" posx="</v>
      </c>
      <c r="H501" t="str">
        <f t="shared" ref="H501" si="2643">H500</f>
        <v>" posy="</v>
      </c>
      <c r="I501" t="str">
        <f t="shared" ref="I501" si="2644">I500</f>
        <v>" dir="</v>
      </c>
      <c r="J501" t="str">
        <f t="shared" ref="J501" si="2645">J500</f>
        <v>"/&gt;</v>
      </c>
      <c r="K501" t="str">
        <f t="shared" ref="K501" si="2646">F501&amp;A501&amp;G501&amp;C501&amp;H501&amp;D501&amp;I501&amp;E501&amp;J501</f>
        <v>&lt;record id="180006" posx="759" posy="172" dir="3"/&gt;</v>
      </c>
    </row>
    <row r="502" spans="1:11">
      <c r="A502">
        <f>Sheet1!A1181</f>
        <v>180007</v>
      </c>
      <c r="B502" t="str">
        <f>Sheet1!B1181</f>
        <v>未时四刻饿死鬼</v>
      </c>
      <c r="C502">
        <f>Sheet1!Q1181</f>
        <v>2067</v>
      </c>
      <c r="D502">
        <f>Sheet1!R1181</f>
        <v>417</v>
      </c>
      <c r="E502">
        <f>Sheet1!U1181</f>
        <v>3</v>
      </c>
      <c r="F502" t="str">
        <f t="shared" ref="F502" si="2647">F501</f>
        <v>&lt;record id="</v>
      </c>
      <c r="G502" t="str">
        <f t="shared" ref="G502" si="2648">G501</f>
        <v>" posx="</v>
      </c>
      <c r="H502" t="str">
        <f t="shared" ref="H502" si="2649">H501</f>
        <v>" posy="</v>
      </c>
      <c r="I502" t="str">
        <f t="shared" ref="I502" si="2650">I501</f>
        <v>" dir="</v>
      </c>
      <c r="J502" t="str">
        <f t="shared" ref="J502" si="2651">J501</f>
        <v>"/&gt;</v>
      </c>
      <c r="K502" t="str">
        <f t="shared" ref="K502" si="2652">F502&amp;A502&amp;G502&amp;C502&amp;H502&amp;D502&amp;I502&amp;E502&amp;J502</f>
        <v>&lt;record id="180007" posx="2067" posy="417" dir="3"/&gt;</v>
      </c>
    </row>
    <row r="503" spans="1:11">
      <c r="A503">
        <f>Sheet1!A1182</f>
        <v>180008</v>
      </c>
      <c r="B503" t="str">
        <f>Sheet1!B1182</f>
        <v>申时一刻冒失鬼</v>
      </c>
      <c r="C503">
        <f>Sheet1!Q1182</f>
        <v>944</v>
      </c>
      <c r="D503">
        <f>Sheet1!R1182</f>
        <v>528</v>
      </c>
      <c r="E503">
        <f>Sheet1!U1182</f>
        <v>3</v>
      </c>
      <c r="F503" t="str">
        <f t="shared" ref="F503" si="2653">F502</f>
        <v>&lt;record id="</v>
      </c>
      <c r="G503" t="str">
        <f t="shared" ref="G503" si="2654">G502</f>
        <v>" posx="</v>
      </c>
      <c r="H503" t="str">
        <f t="shared" ref="H503" si="2655">H502</f>
        <v>" posy="</v>
      </c>
      <c r="I503" t="str">
        <f t="shared" ref="I503" si="2656">I502</f>
        <v>" dir="</v>
      </c>
      <c r="J503" t="str">
        <f t="shared" ref="J503" si="2657">J502</f>
        <v>"/&gt;</v>
      </c>
      <c r="K503" t="str">
        <f t="shared" ref="K503" si="2658">F503&amp;A503&amp;G503&amp;C503&amp;H503&amp;D503&amp;I503&amp;E503&amp;J503</f>
        <v>&lt;record id="180008" posx="944" posy="528" dir="3"/&gt;</v>
      </c>
    </row>
    <row r="504" spans="1:11">
      <c r="A504">
        <f>Sheet1!A1183</f>
        <v>180009</v>
      </c>
      <c r="B504" t="str">
        <f>Sheet1!B1183</f>
        <v>酉时三刻含碜鬼</v>
      </c>
      <c r="C504">
        <f>Sheet1!Q1183</f>
        <v>336</v>
      </c>
      <c r="D504">
        <f>Sheet1!R1183</f>
        <v>1472</v>
      </c>
      <c r="E504">
        <f>Sheet1!U1183</f>
        <v>3</v>
      </c>
      <c r="F504" t="str">
        <f t="shared" ref="F504" si="2659">F503</f>
        <v>&lt;record id="</v>
      </c>
      <c r="G504" t="str">
        <f t="shared" ref="G504" si="2660">G503</f>
        <v>" posx="</v>
      </c>
      <c r="H504" t="str">
        <f t="shared" ref="H504" si="2661">H503</f>
        <v>" posy="</v>
      </c>
      <c r="I504" t="str">
        <f t="shared" ref="I504" si="2662">I503</f>
        <v>" dir="</v>
      </c>
      <c r="J504" t="str">
        <f t="shared" ref="J504" si="2663">J503</f>
        <v>"/&gt;</v>
      </c>
      <c r="K504" t="str">
        <f t="shared" ref="K504" si="2664">F504&amp;A504&amp;G504&amp;C504&amp;H504&amp;D504&amp;I504&amp;E504&amp;J504</f>
        <v>&lt;record id="180009" posx="336" posy="1472" dir="3"/&gt;</v>
      </c>
    </row>
    <row r="505" spans="1:11">
      <c r="A505">
        <f>Sheet1!A1184</f>
        <v>180010</v>
      </c>
      <c r="B505" t="str">
        <f>Sheet1!B1184</f>
        <v>戌时四刻耍碗鬼</v>
      </c>
      <c r="C505">
        <f>Sheet1!Q1184</f>
        <v>960</v>
      </c>
      <c r="D505">
        <f>Sheet1!R1184</f>
        <v>560</v>
      </c>
      <c r="E505">
        <f>Sheet1!U1184</f>
        <v>3</v>
      </c>
      <c r="F505" t="str">
        <f t="shared" ref="F505" si="2665">F504</f>
        <v>&lt;record id="</v>
      </c>
      <c r="G505" t="str">
        <f t="shared" ref="G505" si="2666">G504</f>
        <v>" posx="</v>
      </c>
      <c r="H505" t="str">
        <f t="shared" ref="H505" si="2667">H504</f>
        <v>" posy="</v>
      </c>
      <c r="I505" t="str">
        <f t="shared" ref="I505" si="2668">I504</f>
        <v>" dir="</v>
      </c>
      <c r="J505" t="str">
        <f t="shared" ref="J505" si="2669">J504</f>
        <v>"/&gt;</v>
      </c>
      <c r="K505" t="str">
        <f t="shared" ref="K505" si="2670">F505&amp;A505&amp;G505&amp;C505&amp;H505&amp;D505&amp;I505&amp;E505&amp;J505</f>
        <v>&lt;record id="180010" posx="960" posy="560" dir="3"/&gt;</v>
      </c>
    </row>
    <row r="506" spans="1:11">
      <c r="A506">
        <f>Sheet1!A1185</f>
        <v>180011</v>
      </c>
      <c r="B506" t="str">
        <f>Sheet1!B1185</f>
        <v>千年厉鬼</v>
      </c>
      <c r="C506">
        <f>Sheet1!Q1185</f>
        <v>0</v>
      </c>
      <c r="D506">
        <f>Sheet1!R1185</f>
        <v>0</v>
      </c>
      <c r="E506">
        <f>Sheet1!U1185</f>
        <v>0</v>
      </c>
      <c r="F506" t="str">
        <f t="shared" ref="F506" si="2671">F505</f>
        <v>&lt;record id="</v>
      </c>
      <c r="G506" t="str">
        <f t="shared" ref="G506" si="2672">G505</f>
        <v>" posx="</v>
      </c>
      <c r="H506" t="str">
        <f t="shared" ref="H506" si="2673">H505</f>
        <v>" posy="</v>
      </c>
      <c r="I506" t="str">
        <f t="shared" ref="I506" si="2674">I505</f>
        <v>" dir="</v>
      </c>
      <c r="J506" t="str">
        <f t="shared" ref="J506" si="2675">J505</f>
        <v>"/&gt;</v>
      </c>
      <c r="K506" t="str">
        <f t="shared" ref="K506" si="2676">F506&amp;A506&amp;G506&amp;C506&amp;H506&amp;D506&amp;I506&amp;E506&amp;J506</f>
        <v>&lt;record id="180011" posx="0" posy="0" dir="0"/&gt;</v>
      </c>
    </row>
    <row r="507" spans="1:11">
      <c r="A507">
        <f>Sheet1!A606</f>
        <v>180102</v>
      </c>
      <c r="B507" t="str">
        <f>Sheet1!B606</f>
        <v>巨魔之都2</v>
      </c>
      <c r="C507">
        <f>Sheet1!Q606</f>
        <v>0</v>
      </c>
      <c r="D507">
        <f>Sheet1!R606</f>
        <v>0</v>
      </c>
      <c r="E507">
        <f>Sheet1!U606</f>
        <v>0</v>
      </c>
      <c r="F507" t="str">
        <f t="shared" ref="F507" si="2677">F506</f>
        <v>&lt;record id="</v>
      </c>
      <c r="G507" t="str">
        <f t="shared" ref="G507" si="2678">G506</f>
        <v>" posx="</v>
      </c>
      <c r="H507" t="str">
        <f t="shared" ref="H507" si="2679">H506</f>
        <v>" posy="</v>
      </c>
      <c r="I507" t="str">
        <f t="shared" ref="I507" si="2680">I506</f>
        <v>" dir="</v>
      </c>
      <c r="J507" t="str">
        <f t="shared" ref="J507" si="2681">J506</f>
        <v>"/&gt;</v>
      </c>
      <c r="K507" t="str">
        <f t="shared" ref="K507" si="2682">F507&amp;A507&amp;G507&amp;C507&amp;H507&amp;D507&amp;I507&amp;E507&amp;J507</f>
        <v>&lt;record id="180102" posx="0" posy="0" dir="0"/&gt;</v>
      </c>
    </row>
    <row r="508" spans="1:11">
      <c r="A508">
        <f>Sheet1!A607</f>
        <v>180103</v>
      </c>
      <c r="B508" t="str">
        <f>Sheet1!B607</f>
        <v>巨魔之都3</v>
      </c>
      <c r="C508">
        <f>Sheet1!Q607</f>
        <v>0</v>
      </c>
      <c r="D508">
        <f>Sheet1!R607</f>
        <v>0</v>
      </c>
      <c r="E508">
        <f>Sheet1!U607</f>
        <v>0</v>
      </c>
      <c r="F508" t="str">
        <f t="shared" ref="F508" si="2683">F507</f>
        <v>&lt;record id="</v>
      </c>
      <c r="G508" t="str">
        <f t="shared" ref="G508" si="2684">G507</f>
        <v>" posx="</v>
      </c>
      <c r="H508" t="str">
        <f t="shared" ref="H508" si="2685">H507</f>
        <v>" posy="</v>
      </c>
      <c r="I508" t="str">
        <f t="shared" ref="I508" si="2686">I507</f>
        <v>" dir="</v>
      </c>
      <c r="J508" t="str">
        <f t="shared" ref="J508:J513" si="2687">J507</f>
        <v>"/&gt;</v>
      </c>
      <c r="K508" t="str">
        <f t="shared" ref="K508" si="2688">F508&amp;A508&amp;G508&amp;C508&amp;H508&amp;D508&amp;I508&amp;E508&amp;J508</f>
        <v>&lt;record id="180103" posx="0" posy="0" dir="0"/&gt;</v>
      </c>
    </row>
    <row r="509" spans="1:11">
      <c r="A509">
        <f>Sheet1!A608</f>
        <v>180104</v>
      </c>
      <c r="B509" t="str">
        <f>Sheet1!B608</f>
        <v>巨魔之都4</v>
      </c>
      <c r="C509">
        <f>Sheet1!Q608</f>
        <v>0</v>
      </c>
      <c r="D509">
        <f>Sheet1!R608</f>
        <v>0</v>
      </c>
      <c r="E509">
        <f>Sheet1!U608</f>
        <v>0</v>
      </c>
      <c r="F509" t="str">
        <f t="shared" ref="F509" si="2689">F508</f>
        <v>&lt;record id="</v>
      </c>
      <c r="G509" t="str">
        <f t="shared" ref="G509:G514" si="2690">G508</f>
        <v>" posx="</v>
      </c>
      <c r="H509" t="str">
        <f t="shared" ref="H509" si="2691">H508</f>
        <v>" posy="</v>
      </c>
      <c r="I509" t="str">
        <f t="shared" ref="I509" si="2692">I508</f>
        <v>" dir="</v>
      </c>
      <c r="J509" t="str">
        <f t="shared" si="2687"/>
        <v>"/&gt;</v>
      </c>
      <c r="K509" t="str">
        <f t="shared" ref="K509:K514" si="2693">F509&amp;A509&amp;G509&amp;C509&amp;H509&amp;D509&amp;I509&amp;E509&amp;J509</f>
        <v>&lt;record id="180104" posx="0" posy="0" dir="0"/&gt;</v>
      </c>
    </row>
    <row r="510" spans="1:11">
      <c r="A510">
        <f>Sheet1!A609</f>
        <v>180105</v>
      </c>
      <c r="B510" t="str">
        <f>Sheet1!B609</f>
        <v>巨魔之都5</v>
      </c>
      <c r="C510">
        <f>Sheet1!Q609</f>
        <v>0</v>
      </c>
      <c r="D510">
        <f>Sheet1!R609</f>
        <v>0</v>
      </c>
      <c r="E510">
        <f>Sheet1!U609</f>
        <v>0</v>
      </c>
      <c r="F510" t="str">
        <f t="shared" ref="F510" si="2694">F509</f>
        <v>&lt;record id="</v>
      </c>
      <c r="G510" t="str">
        <f t="shared" si="2690"/>
        <v>" posx="</v>
      </c>
      <c r="H510" t="str">
        <f t="shared" ref="H510" si="2695">H509</f>
        <v>" posy="</v>
      </c>
      <c r="I510" t="str">
        <f t="shared" ref="I510:I513" si="2696">I509</f>
        <v>" dir="</v>
      </c>
      <c r="J510" t="str">
        <f t="shared" si="2687"/>
        <v>"/&gt;</v>
      </c>
      <c r="K510" t="str">
        <f t="shared" si="2693"/>
        <v>&lt;record id="180105" posx="0" posy="0" dir="0"/&gt;</v>
      </c>
    </row>
    <row r="511" spans="1:11">
      <c r="A511">
        <f>Sheet1!A610</f>
        <v>180111</v>
      </c>
      <c r="B511" t="str">
        <f>Sheet1!B610</f>
        <v>诅咒之塔1</v>
      </c>
      <c r="C511">
        <f>Sheet1!Q610</f>
        <v>0</v>
      </c>
      <c r="D511">
        <f>Sheet1!R610</f>
        <v>0</v>
      </c>
      <c r="E511">
        <f>Sheet1!U610</f>
        <v>0</v>
      </c>
      <c r="F511" t="str">
        <f t="shared" ref="F511:F514" si="2697">F510</f>
        <v>&lt;record id="</v>
      </c>
      <c r="G511" t="str">
        <f t="shared" si="2690"/>
        <v>" posx="</v>
      </c>
      <c r="H511" t="str">
        <f t="shared" ref="H511:H513" si="2698">H510</f>
        <v>" posy="</v>
      </c>
      <c r="I511" t="str">
        <f t="shared" si="2696"/>
        <v>" dir="</v>
      </c>
      <c r="J511" t="str">
        <f t="shared" si="2687"/>
        <v>"/&gt;</v>
      </c>
      <c r="K511" t="str">
        <f t="shared" si="2693"/>
        <v>&lt;record id="180111" posx="0" posy="0" dir="0"/&gt;</v>
      </c>
    </row>
    <row r="512" spans="1:11">
      <c r="A512">
        <f>Sheet1!A611</f>
        <v>180112</v>
      </c>
      <c r="B512" t="str">
        <f>Sheet1!B611</f>
        <v>诅咒之塔2</v>
      </c>
      <c r="C512">
        <f>Sheet1!Q611</f>
        <v>0</v>
      </c>
      <c r="D512">
        <f>Sheet1!R611</f>
        <v>0</v>
      </c>
      <c r="E512">
        <f>Sheet1!U611</f>
        <v>0</v>
      </c>
      <c r="F512" t="str">
        <f t="shared" si="2697"/>
        <v>&lt;record id="</v>
      </c>
      <c r="G512" t="str">
        <f t="shared" si="2690"/>
        <v>" posx="</v>
      </c>
      <c r="H512" t="str">
        <f t="shared" si="2698"/>
        <v>" posy="</v>
      </c>
      <c r="I512" t="str">
        <f t="shared" si="2696"/>
        <v>" dir="</v>
      </c>
      <c r="J512" t="str">
        <f t="shared" si="2687"/>
        <v>"/&gt;</v>
      </c>
      <c r="K512" t="str">
        <f t="shared" si="2693"/>
        <v>&lt;record id="180112" posx="0" posy="0" dir="0"/&gt;</v>
      </c>
    </row>
    <row r="513" spans="1:11">
      <c r="A513">
        <f>Sheet1!A612</f>
        <v>180113</v>
      </c>
      <c r="B513" t="str">
        <f>Sheet1!B612</f>
        <v>诅咒之塔3</v>
      </c>
      <c r="C513">
        <f>Sheet1!Q612</f>
        <v>0</v>
      </c>
      <c r="D513">
        <f>Sheet1!R612</f>
        <v>0</v>
      </c>
      <c r="E513">
        <f>Sheet1!U612</f>
        <v>0</v>
      </c>
      <c r="F513" t="str">
        <f t="shared" si="2697"/>
        <v>&lt;record id="</v>
      </c>
      <c r="G513" t="str">
        <f t="shared" si="2690"/>
        <v>" posx="</v>
      </c>
      <c r="H513" t="str">
        <f t="shared" si="2698"/>
        <v>" posy="</v>
      </c>
      <c r="I513" t="str">
        <f t="shared" si="2696"/>
        <v>" dir="</v>
      </c>
      <c r="J513" t="str">
        <f t="shared" si="2687"/>
        <v>"/&gt;</v>
      </c>
      <c r="K513" t="str">
        <f t="shared" si="2693"/>
        <v>&lt;record id="180113" posx="0" posy="0" dir="0"/&gt;</v>
      </c>
    </row>
    <row r="514" spans="1:11">
      <c r="A514">
        <f>Sheet1!A613</f>
        <v>180114</v>
      </c>
      <c r="B514" t="str">
        <f>Sheet1!B613</f>
        <v>诅咒之塔4</v>
      </c>
      <c r="C514">
        <f>Sheet1!Q613</f>
        <v>0</v>
      </c>
      <c r="D514">
        <f>Sheet1!R613</f>
        <v>0</v>
      </c>
      <c r="E514">
        <f>Sheet1!U613</f>
        <v>0</v>
      </c>
      <c r="F514" t="str">
        <f t="shared" si="2697"/>
        <v>&lt;record id="</v>
      </c>
      <c r="G514" t="str">
        <f t="shared" si="2690"/>
        <v>" posx="</v>
      </c>
      <c r="H514" t="str">
        <f t="shared" ref="H514" si="2699">H513</f>
        <v>" posy="</v>
      </c>
      <c r="I514" t="str">
        <f t="shared" ref="I514" si="2700">I513</f>
        <v>" dir="</v>
      </c>
      <c r="J514" t="str">
        <f t="shared" ref="J514" si="2701">J513</f>
        <v>"/&gt;</v>
      </c>
      <c r="K514" t="str">
        <f t="shared" si="2693"/>
        <v>&lt;record id="180114" posx="0" posy="0" dir="0"/&gt;</v>
      </c>
    </row>
    <row r="515" spans="1:11">
      <c r="A515">
        <f>Sheet1!A614</f>
        <v>180115</v>
      </c>
      <c r="B515" t="str">
        <f>Sheet1!B614</f>
        <v>诅咒之塔5</v>
      </c>
      <c r="C515">
        <f>Sheet1!Q614</f>
        <v>0</v>
      </c>
      <c r="D515">
        <f>Sheet1!R614</f>
        <v>0</v>
      </c>
      <c r="E515">
        <f>Sheet1!U614</f>
        <v>0</v>
      </c>
      <c r="F515" t="str">
        <f t="shared" ref="F515" si="2702">F514</f>
        <v>&lt;record id="</v>
      </c>
      <c r="G515" t="str">
        <f t="shared" ref="G515" si="2703">G514</f>
        <v>" posx="</v>
      </c>
      <c r="H515" t="str">
        <f t="shared" ref="H515" si="2704">H514</f>
        <v>" posy="</v>
      </c>
      <c r="I515" t="str">
        <f t="shared" ref="I515" si="2705">I514</f>
        <v>" dir="</v>
      </c>
      <c r="J515" t="str">
        <f t="shared" ref="J515" si="2706">J514</f>
        <v>"/&gt;</v>
      </c>
      <c r="K515" t="str">
        <f t="shared" ref="K515" si="2707">F515&amp;A515&amp;G515&amp;C515&amp;H515&amp;D515&amp;I515&amp;E515&amp;J515</f>
        <v>&lt;record id="180115" posx="0" posy="0" dir="0"/&gt;</v>
      </c>
    </row>
    <row r="516" spans="1:11">
      <c r="A516">
        <f>Sheet1!A615</f>
        <v>180121</v>
      </c>
      <c r="B516" t="str">
        <f>Sheet1!B615</f>
        <v>巨魔之都1(精英)</v>
      </c>
      <c r="C516">
        <f>Sheet1!Q615</f>
        <v>0</v>
      </c>
      <c r="D516">
        <f>Sheet1!R615</f>
        <v>0</v>
      </c>
      <c r="E516">
        <f>Sheet1!U615</f>
        <v>0</v>
      </c>
      <c r="F516" t="str">
        <f t="shared" ref="F516" si="2708">F515</f>
        <v>&lt;record id="</v>
      </c>
      <c r="G516" t="str">
        <f t="shared" ref="G516" si="2709">G515</f>
        <v>" posx="</v>
      </c>
      <c r="H516" t="str">
        <f t="shared" ref="H516" si="2710">H515</f>
        <v>" posy="</v>
      </c>
      <c r="I516" t="str">
        <f t="shared" ref="I516" si="2711">I515</f>
        <v>" dir="</v>
      </c>
      <c r="J516" t="str">
        <f t="shared" ref="J516" si="2712">J515</f>
        <v>"/&gt;</v>
      </c>
      <c r="K516" t="str">
        <f t="shared" ref="K516" si="2713">F516&amp;A516&amp;G516&amp;C516&amp;H516&amp;D516&amp;I516&amp;E516&amp;J516</f>
        <v>&lt;record id="180121" posx="0" posy="0" dir="0"/&gt;</v>
      </c>
    </row>
    <row r="517" spans="1:11">
      <c r="A517">
        <f>Sheet1!A616</f>
        <v>180122</v>
      </c>
      <c r="B517" t="str">
        <f>Sheet1!B616</f>
        <v>巨魔之都2(精英)</v>
      </c>
      <c r="C517">
        <f>Sheet1!Q616</f>
        <v>0</v>
      </c>
      <c r="D517">
        <f>Sheet1!R616</f>
        <v>0</v>
      </c>
      <c r="E517">
        <f>Sheet1!U616</f>
        <v>0</v>
      </c>
      <c r="F517" t="str">
        <f t="shared" ref="F517" si="2714">F516</f>
        <v>&lt;record id="</v>
      </c>
      <c r="G517" t="str">
        <f t="shared" ref="G517" si="2715">G516</f>
        <v>" posx="</v>
      </c>
      <c r="H517" t="str">
        <f t="shared" ref="H517" si="2716">H516</f>
        <v>" posy="</v>
      </c>
      <c r="I517" t="str">
        <f t="shared" ref="I517" si="2717">I516</f>
        <v>" dir="</v>
      </c>
      <c r="J517" t="str">
        <f t="shared" ref="J517" si="2718">J516</f>
        <v>"/&gt;</v>
      </c>
      <c r="K517" t="str">
        <f t="shared" ref="K517" si="2719">F517&amp;A517&amp;G517&amp;C517&amp;H517&amp;D517&amp;I517&amp;E517&amp;J517</f>
        <v>&lt;record id="180122" posx="0" posy="0" dir="0"/&gt;</v>
      </c>
    </row>
    <row r="518" spans="1:11">
      <c r="A518">
        <f>Sheet1!A617</f>
        <v>180123</v>
      </c>
      <c r="B518" t="str">
        <f>Sheet1!B617</f>
        <v>巨魔之都3(精英)</v>
      </c>
      <c r="C518">
        <f>Sheet1!Q617</f>
        <v>0</v>
      </c>
      <c r="D518">
        <f>Sheet1!R617</f>
        <v>0</v>
      </c>
      <c r="E518">
        <f>Sheet1!U617</f>
        <v>0</v>
      </c>
      <c r="F518" t="str">
        <f t="shared" ref="F518" si="2720">F517</f>
        <v>&lt;record id="</v>
      </c>
      <c r="G518" t="str">
        <f t="shared" ref="G518" si="2721">G517</f>
        <v>" posx="</v>
      </c>
      <c r="H518" t="str">
        <f t="shared" ref="H518" si="2722">H517</f>
        <v>" posy="</v>
      </c>
      <c r="I518" t="str">
        <f t="shared" ref="I518" si="2723">I517</f>
        <v>" dir="</v>
      </c>
      <c r="J518" t="str">
        <f t="shared" ref="J518" si="2724">J517</f>
        <v>"/&gt;</v>
      </c>
      <c r="K518" t="str">
        <f t="shared" ref="K518" si="2725">F518&amp;A518&amp;G518&amp;C518&amp;H518&amp;D518&amp;I518&amp;E518&amp;J518</f>
        <v>&lt;record id="180123" posx="0" posy="0" dir="0"/&gt;</v>
      </c>
    </row>
    <row r="519" spans="1:11">
      <c r="A519">
        <f>Sheet1!A618</f>
        <v>180124</v>
      </c>
      <c r="B519" t="str">
        <f>Sheet1!B618</f>
        <v>巨魔之都4(精英)</v>
      </c>
      <c r="C519">
        <f>Sheet1!Q618</f>
        <v>0</v>
      </c>
      <c r="D519">
        <f>Sheet1!R618</f>
        <v>0</v>
      </c>
      <c r="E519">
        <f>Sheet1!U618</f>
        <v>0</v>
      </c>
      <c r="F519" t="str">
        <f t="shared" ref="F519" si="2726">F518</f>
        <v>&lt;record id="</v>
      </c>
      <c r="G519" t="str">
        <f t="shared" ref="G519" si="2727">G518</f>
        <v>" posx="</v>
      </c>
      <c r="H519" t="str">
        <f t="shared" ref="H519" si="2728">H518</f>
        <v>" posy="</v>
      </c>
      <c r="I519" t="str">
        <f t="shared" ref="I519" si="2729">I518</f>
        <v>" dir="</v>
      </c>
      <c r="J519" t="str">
        <f t="shared" ref="J519" si="2730">J518</f>
        <v>"/&gt;</v>
      </c>
      <c r="K519" t="str">
        <f t="shared" ref="K519" si="2731">F519&amp;A519&amp;G519&amp;C519&amp;H519&amp;D519&amp;I519&amp;E519&amp;J519</f>
        <v>&lt;record id="180124" posx="0" posy="0" dir="0"/&gt;</v>
      </c>
    </row>
    <row r="520" spans="1:11">
      <c r="A520">
        <f>Sheet1!A619</f>
        <v>180125</v>
      </c>
      <c r="B520" t="str">
        <f>Sheet1!B619</f>
        <v>巨魔之都5(精英)</v>
      </c>
      <c r="C520">
        <f>Sheet1!Q619</f>
        <v>0</v>
      </c>
      <c r="D520">
        <f>Sheet1!R619</f>
        <v>0</v>
      </c>
      <c r="E520">
        <f>Sheet1!U619</f>
        <v>0</v>
      </c>
      <c r="F520" t="str">
        <f t="shared" ref="F520" si="2732">F519</f>
        <v>&lt;record id="</v>
      </c>
      <c r="G520" t="str">
        <f t="shared" ref="G520" si="2733">G519</f>
        <v>" posx="</v>
      </c>
      <c r="H520" t="str">
        <f t="shared" ref="H520" si="2734">H519</f>
        <v>" posy="</v>
      </c>
      <c r="I520" t="str">
        <f t="shared" ref="I520" si="2735">I519</f>
        <v>" dir="</v>
      </c>
      <c r="J520" t="str">
        <f t="shared" ref="J520" si="2736">J519</f>
        <v>"/&gt;</v>
      </c>
      <c r="K520" t="str">
        <f t="shared" ref="K520" si="2737">F520&amp;A520&amp;G520&amp;C520&amp;H520&amp;D520&amp;I520&amp;E520&amp;J520</f>
        <v>&lt;record id="180125" posx="0" posy="0" dir="0"/&gt;</v>
      </c>
    </row>
    <row r="521" spans="1:11">
      <c r="A521">
        <f>Sheet1!A620</f>
        <v>180131</v>
      </c>
      <c r="B521" t="str">
        <f>Sheet1!B620</f>
        <v>诅咒之塔1(精英)</v>
      </c>
      <c r="C521">
        <f>Sheet1!Q620</f>
        <v>0</v>
      </c>
      <c r="D521">
        <f>Sheet1!R620</f>
        <v>0</v>
      </c>
      <c r="E521">
        <f>Sheet1!U620</f>
        <v>0</v>
      </c>
      <c r="F521" t="str">
        <f t="shared" ref="F521" si="2738">F520</f>
        <v>&lt;record id="</v>
      </c>
      <c r="G521" t="str">
        <f t="shared" ref="G521" si="2739">G520</f>
        <v>" posx="</v>
      </c>
      <c r="H521" t="str">
        <f t="shared" ref="H521" si="2740">H520</f>
        <v>" posy="</v>
      </c>
      <c r="I521" t="str">
        <f t="shared" ref="I521" si="2741">I520</f>
        <v>" dir="</v>
      </c>
      <c r="J521" t="str">
        <f t="shared" ref="J521" si="2742">J520</f>
        <v>"/&gt;</v>
      </c>
      <c r="K521" t="str">
        <f t="shared" ref="K521" si="2743">F521&amp;A521&amp;G521&amp;C521&amp;H521&amp;D521&amp;I521&amp;E521&amp;J521</f>
        <v>&lt;record id="180131" posx="0" posy="0" dir="0"/&gt;</v>
      </c>
    </row>
    <row r="522" spans="1:11">
      <c r="A522">
        <f>Sheet1!A621</f>
        <v>180132</v>
      </c>
      <c r="B522" t="str">
        <f>Sheet1!B621</f>
        <v>诅咒之塔2(精英)</v>
      </c>
      <c r="C522">
        <f>Sheet1!Q621</f>
        <v>0</v>
      </c>
      <c r="D522">
        <f>Sheet1!R621</f>
        <v>0</v>
      </c>
      <c r="E522">
        <f>Sheet1!U621</f>
        <v>0</v>
      </c>
      <c r="F522" t="str">
        <f t="shared" ref="F522" si="2744">F521</f>
        <v>&lt;record id="</v>
      </c>
      <c r="G522" t="str">
        <f t="shared" ref="G522" si="2745">G521</f>
        <v>" posx="</v>
      </c>
      <c r="H522" t="str">
        <f t="shared" ref="H522" si="2746">H521</f>
        <v>" posy="</v>
      </c>
      <c r="I522" t="str">
        <f t="shared" ref="I522" si="2747">I521</f>
        <v>" dir="</v>
      </c>
      <c r="J522" t="str">
        <f t="shared" ref="J522" si="2748">J521</f>
        <v>"/&gt;</v>
      </c>
      <c r="K522" t="str">
        <f t="shared" ref="K522" si="2749">F522&amp;A522&amp;G522&amp;C522&amp;H522&amp;D522&amp;I522&amp;E522&amp;J522</f>
        <v>&lt;record id="180132" posx="0" posy="0" dir="0"/&gt;</v>
      </c>
    </row>
    <row r="523" spans="1:11">
      <c r="A523">
        <f>Sheet1!A622</f>
        <v>180133</v>
      </c>
      <c r="B523" t="str">
        <f>Sheet1!B622</f>
        <v>诅咒之塔3(精英)</v>
      </c>
      <c r="C523">
        <f>Sheet1!Q622</f>
        <v>0</v>
      </c>
      <c r="D523">
        <f>Sheet1!R622</f>
        <v>0</v>
      </c>
      <c r="E523">
        <f>Sheet1!U622</f>
        <v>0</v>
      </c>
      <c r="F523" t="str">
        <f t="shared" ref="F523" si="2750">F522</f>
        <v>&lt;record id="</v>
      </c>
      <c r="G523" t="str">
        <f t="shared" ref="G523" si="2751">G522</f>
        <v>" posx="</v>
      </c>
      <c r="H523" t="str">
        <f t="shared" ref="H523" si="2752">H522</f>
        <v>" posy="</v>
      </c>
      <c r="I523" t="str">
        <f t="shared" ref="I523" si="2753">I522</f>
        <v>" dir="</v>
      </c>
      <c r="J523" t="str">
        <f t="shared" ref="J523" si="2754">J522</f>
        <v>"/&gt;</v>
      </c>
      <c r="K523" t="str">
        <f t="shared" ref="K523" si="2755">F523&amp;A523&amp;G523&amp;C523&amp;H523&amp;D523&amp;I523&amp;E523&amp;J523</f>
        <v>&lt;record id="180133" posx="0" posy="0" dir="0"/&gt;</v>
      </c>
    </row>
    <row r="524" spans="1:11">
      <c r="A524">
        <f>Sheet1!A623</f>
        <v>180134</v>
      </c>
      <c r="B524" t="str">
        <f>Sheet1!B623</f>
        <v>诅咒之塔4(精英)</v>
      </c>
      <c r="C524">
        <f>Sheet1!Q623</f>
        <v>0</v>
      </c>
      <c r="D524">
        <f>Sheet1!R623</f>
        <v>0</v>
      </c>
      <c r="E524">
        <f>Sheet1!U623</f>
        <v>0</v>
      </c>
      <c r="F524" t="str">
        <f t="shared" ref="F524" si="2756">F523</f>
        <v>&lt;record id="</v>
      </c>
      <c r="G524" t="str">
        <f t="shared" ref="G524" si="2757">G523</f>
        <v>" posx="</v>
      </c>
      <c r="H524" t="str">
        <f t="shared" ref="H524" si="2758">H523</f>
        <v>" posy="</v>
      </c>
      <c r="I524" t="str">
        <f t="shared" ref="I524" si="2759">I523</f>
        <v>" dir="</v>
      </c>
      <c r="J524" t="str">
        <f t="shared" ref="J524" si="2760">J523</f>
        <v>"/&gt;</v>
      </c>
      <c r="K524" t="str">
        <f t="shared" ref="K524" si="2761">F524&amp;A524&amp;G524&amp;C524&amp;H524&amp;D524&amp;I524&amp;E524&amp;J524</f>
        <v>&lt;record id="180134" posx="0" posy="0" dir="0"/&gt;</v>
      </c>
    </row>
    <row r="525" spans="1:11">
      <c r="A525">
        <f>Sheet1!A624</f>
        <v>180135</v>
      </c>
      <c r="B525" t="str">
        <f>Sheet1!B624</f>
        <v>诅咒之塔5(精英)</v>
      </c>
      <c r="C525">
        <f>Sheet1!Q624</f>
        <v>0</v>
      </c>
      <c r="D525">
        <f>Sheet1!R624</f>
        <v>0</v>
      </c>
      <c r="E525">
        <f>Sheet1!U624</f>
        <v>0</v>
      </c>
      <c r="F525" t="str">
        <f t="shared" ref="F525" si="2762">F524</f>
        <v>&lt;record id="</v>
      </c>
      <c r="G525" t="str">
        <f t="shared" ref="G525" si="2763">G524</f>
        <v>" posx="</v>
      </c>
      <c r="H525" t="str">
        <f t="shared" ref="H525" si="2764">H524</f>
        <v>" posy="</v>
      </c>
      <c r="I525" t="str">
        <f t="shared" ref="I525" si="2765">I524</f>
        <v>" dir="</v>
      </c>
      <c r="J525" t="str">
        <f t="shared" ref="J525" si="2766">J524</f>
        <v>"/&gt;</v>
      </c>
      <c r="K525" t="str">
        <f t="shared" ref="K525" si="2767">F525&amp;A525&amp;G525&amp;C525&amp;H525&amp;D525&amp;I525&amp;E525&amp;J525</f>
        <v>&lt;record id="180135" posx="0" posy="0" dir="0"/&gt;</v>
      </c>
    </row>
    <row r="526" spans="1:11">
      <c r="A526">
        <f>Sheet1!A625</f>
        <v>180141</v>
      </c>
      <c r="B526" t="str">
        <f>Sheet1!B625</f>
        <v>组队副本预留</v>
      </c>
      <c r="C526">
        <f>Sheet1!Q625</f>
        <v>0</v>
      </c>
      <c r="D526">
        <f>Sheet1!R625</f>
        <v>0</v>
      </c>
      <c r="E526">
        <f>Sheet1!U625</f>
        <v>0</v>
      </c>
      <c r="F526" t="str">
        <f t="shared" ref="F526" si="2768">F525</f>
        <v>&lt;record id="</v>
      </c>
      <c r="G526" t="str">
        <f t="shared" ref="G526" si="2769">G525</f>
        <v>" posx="</v>
      </c>
      <c r="H526" t="str">
        <f t="shared" ref="H526" si="2770">H525</f>
        <v>" posy="</v>
      </c>
      <c r="I526" t="str">
        <f t="shared" ref="I526" si="2771">I525</f>
        <v>" dir="</v>
      </c>
      <c r="J526" t="str">
        <f t="shared" ref="J526" si="2772">J525</f>
        <v>"/&gt;</v>
      </c>
      <c r="K526" t="str">
        <f t="shared" ref="K526" si="2773">F526&amp;A526&amp;G526&amp;C526&amp;H526&amp;D526&amp;I526&amp;E526&amp;J526</f>
        <v>&lt;record id="180141" posx="0" posy="0" dir="0"/&gt;</v>
      </c>
    </row>
    <row r="527" spans="1:11">
      <c r="A527">
        <f>Sheet1!A626</f>
        <v>180142</v>
      </c>
      <c r="B527" t="str">
        <f>Sheet1!B626</f>
        <v>组队副本预留</v>
      </c>
      <c r="C527">
        <f>Sheet1!Q626</f>
        <v>0</v>
      </c>
      <c r="D527">
        <f>Sheet1!R626</f>
        <v>0</v>
      </c>
      <c r="E527">
        <f>Sheet1!U626</f>
        <v>0</v>
      </c>
      <c r="F527" t="str">
        <f t="shared" ref="F527" si="2774">F526</f>
        <v>&lt;record id="</v>
      </c>
      <c r="G527" t="str">
        <f t="shared" ref="G527" si="2775">G526</f>
        <v>" posx="</v>
      </c>
      <c r="H527" t="str">
        <f t="shared" ref="H527" si="2776">H526</f>
        <v>" posy="</v>
      </c>
      <c r="I527" t="str">
        <f t="shared" ref="I527" si="2777">I526</f>
        <v>" dir="</v>
      </c>
      <c r="J527" t="str">
        <f t="shared" ref="J527" si="2778">J526</f>
        <v>"/&gt;</v>
      </c>
      <c r="K527" t="str">
        <f t="shared" ref="K527" si="2779">F527&amp;A527&amp;G527&amp;C527&amp;H527&amp;D527&amp;I527&amp;E527&amp;J527</f>
        <v>&lt;record id="180142" posx="0" posy="0" dir="0"/&gt;</v>
      </c>
    </row>
    <row r="528" spans="1:11">
      <c r="A528">
        <f>Sheet1!A627</f>
        <v>180143</v>
      </c>
      <c r="B528" t="str">
        <f>Sheet1!B627</f>
        <v>组队副本预留</v>
      </c>
      <c r="C528">
        <f>Sheet1!Q627</f>
        <v>0</v>
      </c>
      <c r="D528">
        <f>Sheet1!R627</f>
        <v>0</v>
      </c>
      <c r="E528">
        <f>Sheet1!U627</f>
        <v>0</v>
      </c>
      <c r="F528" t="str">
        <f t="shared" ref="F528" si="2780">F527</f>
        <v>&lt;record id="</v>
      </c>
      <c r="G528" t="str">
        <f t="shared" ref="G528" si="2781">G527</f>
        <v>" posx="</v>
      </c>
      <c r="H528" t="str">
        <f t="shared" ref="H528" si="2782">H527</f>
        <v>" posy="</v>
      </c>
      <c r="I528" t="str">
        <f t="shared" ref="I528" si="2783">I527</f>
        <v>" dir="</v>
      </c>
      <c r="J528" t="str">
        <f t="shared" ref="J528" si="2784">J527</f>
        <v>"/&gt;</v>
      </c>
      <c r="K528" t="str">
        <f t="shared" ref="K528" si="2785">F528&amp;A528&amp;G528&amp;C528&amp;H528&amp;D528&amp;I528&amp;E528&amp;J528</f>
        <v>&lt;record id="180143" posx="0" posy="0" dir="0"/&gt;</v>
      </c>
    </row>
    <row r="529" spans="1:11">
      <c r="A529">
        <f>Sheet1!A628</f>
        <v>180144</v>
      </c>
      <c r="B529" t="str">
        <f>Sheet1!B628</f>
        <v>蛟龙</v>
      </c>
      <c r="C529">
        <f>Sheet1!Q628</f>
        <v>0</v>
      </c>
      <c r="D529">
        <f>Sheet1!R628</f>
        <v>0</v>
      </c>
      <c r="E529">
        <f>Sheet1!U628</f>
        <v>0</v>
      </c>
      <c r="F529" t="str">
        <f t="shared" ref="F529" si="2786">F528</f>
        <v>&lt;record id="</v>
      </c>
      <c r="G529" t="str">
        <f t="shared" ref="G529" si="2787">G528</f>
        <v>" posx="</v>
      </c>
      <c r="H529" t="str">
        <f t="shared" ref="H529" si="2788">H528</f>
        <v>" posy="</v>
      </c>
      <c r="I529" t="str">
        <f t="shared" ref="I529" si="2789">I528</f>
        <v>" dir="</v>
      </c>
      <c r="J529" t="str">
        <f t="shared" ref="J529" si="2790">J528</f>
        <v>"/&gt;</v>
      </c>
      <c r="K529" t="str">
        <f t="shared" ref="K529" si="2791">F529&amp;A529&amp;G529&amp;C529&amp;H529&amp;D529&amp;I529&amp;E529&amp;J529</f>
        <v>&lt;record id="180144" posx="0" posy="0" dir="0"/&gt;</v>
      </c>
    </row>
    <row r="530" spans="1:11">
      <c r="A530">
        <f>Sheet1!A629</f>
        <v>180145</v>
      </c>
      <c r="B530" t="str">
        <f>Sheet1!B629</f>
        <v>组队副本预留</v>
      </c>
      <c r="C530">
        <f>Sheet1!Q629</f>
        <v>0</v>
      </c>
      <c r="D530">
        <f>Sheet1!R629</f>
        <v>0</v>
      </c>
      <c r="E530">
        <f>Sheet1!U629</f>
        <v>0</v>
      </c>
      <c r="F530" t="str">
        <f t="shared" ref="F530" si="2792">F529</f>
        <v>&lt;record id="</v>
      </c>
      <c r="G530" t="str">
        <f t="shared" ref="G530" si="2793">G529</f>
        <v>" posx="</v>
      </c>
      <c r="H530" t="str">
        <f t="shared" ref="H530" si="2794">H529</f>
        <v>" posy="</v>
      </c>
      <c r="I530" t="str">
        <f t="shared" ref="I530" si="2795">I529</f>
        <v>" dir="</v>
      </c>
      <c r="J530" t="str">
        <f t="shared" ref="J530" si="2796">J529</f>
        <v>"/&gt;</v>
      </c>
      <c r="K530" t="str">
        <f t="shared" ref="K530" si="2797">F530&amp;A530&amp;G530&amp;C530&amp;H530&amp;D530&amp;I530&amp;E530&amp;J530</f>
        <v>&lt;record id="180145" posx="0" posy="0" dir="0"/&gt;</v>
      </c>
    </row>
    <row r="531" spans="1:11">
      <c r="A531">
        <f>Sheet1!A630</f>
        <v>180151</v>
      </c>
      <c r="B531" t="str">
        <f>Sheet1!B630</f>
        <v>组队副本预留</v>
      </c>
      <c r="C531">
        <f>Sheet1!Q630</f>
        <v>0</v>
      </c>
      <c r="D531">
        <f>Sheet1!R630</f>
        <v>0</v>
      </c>
      <c r="E531">
        <f>Sheet1!U630</f>
        <v>0</v>
      </c>
      <c r="F531" t="str">
        <f t="shared" ref="F531" si="2798">F530</f>
        <v>&lt;record id="</v>
      </c>
      <c r="G531" t="str">
        <f t="shared" ref="G531" si="2799">G530</f>
        <v>" posx="</v>
      </c>
      <c r="H531" t="str">
        <f t="shared" ref="H531" si="2800">H530</f>
        <v>" posy="</v>
      </c>
      <c r="I531" t="str">
        <f t="shared" ref="I531" si="2801">I530</f>
        <v>" dir="</v>
      </c>
      <c r="J531" t="str">
        <f t="shared" ref="J531" si="2802">J530</f>
        <v>"/&gt;</v>
      </c>
      <c r="K531" t="str">
        <f t="shared" ref="K531" si="2803">F531&amp;A531&amp;G531&amp;C531&amp;H531&amp;D531&amp;I531&amp;E531&amp;J531</f>
        <v>&lt;record id="180151" posx="0" posy="0" dir="0"/&gt;</v>
      </c>
    </row>
    <row r="532" spans="1:11">
      <c r="A532">
        <f>Sheet1!A631</f>
        <v>180152</v>
      </c>
      <c r="B532" t="str">
        <f>Sheet1!B631</f>
        <v>组队副本预留</v>
      </c>
      <c r="C532">
        <f>Sheet1!Q631</f>
        <v>0</v>
      </c>
      <c r="D532">
        <f>Sheet1!R631</f>
        <v>0</v>
      </c>
      <c r="E532">
        <f>Sheet1!U631</f>
        <v>0</v>
      </c>
      <c r="F532" t="str">
        <f t="shared" ref="F532" si="2804">F531</f>
        <v>&lt;record id="</v>
      </c>
      <c r="G532" t="str">
        <f t="shared" ref="G532" si="2805">G531</f>
        <v>" posx="</v>
      </c>
      <c r="H532" t="str">
        <f t="shared" ref="H532" si="2806">H531</f>
        <v>" posy="</v>
      </c>
      <c r="I532" t="str">
        <f t="shared" ref="I532" si="2807">I531</f>
        <v>" dir="</v>
      </c>
      <c r="J532" t="str">
        <f t="shared" ref="J532" si="2808">J531</f>
        <v>"/&gt;</v>
      </c>
      <c r="K532" t="str">
        <f t="shared" ref="K532" si="2809">F532&amp;A532&amp;G532&amp;C532&amp;H532&amp;D532&amp;I532&amp;E532&amp;J532</f>
        <v>&lt;record id="180152" posx="0" posy="0" dir="0"/&gt;</v>
      </c>
    </row>
    <row r="533" spans="1:11">
      <c r="A533">
        <f>Sheet1!A632</f>
        <v>180153</v>
      </c>
      <c r="B533" t="str">
        <f>Sheet1!B632</f>
        <v>组队副本预留</v>
      </c>
      <c r="C533">
        <f>Sheet1!Q632</f>
        <v>0</v>
      </c>
      <c r="D533">
        <f>Sheet1!R632</f>
        <v>0</v>
      </c>
      <c r="E533">
        <f>Sheet1!U632</f>
        <v>0</v>
      </c>
      <c r="F533" t="str">
        <f t="shared" ref="F533" si="2810">F532</f>
        <v>&lt;record id="</v>
      </c>
      <c r="G533" t="str">
        <f t="shared" ref="G533" si="2811">G532</f>
        <v>" posx="</v>
      </c>
      <c r="H533" t="str">
        <f t="shared" ref="H533" si="2812">H532</f>
        <v>" posy="</v>
      </c>
      <c r="I533" t="str">
        <f t="shared" ref="I533" si="2813">I532</f>
        <v>" dir="</v>
      </c>
      <c r="J533" t="str">
        <f t="shared" ref="J533" si="2814">J532</f>
        <v>"/&gt;</v>
      </c>
      <c r="K533" t="str">
        <f t="shared" ref="K533" si="2815">F533&amp;A533&amp;G533&amp;C533&amp;H533&amp;D533&amp;I533&amp;E533&amp;J533</f>
        <v>&lt;record id="180153" posx="0" posy="0" dir="0"/&gt;</v>
      </c>
    </row>
    <row r="534" spans="1:11">
      <c r="A534">
        <f>Sheet1!A633</f>
        <v>180154</v>
      </c>
      <c r="B534" t="str">
        <f>Sheet1!B633</f>
        <v>组队副本预留</v>
      </c>
      <c r="C534">
        <f>Sheet1!Q633</f>
        <v>0</v>
      </c>
      <c r="D534">
        <f>Sheet1!R633</f>
        <v>0</v>
      </c>
      <c r="E534">
        <f>Sheet1!U633</f>
        <v>0</v>
      </c>
      <c r="F534" t="str">
        <f t="shared" ref="F534" si="2816">F533</f>
        <v>&lt;record id="</v>
      </c>
      <c r="G534" t="str">
        <f t="shared" ref="G534" si="2817">G533</f>
        <v>" posx="</v>
      </c>
      <c r="H534" t="str">
        <f t="shared" ref="H534" si="2818">H533</f>
        <v>" posy="</v>
      </c>
      <c r="I534" t="str">
        <f t="shared" ref="I534" si="2819">I533</f>
        <v>" dir="</v>
      </c>
      <c r="J534" t="str">
        <f t="shared" ref="J534" si="2820">J533</f>
        <v>"/&gt;</v>
      </c>
      <c r="K534" t="str">
        <f t="shared" ref="K534" si="2821">F534&amp;A534&amp;G534&amp;C534&amp;H534&amp;D534&amp;I534&amp;E534&amp;J534</f>
        <v>&lt;record id="180154" posx="0" posy="0" dir="0"/&gt;</v>
      </c>
    </row>
    <row r="535" spans="1:11">
      <c r="A535">
        <f>Sheet1!A634</f>
        <v>180155</v>
      </c>
      <c r="B535" t="str">
        <f>Sheet1!B634</f>
        <v>组队副本预留</v>
      </c>
      <c r="C535">
        <f>Sheet1!Q634</f>
        <v>0</v>
      </c>
      <c r="D535">
        <f>Sheet1!R634</f>
        <v>0</v>
      </c>
      <c r="E535">
        <f>Sheet1!U634</f>
        <v>0</v>
      </c>
      <c r="F535" t="str">
        <f t="shared" ref="F535" si="2822">F534</f>
        <v>&lt;record id="</v>
      </c>
      <c r="G535" t="str">
        <f t="shared" ref="G535" si="2823">G534</f>
        <v>" posx="</v>
      </c>
      <c r="H535" t="str">
        <f t="shared" ref="H535" si="2824">H534</f>
        <v>" posy="</v>
      </c>
      <c r="I535" t="str">
        <f t="shared" ref="I535" si="2825">I534</f>
        <v>" dir="</v>
      </c>
      <c r="J535" t="str">
        <f t="shared" ref="J535" si="2826">J534</f>
        <v>"/&gt;</v>
      </c>
      <c r="K535" t="str">
        <f t="shared" ref="K535" si="2827">F535&amp;A535&amp;G535&amp;C535&amp;H535&amp;D535&amp;I535&amp;E535&amp;J535</f>
        <v>&lt;record id="180155" posx="0" posy="0" dir="0"/&gt;</v>
      </c>
    </row>
    <row r="536" spans="1:11">
      <c r="A536">
        <f>Sheet1!A635</f>
        <v>180161</v>
      </c>
      <c r="B536" t="str">
        <f>Sheet1!B635</f>
        <v>组队副本预留</v>
      </c>
      <c r="C536">
        <f>Sheet1!Q635</f>
        <v>0</v>
      </c>
      <c r="D536">
        <f>Sheet1!R635</f>
        <v>0</v>
      </c>
      <c r="E536">
        <f>Sheet1!U635</f>
        <v>0</v>
      </c>
      <c r="F536" t="str">
        <f t="shared" ref="F536" si="2828">F535</f>
        <v>&lt;record id="</v>
      </c>
      <c r="G536" t="str">
        <f t="shared" ref="G536" si="2829">G535</f>
        <v>" posx="</v>
      </c>
      <c r="H536" t="str">
        <f t="shared" ref="H536" si="2830">H535</f>
        <v>" posy="</v>
      </c>
      <c r="I536" t="str">
        <f t="shared" ref="I536" si="2831">I535</f>
        <v>" dir="</v>
      </c>
      <c r="J536" t="str">
        <f t="shared" ref="J536" si="2832">J535</f>
        <v>"/&gt;</v>
      </c>
      <c r="K536" t="str">
        <f t="shared" ref="K536" si="2833">F536&amp;A536&amp;G536&amp;C536&amp;H536&amp;D536&amp;I536&amp;E536&amp;J536</f>
        <v>&lt;record id="180161" posx="0" posy="0" dir="0"/&gt;</v>
      </c>
    </row>
    <row r="537" spans="1:11">
      <c r="A537">
        <f>Sheet1!A636</f>
        <v>180162</v>
      </c>
      <c r="B537" t="str">
        <f>Sheet1!B636</f>
        <v>组队副本预留</v>
      </c>
      <c r="C537">
        <f>Sheet1!Q636</f>
        <v>0</v>
      </c>
      <c r="D537">
        <f>Sheet1!R636</f>
        <v>0</v>
      </c>
      <c r="E537">
        <f>Sheet1!U636</f>
        <v>0</v>
      </c>
      <c r="F537" t="str">
        <f t="shared" ref="F537" si="2834">F536</f>
        <v>&lt;record id="</v>
      </c>
      <c r="G537" t="str">
        <f t="shared" ref="G537" si="2835">G536</f>
        <v>" posx="</v>
      </c>
      <c r="H537" t="str">
        <f t="shared" ref="H537" si="2836">H536</f>
        <v>" posy="</v>
      </c>
      <c r="I537" t="str">
        <f t="shared" ref="I537" si="2837">I536</f>
        <v>" dir="</v>
      </c>
      <c r="J537" t="str">
        <f t="shared" ref="J537" si="2838">J536</f>
        <v>"/&gt;</v>
      </c>
      <c r="K537" t="str">
        <f t="shared" ref="K537" si="2839">F537&amp;A537&amp;G537&amp;C537&amp;H537&amp;D537&amp;I537&amp;E537&amp;J537</f>
        <v>&lt;record id="180162" posx="0" posy="0" dir="0"/&gt;</v>
      </c>
    </row>
    <row r="538" spans="1:11">
      <c r="A538">
        <f>Sheet1!A637</f>
        <v>180163</v>
      </c>
      <c r="B538" t="str">
        <f>Sheet1!B637</f>
        <v>组队副本预留</v>
      </c>
      <c r="C538">
        <f>Sheet1!Q637</f>
        <v>0</v>
      </c>
      <c r="D538">
        <f>Sheet1!R637</f>
        <v>0</v>
      </c>
      <c r="E538">
        <f>Sheet1!U637</f>
        <v>0</v>
      </c>
      <c r="F538" t="str">
        <f t="shared" ref="F538" si="2840">F537</f>
        <v>&lt;record id="</v>
      </c>
      <c r="G538" t="str">
        <f t="shared" ref="G538" si="2841">G537</f>
        <v>" posx="</v>
      </c>
      <c r="H538" t="str">
        <f t="shared" ref="H538" si="2842">H537</f>
        <v>" posy="</v>
      </c>
      <c r="I538" t="str">
        <f t="shared" ref="I538" si="2843">I537</f>
        <v>" dir="</v>
      </c>
      <c r="J538" t="str">
        <f t="shared" ref="J538" si="2844">J537</f>
        <v>"/&gt;</v>
      </c>
      <c r="K538" t="str">
        <f t="shared" ref="K538" si="2845">F538&amp;A538&amp;G538&amp;C538&amp;H538&amp;D538&amp;I538&amp;E538&amp;J538</f>
        <v>&lt;record id="180163" posx="0" posy="0" dir="0"/&gt;</v>
      </c>
    </row>
    <row r="539" spans="1:11">
      <c r="A539">
        <f>Sheet1!A638</f>
        <v>180164</v>
      </c>
      <c r="B539" t="str">
        <f>Sheet1!B638</f>
        <v>组队副本预留</v>
      </c>
      <c r="C539">
        <f>Sheet1!Q638</f>
        <v>0</v>
      </c>
      <c r="D539">
        <f>Sheet1!R638</f>
        <v>0</v>
      </c>
      <c r="E539">
        <f>Sheet1!U638</f>
        <v>0</v>
      </c>
      <c r="F539" t="str">
        <f t="shared" ref="F539" si="2846">F538</f>
        <v>&lt;record id="</v>
      </c>
      <c r="G539" t="str">
        <f t="shared" ref="G539" si="2847">G538</f>
        <v>" posx="</v>
      </c>
      <c r="H539" t="str">
        <f t="shared" ref="H539" si="2848">H538</f>
        <v>" posy="</v>
      </c>
      <c r="I539" t="str">
        <f t="shared" ref="I539" si="2849">I538</f>
        <v>" dir="</v>
      </c>
      <c r="J539" t="str">
        <f t="shared" ref="J539" si="2850">J538</f>
        <v>"/&gt;</v>
      </c>
      <c r="K539" t="str">
        <f t="shared" ref="K539" si="2851">F539&amp;A539&amp;G539&amp;C539&amp;H539&amp;D539&amp;I539&amp;E539&amp;J539</f>
        <v>&lt;record id="180164" posx="0" posy="0" dir="0"/&gt;</v>
      </c>
    </row>
    <row r="540" spans="1:11">
      <c r="A540">
        <f>Sheet1!A639</f>
        <v>180165</v>
      </c>
      <c r="B540" t="str">
        <f>Sheet1!B639</f>
        <v>组队副本预留</v>
      </c>
      <c r="C540">
        <f>Sheet1!Q639</f>
        <v>0</v>
      </c>
      <c r="D540">
        <f>Sheet1!R639</f>
        <v>0</v>
      </c>
      <c r="E540">
        <f>Sheet1!U639</f>
        <v>0</v>
      </c>
      <c r="F540" t="str">
        <f t="shared" ref="F540" si="2852">F539</f>
        <v>&lt;record id="</v>
      </c>
      <c r="G540" t="str">
        <f t="shared" ref="G540" si="2853">G539</f>
        <v>" posx="</v>
      </c>
      <c r="H540" t="str">
        <f t="shared" ref="H540" si="2854">H539</f>
        <v>" posy="</v>
      </c>
      <c r="I540" t="str">
        <f t="shared" ref="I540" si="2855">I539</f>
        <v>" dir="</v>
      </c>
      <c r="J540" t="str">
        <f t="shared" ref="J540" si="2856">J539</f>
        <v>"/&gt;</v>
      </c>
      <c r="K540" t="str">
        <f t="shared" ref="K540" si="2857">F540&amp;A540&amp;G540&amp;C540&amp;H540&amp;D540&amp;I540&amp;E540&amp;J540</f>
        <v>&lt;record id="180165" posx="0" posy="0" dir="0"/&gt;</v>
      </c>
    </row>
    <row r="541" spans="1:11">
      <c r="A541">
        <f>Sheet1!A640</f>
        <v>180171</v>
      </c>
      <c r="B541" t="str">
        <f>Sheet1!B640</f>
        <v>组队副本预留</v>
      </c>
      <c r="C541">
        <f>Sheet1!Q640</f>
        <v>0</v>
      </c>
      <c r="D541">
        <f>Sheet1!R640</f>
        <v>0</v>
      </c>
      <c r="E541">
        <f>Sheet1!U640</f>
        <v>0</v>
      </c>
      <c r="F541" t="str">
        <f t="shared" ref="F541" si="2858">F540</f>
        <v>&lt;record id="</v>
      </c>
      <c r="G541" t="str">
        <f t="shared" ref="G541" si="2859">G540</f>
        <v>" posx="</v>
      </c>
      <c r="H541" t="str">
        <f t="shared" ref="H541" si="2860">H540</f>
        <v>" posy="</v>
      </c>
      <c r="I541" t="str">
        <f t="shared" ref="I541" si="2861">I540</f>
        <v>" dir="</v>
      </c>
      <c r="J541" t="str">
        <f t="shared" ref="J541:J546" si="2862">J540</f>
        <v>"/&gt;</v>
      </c>
      <c r="K541" t="str">
        <f t="shared" ref="K541" si="2863">F541&amp;A541&amp;G541&amp;C541&amp;H541&amp;D541&amp;I541&amp;E541&amp;J541</f>
        <v>&lt;record id="180171" posx="0" posy="0" dir="0"/&gt;</v>
      </c>
    </row>
    <row r="542" spans="1:11">
      <c r="A542">
        <f>Sheet1!A641</f>
        <v>180172</v>
      </c>
      <c r="B542" t="str">
        <f>Sheet1!B641</f>
        <v>组队副本预留</v>
      </c>
      <c r="C542">
        <f>Sheet1!Q641</f>
        <v>0</v>
      </c>
      <c r="D542">
        <f>Sheet1!R641</f>
        <v>0</v>
      </c>
      <c r="E542">
        <f>Sheet1!U641</f>
        <v>0</v>
      </c>
      <c r="F542" t="str">
        <f t="shared" ref="F542:F547" si="2864">F541</f>
        <v>&lt;record id="</v>
      </c>
      <c r="G542" t="str">
        <f t="shared" ref="G542" si="2865">G541</f>
        <v>" posx="</v>
      </c>
      <c r="H542" t="str">
        <f t="shared" ref="H542" si="2866">H541</f>
        <v>" posy="</v>
      </c>
      <c r="I542" t="str">
        <f t="shared" ref="I542:I546" si="2867">I541</f>
        <v>" dir="</v>
      </c>
      <c r="J542" t="str">
        <f t="shared" si="2862"/>
        <v>"/&gt;</v>
      </c>
      <c r="K542" t="str">
        <f t="shared" ref="K542:K547" si="2868">F542&amp;A542&amp;G542&amp;C542&amp;H542&amp;D542&amp;I542&amp;E542&amp;J542</f>
        <v>&lt;record id="180172" posx="0" posy="0" dir="0"/&gt;</v>
      </c>
    </row>
    <row r="543" spans="1:11">
      <c r="A543">
        <f>Sheet1!A642</f>
        <v>180173</v>
      </c>
      <c r="B543" t="str">
        <f>Sheet1!B642</f>
        <v>组队副本预留</v>
      </c>
      <c r="C543">
        <f>Sheet1!Q642</f>
        <v>0</v>
      </c>
      <c r="D543">
        <f>Sheet1!R642</f>
        <v>0</v>
      </c>
      <c r="E543">
        <f>Sheet1!U642</f>
        <v>0</v>
      </c>
      <c r="F543" t="str">
        <f t="shared" si="2864"/>
        <v>&lt;record id="</v>
      </c>
      <c r="G543" t="str">
        <f t="shared" ref="G543" si="2869">G542</f>
        <v>" posx="</v>
      </c>
      <c r="H543" t="str">
        <f t="shared" ref="H543:H546" si="2870">H542</f>
        <v>" posy="</v>
      </c>
      <c r="I543" t="str">
        <f t="shared" si="2867"/>
        <v>" dir="</v>
      </c>
      <c r="J543" t="str">
        <f t="shared" si="2862"/>
        <v>"/&gt;</v>
      </c>
      <c r="K543" t="str">
        <f t="shared" si="2868"/>
        <v>&lt;record id="180173" posx="0" posy="0" dir="0"/&gt;</v>
      </c>
    </row>
    <row r="544" spans="1:11">
      <c r="A544">
        <f>Sheet1!A643</f>
        <v>180174</v>
      </c>
      <c r="B544" t="str">
        <f>Sheet1!B643</f>
        <v>组队副本预留</v>
      </c>
      <c r="C544">
        <f>Sheet1!Q643</f>
        <v>0</v>
      </c>
      <c r="D544">
        <f>Sheet1!R643</f>
        <v>0</v>
      </c>
      <c r="E544">
        <f>Sheet1!U643</f>
        <v>0</v>
      </c>
      <c r="F544" t="str">
        <f t="shared" si="2864"/>
        <v>&lt;record id="</v>
      </c>
      <c r="G544" t="str">
        <f t="shared" ref="G544:G546" si="2871">G543</f>
        <v>" posx="</v>
      </c>
      <c r="H544" t="str">
        <f t="shared" si="2870"/>
        <v>" posy="</v>
      </c>
      <c r="I544" t="str">
        <f t="shared" si="2867"/>
        <v>" dir="</v>
      </c>
      <c r="J544" t="str">
        <f t="shared" si="2862"/>
        <v>"/&gt;</v>
      </c>
      <c r="K544" t="str">
        <f t="shared" si="2868"/>
        <v>&lt;record id="180174" posx="0" posy="0" dir="0"/&gt;</v>
      </c>
    </row>
    <row r="545" spans="1:11">
      <c r="A545">
        <f>Sheet1!A644</f>
        <v>180175</v>
      </c>
      <c r="B545" t="str">
        <f>Sheet1!B644</f>
        <v>组队副本预留</v>
      </c>
      <c r="C545">
        <f>Sheet1!Q644</f>
        <v>0</v>
      </c>
      <c r="D545">
        <f>Sheet1!R644</f>
        <v>0</v>
      </c>
      <c r="E545">
        <f>Sheet1!U644</f>
        <v>0</v>
      </c>
      <c r="F545" t="str">
        <f t="shared" si="2864"/>
        <v>&lt;record id="</v>
      </c>
      <c r="G545" t="str">
        <f t="shared" si="2871"/>
        <v>" posx="</v>
      </c>
      <c r="H545" t="str">
        <f t="shared" si="2870"/>
        <v>" posy="</v>
      </c>
      <c r="I545" t="str">
        <f t="shared" si="2867"/>
        <v>" dir="</v>
      </c>
      <c r="J545" t="str">
        <f t="shared" si="2862"/>
        <v>"/&gt;</v>
      </c>
      <c r="K545" t="str">
        <f t="shared" si="2868"/>
        <v>&lt;record id="180175" posx="0" posy="0" dir="0"/&gt;</v>
      </c>
    </row>
    <row r="546" spans="1:11">
      <c r="A546">
        <f>Sheet1!A645</f>
        <v>180181</v>
      </c>
      <c r="B546" t="str">
        <f>Sheet1!B645</f>
        <v>组队副本预留</v>
      </c>
      <c r="C546">
        <f>Sheet1!Q645</f>
        <v>0</v>
      </c>
      <c r="D546">
        <f>Sheet1!R645</f>
        <v>0</v>
      </c>
      <c r="E546">
        <f>Sheet1!U645</f>
        <v>0</v>
      </c>
      <c r="F546" t="str">
        <f t="shared" si="2864"/>
        <v>&lt;record id="</v>
      </c>
      <c r="G546" t="str">
        <f t="shared" si="2871"/>
        <v>" posx="</v>
      </c>
      <c r="H546" t="str">
        <f t="shared" si="2870"/>
        <v>" posy="</v>
      </c>
      <c r="I546" t="str">
        <f t="shared" si="2867"/>
        <v>" dir="</v>
      </c>
      <c r="J546" t="str">
        <f t="shared" si="2862"/>
        <v>"/&gt;</v>
      </c>
      <c r="K546" t="str">
        <f t="shared" si="2868"/>
        <v>&lt;record id="180181" posx="0" posy="0" dir="0"/&gt;</v>
      </c>
    </row>
    <row r="547" spans="1:11">
      <c r="A547">
        <f>Sheet1!A646</f>
        <v>180182</v>
      </c>
      <c r="B547" t="str">
        <f>Sheet1!B646</f>
        <v>蛟龙</v>
      </c>
      <c r="C547">
        <f>Sheet1!Q646</f>
        <v>0</v>
      </c>
      <c r="D547">
        <f>Sheet1!R646</f>
        <v>0</v>
      </c>
      <c r="E547">
        <f>Sheet1!U646</f>
        <v>0</v>
      </c>
      <c r="F547" t="str">
        <f t="shared" si="2864"/>
        <v>&lt;record id="</v>
      </c>
      <c r="G547" t="str">
        <f t="shared" ref="G547" si="2872">G546</f>
        <v>" posx="</v>
      </c>
      <c r="H547" t="str">
        <f t="shared" ref="H547" si="2873">H546</f>
        <v>" posy="</v>
      </c>
      <c r="I547" t="str">
        <f t="shared" ref="I547" si="2874">I546</f>
        <v>" dir="</v>
      </c>
      <c r="J547" t="str">
        <f t="shared" ref="J547" si="2875">J546</f>
        <v>"/&gt;</v>
      </c>
      <c r="K547" t="str">
        <f t="shared" si="2868"/>
        <v>&lt;record id="180182" posx="0" posy="0" dir="0"/&gt;</v>
      </c>
    </row>
    <row r="548" spans="1:11">
      <c r="A548">
        <f>Sheet1!A647</f>
        <v>180183</v>
      </c>
      <c r="B548" t="str">
        <f>Sheet1!B647</f>
        <v>组队副本预留</v>
      </c>
      <c r="C548">
        <f>Sheet1!Q647</f>
        <v>0</v>
      </c>
      <c r="D548">
        <f>Sheet1!R647</f>
        <v>0</v>
      </c>
      <c r="E548">
        <f>Sheet1!U647</f>
        <v>0</v>
      </c>
      <c r="F548" t="str">
        <f t="shared" ref="F548" si="2876">F547</f>
        <v>&lt;record id="</v>
      </c>
      <c r="G548" t="str">
        <f t="shared" ref="G548" si="2877">G547</f>
        <v>" posx="</v>
      </c>
      <c r="H548" t="str">
        <f t="shared" ref="H548" si="2878">H547</f>
        <v>" posy="</v>
      </c>
      <c r="I548" t="str">
        <f t="shared" ref="I548" si="2879">I547</f>
        <v>" dir="</v>
      </c>
      <c r="J548" t="str">
        <f t="shared" ref="J548" si="2880">J547</f>
        <v>"/&gt;</v>
      </c>
      <c r="K548" t="str">
        <f t="shared" ref="K548" si="2881">F548&amp;A548&amp;G548&amp;C548&amp;H548&amp;D548&amp;I548&amp;E548&amp;J548</f>
        <v>&lt;record id="180183" posx="0" posy="0" dir="0"/&gt;</v>
      </c>
    </row>
    <row r="549" spans="1:11">
      <c r="A549">
        <f>Sheet1!A648</f>
        <v>180184</v>
      </c>
      <c r="B549" t="str">
        <f>Sheet1!B648</f>
        <v>组队副本预留</v>
      </c>
      <c r="C549">
        <f>Sheet1!Q648</f>
        <v>0</v>
      </c>
      <c r="D549">
        <f>Sheet1!R648</f>
        <v>0</v>
      </c>
      <c r="E549">
        <f>Sheet1!U648</f>
        <v>0</v>
      </c>
      <c r="F549" t="str">
        <f t="shared" ref="F549" si="2882">F548</f>
        <v>&lt;record id="</v>
      </c>
      <c r="G549" t="str">
        <f t="shared" ref="G549" si="2883">G548</f>
        <v>" posx="</v>
      </c>
      <c r="H549" t="str">
        <f t="shared" ref="H549" si="2884">H548</f>
        <v>" posy="</v>
      </c>
      <c r="I549" t="str">
        <f t="shared" ref="I549" si="2885">I548</f>
        <v>" dir="</v>
      </c>
      <c r="J549" t="str">
        <f t="shared" ref="J549" si="2886">J548</f>
        <v>"/&gt;</v>
      </c>
      <c r="K549" t="str">
        <f t="shared" ref="K549" si="2887">F549&amp;A549&amp;G549&amp;C549&amp;H549&amp;D549&amp;I549&amp;E549&amp;J549</f>
        <v>&lt;record id="180184" posx="0" posy="0" dir="0"/&gt;</v>
      </c>
    </row>
    <row r="550" spans="1:11">
      <c r="A550">
        <f>Sheet1!A649</f>
        <v>180185</v>
      </c>
      <c r="B550" t="str">
        <f>Sheet1!B649</f>
        <v>组队副本预留</v>
      </c>
      <c r="C550">
        <f>Sheet1!Q649</f>
        <v>0</v>
      </c>
      <c r="D550">
        <f>Sheet1!R649</f>
        <v>0</v>
      </c>
      <c r="E550">
        <f>Sheet1!U649</f>
        <v>0</v>
      </c>
      <c r="F550" t="str">
        <f t="shared" ref="F550" si="2888">F549</f>
        <v>&lt;record id="</v>
      </c>
      <c r="G550" t="str">
        <f t="shared" ref="G550" si="2889">G549</f>
        <v>" posx="</v>
      </c>
      <c r="H550" t="str">
        <f t="shared" ref="H550" si="2890">H549</f>
        <v>" posy="</v>
      </c>
      <c r="I550" t="str">
        <f t="shared" ref="I550" si="2891">I549</f>
        <v>" dir="</v>
      </c>
      <c r="J550" t="str">
        <f t="shared" ref="J550" si="2892">J549</f>
        <v>"/&gt;</v>
      </c>
      <c r="K550" t="str">
        <f t="shared" ref="K550" si="2893">F550&amp;A550&amp;G550&amp;C550&amp;H550&amp;D550&amp;I550&amp;E550&amp;J550</f>
        <v>&lt;record id="180185" posx="0" posy="0" dir="0"/&gt;</v>
      </c>
    </row>
    <row r="551" spans="1:11">
      <c r="A551">
        <f>Sheet1!A650</f>
        <v>180191</v>
      </c>
      <c r="B551" t="str">
        <f>Sheet1!B650</f>
        <v>组队副本预留</v>
      </c>
      <c r="C551">
        <f>Sheet1!Q650</f>
        <v>0</v>
      </c>
      <c r="D551">
        <f>Sheet1!R650</f>
        <v>0</v>
      </c>
      <c r="E551">
        <f>Sheet1!U650</f>
        <v>0</v>
      </c>
      <c r="F551" t="str">
        <f t="shared" ref="F551" si="2894">F550</f>
        <v>&lt;record id="</v>
      </c>
      <c r="G551" t="str">
        <f t="shared" ref="G551" si="2895">G550</f>
        <v>" posx="</v>
      </c>
      <c r="H551" t="str">
        <f t="shared" ref="H551" si="2896">H550</f>
        <v>" posy="</v>
      </c>
      <c r="I551" t="str">
        <f t="shared" ref="I551" si="2897">I550</f>
        <v>" dir="</v>
      </c>
      <c r="J551" t="str">
        <f t="shared" ref="J551" si="2898">J550</f>
        <v>"/&gt;</v>
      </c>
      <c r="K551" t="str">
        <f t="shared" ref="K551" si="2899">F551&amp;A551&amp;G551&amp;C551&amp;H551&amp;D551&amp;I551&amp;E551&amp;J551</f>
        <v>&lt;record id="180191" posx="0" posy="0" dir="0"/&gt;</v>
      </c>
    </row>
    <row r="552" spans="1:11">
      <c r="A552">
        <f>Sheet1!A651</f>
        <v>180192</v>
      </c>
      <c r="B552" t="str">
        <f>Sheet1!B651</f>
        <v>组队副本预留</v>
      </c>
      <c r="C552">
        <f>Sheet1!Q651</f>
        <v>0</v>
      </c>
      <c r="D552">
        <f>Sheet1!R651</f>
        <v>0</v>
      </c>
      <c r="E552">
        <f>Sheet1!U651</f>
        <v>0</v>
      </c>
      <c r="F552" t="str">
        <f t="shared" ref="F552" si="2900">F551</f>
        <v>&lt;record id="</v>
      </c>
      <c r="G552" t="str">
        <f t="shared" ref="G552" si="2901">G551</f>
        <v>" posx="</v>
      </c>
      <c r="H552" t="str">
        <f t="shared" ref="H552" si="2902">H551</f>
        <v>" posy="</v>
      </c>
      <c r="I552" t="str">
        <f t="shared" ref="I552" si="2903">I551</f>
        <v>" dir="</v>
      </c>
      <c r="J552" t="str">
        <f t="shared" ref="J552" si="2904">J551</f>
        <v>"/&gt;</v>
      </c>
      <c r="K552" t="str">
        <f t="shared" ref="K552" si="2905">F552&amp;A552&amp;G552&amp;C552&amp;H552&amp;D552&amp;I552&amp;E552&amp;J552</f>
        <v>&lt;record id="180192" posx="0" posy="0" dir="0"/&gt;</v>
      </c>
    </row>
    <row r="553" spans="1:11">
      <c r="A553">
        <f>Sheet1!A652</f>
        <v>180193</v>
      </c>
      <c r="B553" t="str">
        <f>Sheet1!B652</f>
        <v>组队副本预留</v>
      </c>
      <c r="C553">
        <f>Sheet1!Q652</f>
        <v>0</v>
      </c>
      <c r="D553">
        <f>Sheet1!R652</f>
        <v>0</v>
      </c>
      <c r="E553">
        <f>Sheet1!U652</f>
        <v>0</v>
      </c>
      <c r="F553" t="str">
        <f t="shared" ref="F553" si="2906">F552</f>
        <v>&lt;record id="</v>
      </c>
      <c r="G553" t="str">
        <f t="shared" ref="G553" si="2907">G552</f>
        <v>" posx="</v>
      </c>
      <c r="H553" t="str">
        <f t="shared" ref="H553" si="2908">H552</f>
        <v>" posy="</v>
      </c>
      <c r="I553" t="str">
        <f t="shared" ref="I553" si="2909">I552</f>
        <v>" dir="</v>
      </c>
      <c r="J553" t="str">
        <f t="shared" ref="J553" si="2910">J552</f>
        <v>"/&gt;</v>
      </c>
      <c r="K553" t="str">
        <f t="shared" ref="K553" si="2911">F553&amp;A553&amp;G553&amp;C553&amp;H553&amp;D553&amp;I553&amp;E553&amp;J553</f>
        <v>&lt;record id="180193" posx="0" posy="0" dir="0"/&gt;</v>
      </c>
    </row>
    <row r="554" spans="1:11">
      <c r="A554">
        <f>Sheet1!A653</f>
        <v>180194</v>
      </c>
      <c r="B554" t="str">
        <f>Sheet1!B653</f>
        <v>组队副本预留</v>
      </c>
      <c r="C554">
        <f>Sheet1!Q653</f>
        <v>0</v>
      </c>
      <c r="D554">
        <f>Sheet1!R653</f>
        <v>0</v>
      </c>
      <c r="E554">
        <f>Sheet1!U653</f>
        <v>0</v>
      </c>
      <c r="F554" t="str">
        <f t="shared" ref="F554" si="2912">F553</f>
        <v>&lt;record id="</v>
      </c>
      <c r="G554" t="str">
        <f t="shared" ref="G554" si="2913">G553</f>
        <v>" posx="</v>
      </c>
      <c r="H554" t="str">
        <f t="shared" ref="H554" si="2914">H553</f>
        <v>" posy="</v>
      </c>
      <c r="I554" t="str">
        <f t="shared" ref="I554" si="2915">I553</f>
        <v>" dir="</v>
      </c>
      <c r="J554" t="str">
        <f t="shared" ref="J554" si="2916">J553</f>
        <v>"/&gt;</v>
      </c>
      <c r="K554" t="str">
        <f t="shared" ref="K554" si="2917">F554&amp;A554&amp;G554&amp;C554&amp;H554&amp;D554&amp;I554&amp;E554&amp;J554</f>
        <v>&lt;record id="180194" posx="0" posy="0" dir="0"/&gt;</v>
      </c>
    </row>
    <row r="555" spans="1:11">
      <c r="A555">
        <f>Sheet1!A654</f>
        <v>180195</v>
      </c>
      <c r="B555" t="str">
        <f>Sheet1!B654</f>
        <v>组队副本预留</v>
      </c>
      <c r="C555">
        <f>Sheet1!Q654</f>
        <v>0</v>
      </c>
      <c r="D555">
        <f>Sheet1!R654</f>
        <v>0</v>
      </c>
      <c r="E555">
        <f>Sheet1!U654</f>
        <v>0</v>
      </c>
      <c r="F555" t="str">
        <f t="shared" ref="F555" si="2918">F554</f>
        <v>&lt;record id="</v>
      </c>
      <c r="G555" t="str">
        <f t="shared" ref="G555" si="2919">G554</f>
        <v>" posx="</v>
      </c>
      <c r="H555" t="str">
        <f t="shared" ref="H555" si="2920">H554</f>
        <v>" posy="</v>
      </c>
      <c r="I555" t="str">
        <f t="shared" ref="I555" si="2921">I554</f>
        <v>" dir="</v>
      </c>
      <c r="J555" t="str">
        <f t="shared" ref="J555" si="2922">J554</f>
        <v>"/&gt;</v>
      </c>
      <c r="K555" t="str">
        <f t="shared" ref="K555" si="2923">F555&amp;A555&amp;G555&amp;C555&amp;H555&amp;D555&amp;I555&amp;E555&amp;J555</f>
        <v>&lt;record id="180195" posx="0" posy="0" dir="0"/&gt;</v>
      </c>
    </row>
    <row r="556" spans="1:11">
      <c r="A556">
        <f>Sheet1!A655</f>
        <v>180201</v>
      </c>
      <c r="B556" t="str">
        <f>Sheet1!B655</f>
        <v>组队副本预留</v>
      </c>
      <c r="C556">
        <f>Sheet1!Q655</f>
        <v>0</v>
      </c>
      <c r="D556">
        <f>Sheet1!R655</f>
        <v>0</v>
      </c>
      <c r="E556">
        <f>Sheet1!U655</f>
        <v>0</v>
      </c>
      <c r="F556" t="str">
        <f t="shared" ref="F556" si="2924">F555</f>
        <v>&lt;record id="</v>
      </c>
      <c r="G556" t="str">
        <f t="shared" ref="G556" si="2925">G555</f>
        <v>" posx="</v>
      </c>
      <c r="H556" t="str">
        <f t="shared" ref="H556" si="2926">H555</f>
        <v>" posy="</v>
      </c>
      <c r="I556" t="str">
        <f t="shared" ref="I556" si="2927">I555</f>
        <v>" dir="</v>
      </c>
      <c r="J556" t="str">
        <f t="shared" ref="J556" si="2928">J555</f>
        <v>"/&gt;</v>
      </c>
      <c r="K556" t="str">
        <f t="shared" ref="K556" si="2929">F556&amp;A556&amp;G556&amp;C556&amp;H556&amp;D556&amp;I556&amp;E556&amp;J556</f>
        <v>&lt;record id="180201" posx="0" posy="0" dir="0"/&gt;</v>
      </c>
    </row>
    <row r="557" spans="1:11">
      <c r="A557">
        <f>Sheet1!A656</f>
        <v>180202</v>
      </c>
      <c r="B557" t="str">
        <f>Sheet1!B656</f>
        <v>组队副本预留</v>
      </c>
      <c r="C557">
        <f>Sheet1!Q656</f>
        <v>0</v>
      </c>
      <c r="D557">
        <f>Sheet1!R656</f>
        <v>0</v>
      </c>
      <c r="E557">
        <f>Sheet1!U656</f>
        <v>0</v>
      </c>
      <c r="F557" t="str">
        <f t="shared" ref="F557" si="2930">F556</f>
        <v>&lt;record id="</v>
      </c>
      <c r="G557" t="str">
        <f t="shared" ref="G557" si="2931">G556</f>
        <v>" posx="</v>
      </c>
      <c r="H557" t="str">
        <f t="shared" ref="H557" si="2932">H556</f>
        <v>" posy="</v>
      </c>
      <c r="I557" t="str">
        <f t="shared" ref="I557" si="2933">I556</f>
        <v>" dir="</v>
      </c>
      <c r="J557" t="str">
        <f t="shared" ref="J557" si="2934">J556</f>
        <v>"/&gt;</v>
      </c>
      <c r="K557" t="str">
        <f t="shared" ref="K557" si="2935">F557&amp;A557&amp;G557&amp;C557&amp;H557&amp;D557&amp;I557&amp;E557&amp;J557</f>
        <v>&lt;record id="180202" posx="0" posy="0" dir="0"/&gt;</v>
      </c>
    </row>
    <row r="558" spans="1:11">
      <c r="A558">
        <f>Sheet1!A657</f>
        <v>180203</v>
      </c>
      <c r="B558" t="str">
        <f>Sheet1!B657</f>
        <v>组队副本预留</v>
      </c>
      <c r="C558">
        <f>Sheet1!Q657</f>
        <v>0</v>
      </c>
      <c r="D558">
        <f>Sheet1!R657</f>
        <v>0</v>
      </c>
      <c r="E558">
        <f>Sheet1!U657</f>
        <v>0</v>
      </c>
      <c r="F558" t="str">
        <f t="shared" ref="F558" si="2936">F557</f>
        <v>&lt;record id="</v>
      </c>
      <c r="G558" t="str">
        <f t="shared" ref="G558" si="2937">G557</f>
        <v>" posx="</v>
      </c>
      <c r="H558" t="str">
        <f t="shared" ref="H558" si="2938">H557</f>
        <v>" posy="</v>
      </c>
      <c r="I558" t="str">
        <f t="shared" ref="I558" si="2939">I557</f>
        <v>" dir="</v>
      </c>
      <c r="J558" t="str">
        <f t="shared" ref="J558" si="2940">J557</f>
        <v>"/&gt;</v>
      </c>
      <c r="K558" t="str">
        <f t="shared" ref="K558" si="2941">F558&amp;A558&amp;G558&amp;C558&amp;H558&amp;D558&amp;I558&amp;E558&amp;J558</f>
        <v>&lt;record id="180203" posx="0" posy="0" dir="0"/&gt;</v>
      </c>
    </row>
    <row r="559" spans="1:11">
      <c r="A559">
        <f>Sheet1!A658</f>
        <v>180204</v>
      </c>
      <c r="B559" t="str">
        <f>Sheet1!B658</f>
        <v>组队副本预留</v>
      </c>
      <c r="C559">
        <f>Sheet1!Q658</f>
        <v>0</v>
      </c>
      <c r="D559">
        <f>Sheet1!R658</f>
        <v>0</v>
      </c>
      <c r="E559">
        <f>Sheet1!U658</f>
        <v>0</v>
      </c>
      <c r="F559" t="str">
        <f t="shared" ref="F559" si="2942">F558</f>
        <v>&lt;record id="</v>
      </c>
      <c r="G559" t="str">
        <f t="shared" ref="G559" si="2943">G558</f>
        <v>" posx="</v>
      </c>
      <c r="H559" t="str">
        <f t="shared" ref="H559" si="2944">H558</f>
        <v>" posy="</v>
      </c>
      <c r="I559" t="str">
        <f t="shared" ref="I559" si="2945">I558</f>
        <v>" dir="</v>
      </c>
      <c r="J559" t="str">
        <f t="shared" ref="J559" si="2946">J558</f>
        <v>"/&gt;</v>
      </c>
      <c r="K559" t="str">
        <f t="shared" ref="K559" si="2947">F559&amp;A559&amp;G559&amp;C559&amp;H559&amp;D559&amp;I559&amp;E559&amp;J559</f>
        <v>&lt;record id="180204" posx="0" posy="0" dir="0"/&gt;</v>
      </c>
    </row>
    <row r="560" spans="1:11">
      <c r="A560">
        <f>Sheet1!A659</f>
        <v>180205</v>
      </c>
      <c r="B560" t="str">
        <f>Sheet1!B659</f>
        <v>组队副本预留</v>
      </c>
      <c r="C560">
        <f>Sheet1!Q659</f>
        <v>0</v>
      </c>
      <c r="D560">
        <f>Sheet1!R659</f>
        <v>0</v>
      </c>
      <c r="E560">
        <f>Sheet1!U659</f>
        <v>0</v>
      </c>
      <c r="F560" t="str">
        <f t="shared" ref="F560" si="2948">F559</f>
        <v>&lt;record id="</v>
      </c>
      <c r="G560" t="str">
        <f t="shared" ref="G560" si="2949">G559</f>
        <v>" posx="</v>
      </c>
      <c r="H560" t="str">
        <f t="shared" ref="H560" si="2950">H559</f>
        <v>" posy="</v>
      </c>
      <c r="I560" t="str">
        <f t="shared" ref="I560" si="2951">I559</f>
        <v>" dir="</v>
      </c>
      <c r="J560" t="str">
        <f t="shared" ref="J560" si="2952">J559</f>
        <v>"/&gt;</v>
      </c>
      <c r="K560" t="str">
        <f t="shared" ref="K560" si="2953">F560&amp;A560&amp;G560&amp;C560&amp;H560&amp;D560&amp;I560&amp;E560&amp;J560</f>
        <v>&lt;record id="180205" posx="0" posy="0" dir="0"/&gt;</v>
      </c>
    </row>
    <row r="561" spans="1:11">
      <c r="A561">
        <f>Sheet1!A660</f>
        <v>180211</v>
      </c>
      <c r="B561" t="str">
        <f>Sheet1!B660</f>
        <v>组队副本预留</v>
      </c>
      <c r="C561">
        <f>Sheet1!Q660</f>
        <v>0</v>
      </c>
      <c r="D561">
        <f>Sheet1!R660</f>
        <v>0</v>
      </c>
      <c r="E561">
        <f>Sheet1!U660</f>
        <v>0</v>
      </c>
      <c r="F561" t="str">
        <f t="shared" ref="F561" si="2954">F560</f>
        <v>&lt;record id="</v>
      </c>
      <c r="G561" t="str">
        <f t="shared" ref="G561" si="2955">G560</f>
        <v>" posx="</v>
      </c>
      <c r="H561" t="str">
        <f t="shared" ref="H561" si="2956">H560</f>
        <v>" posy="</v>
      </c>
      <c r="I561" t="str">
        <f t="shared" ref="I561" si="2957">I560</f>
        <v>" dir="</v>
      </c>
      <c r="J561" t="str">
        <f t="shared" ref="J561" si="2958">J560</f>
        <v>"/&gt;</v>
      </c>
      <c r="K561" t="str">
        <f t="shared" ref="K561" si="2959">F561&amp;A561&amp;G561&amp;C561&amp;H561&amp;D561&amp;I561&amp;E561&amp;J561</f>
        <v>&lt;record id="180211" posx="0" posy="0" dir="0"/&gt;</v>
      </c>
    </row>
    <row r="562" spans="1:11">
      <c r="A562">
        <f>Sheet1!A661</f>
        <v>180212</v>
      </c>
      <c r="B562" t="str">
        <f>Sheet1!B661</f>
        <v>组队副本预留</v>
      </c>
      <c r="C562">
        <f>Sheet1!Q661</f>
        <v>0</v>
      </c>
      <c r="D562">
        <f>Sheet1!R661</f>
        <v>0</v>
      </c>
      <c r="E562">
        <f>Sheet1!U661</f>
        <v>0</v>
      </c>
      <c r="F562" t="str">
        <f t="shared" ref="F562" si="2960">F561</f>
        <v>&lt;record id="</v>
      </c>
      <c r="G562" t="str">
        <f t="shared" ref="G562" si="2961">G561</f>
        <v>" posx="</v>
      </c>
      <c r="H562" t="str">
        <f t="shared" ref="H562" si="2962">H561</f>
        <v>" posy="</v>
      </c>
      <c r="I562" t="str">
        <f t="shared" ref="I562" si="2963">I561</f>
        <v>" dir="</v>
      </c>
      <c r="J562" t="str">
        <f t="shared" ref="J562" si="2964">J561</f>
        <v>"/&gt;</v>
      </c>
      <c r="K562" t="str">
        <f t="shared" ref="K562" si="2965">F562&amp;A562&amp;G562&amp;C562&amp;H562&amp;D562&amp;I562&amp;E562&amp;J562</f>
        <v>&lt;record id="180212" posx="0" posy="0" dir="0"/&gt;</v>
      </c>
    </row>
    <row r="563" spans="1:11">
      <c r="A563">
        <f>Sheet1!A662</f>
        <v>180213</v>
      </c>
      <c r="B563" t="str">
        <f>Sheet1!B662</f>
        <v>组队副本预留</v>
      </c>
      <c r="C563">
        <f>Sheet1!Q662</f>
        <v>0</v>
      </c>
      <c r="D563">
        <f>Sheet1!R662</f>
        <v>0</v>
      </c>
      <c r="E563">
        <f>Sheet1!U662</f>
        <v>0</v>
      </c>
      <c r="F563" t="str">
        <f t="shared" ref="F563" si="2966">F562</f>
        <v>&lt;record id="</v>
      </c>
      <c r="G563" t="str">
        <f t="shared" ref="G563" si="2967">G562</f>
        <v>" posx="</v>
      </c>
      <c r="H563" t="str">
        <f t="shared" ref="H563" si="2968">H562</f>
        <v>" posy="</v>
      </c>
      <c r="I563" t="str">
        <f t="shared" ref="I563" si="2969">I562</f>
        <v>" dir="</v>
      </c>
      <c r="J563" t="str">
        <f t="shared" ref="J563" si="2970">J562</f>
        <v>"/&gt;</v>
      </c>
      <c r="K563" t="str">
        <f t="shared" ref="K563" si="2971">F563&amp;A563&amp;G563&amp;C563&amp;H563&amp;D563&amp;I563&amp;E563&amp;J563</f>
        <v>&lt;record id="180213" posx="0" posy="0" dir="0"/&gt;</v>
      </c>
    </row>
    <row r="564" spans="1:11">
      <c r="A564">
        <f>Sheet1!A663</f>
        <v>180214</v>
      </c>
      <c r="B564" t="str">
        <f>Sheet1!B663</f>
        <v>组队副本预留</v>
      </c>
      <c r="C564">
        <f>Sheet1!Q663</f>
        <v>0</v>
      </c>
      <c r="D564">
        <f>Sheet1!R663</f>
        <v>0</v>
      </c>
      <c r="E564">
        <f>Sheet1!U663</f>
        <v>0</v>
      </c>
      <c r="F564" t="str">
        <f t="shared" ref="F564" si="2972">F563</f>
        <v>&lt;record id="</v>
      </c>
      <c r="G564" t="str">
        <f t="shared" ref="G564" si="2973">G563</f>
        <v>" posx="</v>
      </c>
      <c r="H564" t="str">
        <f t="shared" ref="H564" si="2974">H563</f>
        <v>" posy="</v>
      </c>
      <c r="I564" t="str">
        <f t="shared" ref="I564" si="2975">I563</f>
        <v>" dir="</v>
      </c>
      <c r="J564" t="str">
        <f t="shared" ref="J564" si="2976">J563</f>
        <v>"/&gt;</v>
      </c>
      <c r="K564" t="str">
        <f t="shared" ref="K564" si="2977">F564&amp;A564&amp;G564&amp;C564&amp;H564&amp;D564&amp;I564&amp;E564&amp;J564</f>
        <v>&lt;record id="180214" posx="0" posy="0" dir="0"/&gt;</v>
      </c>
    </row>
    <row r="565" spans="1:11">
      <c r="A565">
        <f>Sheet1!A664</f>
        <v>180215</v>
      </c>
      <c r="B565" t="str">
        <f>Sheet1!B664</f>
        <v>组队副本预留</v>
      </c>
      <c r="C565">
        <f>Sheet1!Q664</f>
        <v>0</v>
      </c>
      <c r="D565">
        <f>Sheet1!R664</f>
        <v>0</v>
      </c>
      <c r="E565">
        <f>Sheet1!U664</f>
        <v>0</v>
      </c>
      <c r="F565" t="str">
        <f t="shared" ref="F565" si="2978">F564</f>
        <v>&lt;record id="</v>
      </c>
      <c r="G565" t="str">
        <f t="shared" ref="G565" si="2979">G564</f>
        <v>" posx="</v>
      </c>
      <c r="H565" t="str">
        <f t="shared" ref="H565" si="2980">H564</f>
        <v>" posy="</v>
      </c>
      <c r="I565" t="str">
        <f t="shared" ref="I565" si="2981">I564</f>
        <v>" dir="</v>
      </c>
      <c r="J565" t="str">
        <f t="shared" ref="J565" si="2982">J564</f>
        <v>"/&gt;</v>
      </c>
      <c r="K565" t="str">
        <f t="shared" ref="K565" si="2983">F565&amp;A565&amp;G565&amp;C565&amp;H565&amp;D565&amp;I565&amp;E565&amp;J565</f>
        <v>&lt;record id="180215" posx="0" posy="0" dir="0"/&gt;</v>
      </c>
    </row>
    <row r="566" spans="1:11">
      <c r="A566">
        <f>Sheet1!A673</f>
        <v>180301</v>
      </c>
      <c r="B566" t="str">
        <f>Sheet1!B673</f>
        <v>迷乱的霍克</v>
      </c>
      <c r="C566">
        <f>Sheet1!Q673</f>
        <v>0</v>
      </c>
      <c r="D566">
        <f>Sheet1!R673</f>
        <v>0</v>
      </c>
      <c r="E566">
        <f>Sheet1!U673</f>
        <v>0</v>
      </c>
      <c r="F566" t="str">
        <f t="shared" ref="F566" si="2984">F565</f>
        <v>&lt;record id="</v>
      </c>
      <c r="G566" t="str">
        <f t="shared" ref="G566" si="2985">G565</f>
        <v>" posx="</v>
      </c>
      <c r="H566" t="str">
        <f t="shared" ref="H566" si="2986">H565</f>
        <v>" posy="</v>
      </c>
      <c r="I566" t="str">
        <f t="shared" ref="I566" si="2987">I565</f>
        <v>" dir="</v>
      </c>
      <c r="J566" t="str">
        <f t="shared" ref="J566" si="2988">J565</f>
        <v>"/&gt;</v>
      </c>
      <c r="K566" t="str">
        <f t="shared" ref="K566" si="2989">F566&amp;A566&amp;G566&amp;C566&amp;H566&amp;D566&amp;I566&amp;E566&amp;J566</f>
        <v>&lt;record id="180301" posx="0" posy="0" dir="0"/&gt;</v>
      </c>
    </row>
    <row r="567" spans="1:11">
      <c r="A567">
        <f>Sheet1!A674</f>
        <v>180302</v>
      </c>
      <c r="B567" t="str">
        <f>Sheet1!B674</f>
        <v>残酷的加顿</v>
      </c>
      <c r="C567">
        <f>Sheet1!Q674</f>
        <v>0</v>
      </c>
      <c r="D567">
        <f>Sheet1!R674</f>
        <v>0</v>
      </c>
      <c r="E567">
        <f>Sheet1!U674</f>
        <v>0</v>
      </c>
      <c r="F567" t="str">
        <f t="shared" ref="F567" si="2990">F566</f>
        <v>&lt;record id="</v>
      </c>
      <c r="G567" t="str">
        <f t="shared" ref="G567" si="2991">G566</f>
        <v>" posx="</v>
      </c>
      <c r="H567" t="str">
        <f t="shared" ref="H567" si="2992">H566</f>
        <v>" posy="</v>
      </c>
      <c r="I567" t="str">
        <f t="shared" ref="I567" si="2993">I566</f>
        <v>" dir="</v>
      </c>
      <c r="J567" t="str">
        <f t="shared" ref="J567" si="2994">J566</f>
        <v>"/&gt;</v>
      </c>
      <c r="K567" t="str">
        <f t="shared" ref="K567" si="2995">F567&amp;A567&amp;G567&amp;C567&amp;H567&amp;D567&amp;I567&amp;E567&amp;J567</f>
        <v>&lt;record id="180302" posx="0" posy="0" dir="0"/&gt;</v>
      </c>
    </row>
    <row r="568" spans="1:11">
      <c r="A568">
        <f>Sheet1!A675</f>
        <v>180303</v>
      </c>
      <c r="B568" t="str">
        <f>Sheet1!B675</f>
        <v>迷茫的卡尔</v>
      </c>
      <c r="C568">
        <f>Sheet1!Q675</f>
        <v>0</v>
      </c>
      <c r="D568">
        <f>Sheet1!R675</f>
        <v>0</v>
      </c>
      <c r="E568">
        <f>Sheet1!U675</f>
        <v>0</v>
      </c>
      <c r="F568" t="str">
        <f t="shared" ref="F568" si="2996">F567</f>
        <v>&lt;record id="</v>
      </c>
      <c r="G568" t="str">
        <f t="shared" ref="G568" si="2997">G567</f>
        <v>" posx="</v>
      </c>
      <c r="H568" t="str">
        <f t="shared" ref="H568" si="2998">H567</f>
        <v>" posy="</v>
      </c>
      <c r="I568" t="str">
        <f t="shared" ref="I568" si="2999">I567</f>
        <v>" dir="</v>
      </c>
      <c r="J568" t="str">
        <f t="shared" ref="J568" si="3000">J567</f>
        <v>"/&gt;</v>
      </c>
      <c r="K568" t="str">
        <f t="shared" ref="K568" si="3001">F568&amp;A568&amp;G568&amp;C568&amp;H568&amp;D568&amp;I568&amp;E568&amp;J568</f>
        <v>&lt;record id="180303" posx="0" posy="0" dir="0"/&gt;</v>
      </c>
    </row>
    <row r="569" spans="1:11">
      <c r="A569">
        <f>Sheet1!A676</f>
        <v>180304</v>
      </c>
      <c r="B569" t="str">
        <f>Sheet1!B676</f>
        <v>邪恶的伊库</v>
      </c>
      <c r="C569">
        <f>Sheet1!Q676</f>
        <v>0</v>
      </c>
      <c r="D569">
        <f>Sheet1!R676</f>
        <v>0</v>
      </c>
      <c r="E569">
        <f>Sheet1!U676</f>
        <v>0</v>
      </c>
      <c r="F569" t="str">
        <f t="shared" ref="F569" si="3002">F568</f>
        <v>&lt;record id="</v>
      </c>
      <c r="G569" t="str">
        <f t="shared" ref="G569" si="3003">G568</f>
        <v>" posx="</v>
      </c>
      <c r="H569" t="str">
        <f t="shared" ref="H569" si="3004">H568</f>
        <v>" posy="</v>
      </c>
      <c r="I569" t="str">
        <f t="shared" ref="I569" si="3005">I568</f>
        <v>" dir="</v>
      </c>
      <c r="J569" t="str">
        <f t="shared" ref="J569" si="3006">J568</f>
        <v>"/&gt;</v>
      </c>
      <c r="K569" t="str">
        <f t="shared" ref="K569" si="3007">F569&amp;A569&amp;G569&amp;C569&amp;H569&amp;D569&amp;I569&amp;E569&amp;J569</f>
        <v>&lt;record id="180304" posx="0" posy="0" dir="0"/&gt;</v>
      </c>
    </row>
    <row r="570" spans="1:11">
      <c r="A570">
        <f>Sheet1!A677</f>
        <v>180305</v>
      </c>
      <c r="B570" t="str">
        <f>Sheet1!B677</f>
        <v>暗黑的信徒</v>
      </c>
      <c r="C570">
        <f>Sheet1!Q677</f>
        <v>0</v>
      </c>
      <c r="D570">
        <f>Sheet1!R677</f>
        <v>0</v>
      </c>
      <c r="E570">
        <f>Sheet1!U677</f>
        <v>0</v>
      </c>
      <c r="F570" t="str">
        <f t="shared" ref="F570" si="3008">F569</f>
        <v>&lt;record id="</v>
      </c>
      <c r="G570" t="str">
        <f t="shared" ref="G570" si="3009">G569</f>
        <v>" posx="</v>
      </c>
      <c r="H570" t="str">
        <f t="shared" ref="H570" si="3010">H569</f>
        <v>" posy="</v>
      </c>
      <c r="I570" t="str">
        <f t="shared" ref="I570" si="3011">I569</f>
        <v>" dir="</v>
      </c>
      <c r="J570" t="str">
        <f t="shared" ref="J570" si="3012">J569</f>
        <v>"/&gt;</v>
      </c>
      <c r="K570" t="str">
        <f t="shared" ref="K570" si="3013">F570&amp;A570&amp;G570&amp;C570&amp;H570&amp;D570&amp;I570&amp;E570&amp;J570</f>
        <v>&lt;record id="180305" posx="0" posy="0" dir="0"/&gt;</v>
      </c>
    </row>
    <row r="571" spans="1:11">
      <c r="A571">
        <f>Sheet1!A678</f>
        <v>180306</v>
      </c>
      <c r="B571" t="str">
        <f>Sheet1!B678</f>
        <v>忧郁的卡西</v>
      </c>
      <c r="C571">
        <f>Sheet1!Q678</f>
        <v>0</v>
      </c>
      <c r="D571">
        <f>Sheet1!R678</f>
        <v>0</v>
      </c>
      <c r="E571">
        <f>Sheet1!U678</f>
        <v>0</v>
      </c>
      <c r="F571" t="str">
        <f t="shared" ref="F571" si="3014">F570</f>
        <v>&lt;record id="</v>
      </c>
      <c r="G571" t="str">
        <f t="shared" ref="G571" si="3015">G570</f>
        <v>" posx="</v>
      </c>
      <c r="H571" t="str">
        <f t="shared" ref="H571" si="3016">H570</f>
        <v>" posy="</v>
      </c>
      <c r="I571" t="str">
        <f t="shared" ref="I571" si="3017">I570</f>
        <v>" dir="</v>
      </c>
      <c r="J571" t="str">
        <f t="shared" ref="J571" si="3018">J570</f>
        <v>"/&gt;</v>
      </c>
      <c r="K571" t="str">
        <f t="shared" ref="K571" si="3019">F571&amp;A571&amp;G571&amp;C571&amp;H571&amp;D571&amp;I571&amp;E571&amp;J571</f>
        <v>&lt;record id="180306" posx="0" posy="0" dir="0"/&gt;</v>
      </c>
    </row>
    <row r="572" spans="1:11">
      <c r="A572">
        <f>Sheet1!A679</f>
        <v>180307</v>
      </c>
      <c r="B572" t="str">
        <f>Sheet1!B679</f>
        <v>疯狂的戴夫</v>
      </c>
      <c r="C572">
        <f>Sheet1!Q679</f>
        <v>0</v>
      </c>
      <c r="D572">
        <f>Sheet1!R679</f>
        <v>0</v>
      </c>
      <c r="E572">
        <f>Sheet1!U679</f>
        <v>0</v>
      </c>
      <c r="F572" t="str">
        <f t="shared" ref="F572" si="3020">F571</f>
        <v>&lt;record id="</v>
      </c>
      <c r="G572" t="str">
        <f t="shared" ref="G572" si="3021">G571</f>
        <v>" posx="</v>
      </c>
      <c r="H572" t="str">
        <f t="shared" ref="H572" si="3022">H571</f>
        <v>" posy="</v>
      </c>
      <c r="I572" t="str">
        <f t="shared" ref="I572" si="3023">I571</f>
        <v>" dir="</v>
      </c>
      <c r="J572" t="str">
        <f t="shared" ref="J572:J577" si="3024">J571</f>
        <v>"/&gt;</v>
      </c>
      <c r="K572" t="str">
        <f t="shared" ref="K572" si="3025">F572&amp;A572&amp;G572&amp;C572&amp;H572&amp;D572&amp;I572&amp;E572&amp;J572</f>
        <v>&lt;record id="180307" posx="0" posy="0" dir="0"/&gt;</v>
      </c>
    </row>
    <row r="573" spans="1:11">
      <c r="A573">
        <f>Sheet1!A680</f>
        <v>180308</v>
      </c>
      <c r="B573" t="str">
        <f>Sheet1!B680</f>
        <v>嚣张的杰克</v>
      </c>
      <c r="C573">
        <f>Sheet1!Q680</f>
        <v>0</v>
      </c>
      <c r="D573">
        <f>Sheet1!R680</f>
        <v>0</v>
      </c>
      <c r="E573">
        <f>Sheet1!U680</f>
        <v>0</v>
      </c>
      <c r="F573" t="str">
        <f t="shared" ref="F573" si="3026">F572</f>
        <v>&lt;record id="</v>
      </c>
      <c r="G573" t="str">
        <f t="shared" ref="G573:G578" si="3027">G572</f>
        <v>" posx="</v>
      </c>
      <c r="H573" t="str">
        <f t="shared" ref="H573" si="3028">H572</f>
        <v>" posy="</v>
      </c>
      <c r="I573" t="str">
        <f t="shared" ref="I573" si="3029">I572</f>
        <v>" dir="</v>
      </c>
      <c r="J573" t="str">
        <f t="shared" si="3024"/>
        <v>"/&gt;</v>
      </c>
      <c r="K573" t="str">
        <f t="shared" ref="K573:K578" si="3030">F573&amp;A573&amp;G573&amp;C573&amp;H573&amp;D573&amp;I573&amp;E573&amp;J573</f>
        <v>&lt;record id="180308" posx="0" posy="0" dir="0"/&gt;</v>
      </c>
    </row>
    <row r="574" spans="1:11">
      <c r="A574">
        <f>Sheet1!A681</f>
        <v>180309</v>
      </c>
      <c r="B574" t="str">
        <f>Sheet1!B681</f>
        <v>通缉天灾1</v>
      </c>
      <c r="C574">
        <f>Sheet1!Q681</f>
        <v>0</v>
      </c>
      <c r="D574">
        <f>Sheet1!R681</f>
        <v>0</v>
      </c>
      <c r="E574">
        <f>Sheet1!U681</f>
        <v>0</v>
      </c>
      <c r="F574" t="str">
        <f t="shared" ref="F574" si="3031">F573</f>
        <v>&lt;record id="</v>
      </c>
      <c r="G574" t="str">
        <f t="shared" si="3027"/>
        <v>" posx="</v>
      </c>
      <c r="H574" t="str">
        <f t="shared" ref="H574" si="3032">H573</f>
        <v>" posy="</v>
      </c>
      <c r="I574" t="str">
        <f t="shared" ref="I574:I577" si="3033">I573</f>
        <v>" dir="</v>
      </c>
      <c r="J574" t="str">
        <f t="shared" si="3024"/>
        <v>"/&gt;</v>
      </c>
      <c r="K574" t="str">
        <f t="shared" si="3030"/>
        <v>&lt;record id="180309" posx="0" posy="0" dir="0"/&gt;</v>
      </c>
    </row>
    <row r="575" spans="1:11">
      <c r="A575">
        <f>Sheet1!A682</f>
        <v>180310</v>
      </c>
      <c r="B575" t="str">
        <f>Sheet1!B682</f>
        <v>通缉天灾2</v>
      </c>
      <c r="C575">
        <f>Sheet1!Q682</f>
        <v>0</v>
      </c>
      <c r="D575">
        <f>Sheet1!R682</f>
        <v>0</v>
      </c>
      <c r="E575">
        <f>Sheet1!U682</f>
        <v>0</v>
      </c>
      <c r="F575" t="str">
        <f t="shared" ref="F575:F578" si="3034">F574</f>
        <v>&lt;record id="</v>
      </c>
      <c r="G575" t="str">
        <f t="shared" si="3027"/>
        <v>" posx="</v>
      </c>
      <c r="H575" t="str">
        <f t="shared" ref="H575:H577" si="3035">H574</f>
        <v>" posy="</v>
      </c>
      <c r="I575" t="str">
        <f t="shared" si="3033"/>
        <v>" dir="</v>
      </c>
      <c r="J575" t="str">
        <f t="shared" si="3024"/>
        <v>"/&gt;</v>
      </c>
      <c r="K575" t="str">
        <f t="shared" si="3030"/>
        <v>&lt;record id="180310" posx="0" posy="0" dir="0"/&gt;</v>
      </c>
    </row>
    <row r="576" spans="1:11">
      <c r="A576">
        <f>Sheet1!A683</f>
        <v>180311</v>
      </c>
      <c r="B576" t="str">
        <f>Sheet1!B683</f>
        <v>通缉天灾3</v>
      </c>
      <c r="C576">
        <f>Sheet1!Q683</f>
        <v>0</v>
      </c>
      <c r="D576">
        <f>Sheet1!R683</f>
        <v>0</v>
      </c>
      <c r="E576">
        <f>Sheet1!U683</f>
        <v>0</v>
      </c>
      <c r="F576" t="str">
        <f t="shared" si="3034"/>
        <v>&lt;record id="</v>
      </c>
      <c r="G576" t="str">
        <f t="shared" si="3027"/>
        <v>" posx="</v>
      </c>
      <c r="H576" t="str">
        <f t="shared" si="3035"/>
        <v>" posy="</v>
      </c>
      <c r="I576" t="str">
        <f t="shared" si="3033"/>
        <v>" dir="</v>
      </c>
      <c r="J576" t="str">
        <f t="shared" si="3024"/>
        <v>"/&gt;</v>
      </c>
      <c r="K576" t="str">
        <f t="shared" si="3030"/>
        <v>&lt;record id="180311" posx="0" posy="0" dir="0"/&gt;</v>
      </c>
    </row>
    <row r="577" spans="1:11">
      <c r="A577">
        <f>Sheet1!A684</f>
        <v>180312</v>
      </c>
      <c r="B577" t="str">
        <f>Sheet1!B684</f>
        <v>通缉天灾4</v>
      </c>
      <c r="C577">
        <f>Sheet1!Q684</f>
        <v>0</v>
      </c>
      <c r="D577">
        <f>Sheet1!R684</f>
        <v>0</v>
      </c>
      <c r="E577">
        <f>Sheet1!U684</f>
        <v>0</v>
      </c>
      <c r="F577" t="str">
        <f t="shared" si="3034"/>
        <v>&lt;record id="</v>
      </c>
      <c r="G577" t="str">
        <f t="shared" si="3027"/>
        <v>" posx="</v>
      </c>
      <c r="H577" t="str">
        <f t="shared" si="3035"/>
        <v>" posy="</v>
      </c>
      <c r="I577" t="str">
        <f t="shared" si="3033"/>
        <v>" dir="</v>
      </c>
      <c r="J577" t="str">
        <f t="shared" si="3024"/>
        <v>"/&gt;</v>
      </c>
      <c r="K577" t="str">
        <f t="shared" si="3030"/>
        <v>&lt;record id="180312" posx="0" posy="0" dir="0"/&gt;</v>
      </c>
    </row>
    <row r="578" spans="1:11">
      <c r="A578">
        <f>Sheet1!A685</f>
        <v>180313</v>
      </c>
      <c r="B578" t="str">
        <f>Sheet1!B685</f>
        <v>通缉天灾5</v>
      </c>
      <c r="C578">
        <f>Sheet1!Q685</f>
        <v>0</v>
      </c>
      <c r="D578">
        <f>Sheet1!R685</f>
        <v>0</v>
      </c>
      <c r="E578">
        <f>Sheet1!U685</f>
        <v>0</v>
      </c>
      <c r="F578" t="str">
        <f t="shared" si="3034"/>
        <v>&lt;record id="</v>
      </c>
      <c r="G578" t="str">
        <f t="shared" si="3027"/>
        <v>" posx="</v>
      </c>
      <c r="H578" t="str">
        <f t="shared" ref="H578" si="3036">H577</f>
        <v>" posy="</v>
      </c>
      <c r="I578" t="str">
        <f t="shared" ref="I578" si="3037">I577</f>
        <v>" dir="</v>
      </c>
      <c r="J578" t="str">
        <f t="shared" ref="J578" si="3038">J577</f>
        <v>"/&gt;</v>
      </c>
      <c r="K578" t="str">
        <f t="shared" si="3030"/>
        <v>&lt;record id="180313" posx="0" posy="0" dir="0"/&gt;</v>
      </c>
    </row>
    <row r="579" spans="1:11">
      <c r="A579">
        <f>Sheet1!A686</f>
        <v>180314</v>
      </c>
      <c r="B579" t="str">
        <f>Sheet1!B686</f>
        <v>通缉天灾6</v>
      </c>
      <c r="C579">
        <f>Sheet1!Q686</f>
        <v>0</v>
      </c>
      <c r="D579">
        <f>Sheet1!R686</f>
        <v>0</v>
      </c>
      <c r="E579">
        <f>Sheet1!U686</f>
        <v>0</v>
      </c>
      <c r="F579" t="str">
        <f t="shared" ref="F579" si="3039">F578</f>
        <v>&lt;record id="</v>
      </c>
      <c r="G579" t="str">
        <f t="shared" ref="G579" si="3040">G578</f>
        <v>" posx="</v>
      </c>
      <c r="H579" t="str">
        <f t="shared" ref="H579" si="3041">H578</f>
        <v>" posy="</v>
      </c>
      <c r="I579" t="str">
        <f t="shared" ref="I579" si="3042">I578</f>
        <v>" dir="</v>
      </c>
      <c r="J579" t="str">
        <f t="shared" ref="J579" si="3043">J578</f>
        <v>"/&gt;</v>
      </c>
      <c r="K579" t="str">
        <f t="shared" ref="K579" si="3044">F579&amp;A579&amp;G579&amp;C579&amp;H579&amp;D579&amp;I579&amp;E579&amp;J579</f>
        <v>&lt;record id="180314" posx="0" posy="0" dir="0"/&gt;</v>
      </c>
    </row>
    <row r="580" spans="1:11">
      <c r="A580">
        <f>Sheet1!A687</f>
        <v>180315</v>
      </c>
      <c r="B580" t="str">
        <f>Sheet1!B687</f>
        <v>通缉天灾7</v>
      </c>
      <c r="C580">
        <f>Sheet1!Q687</f>
        <v>0</v>
      </c>
      <c r="D580">
        <f>Sheet1!R687</f>
        <v>0</v>
      </c>
      <c r="E580">
        <f>Sheet1!U687</f>
        <v>0</v>
      </c>
      <c r="F580" t="str">
        <f t="shared" ref="F580" si="3045">F579</f>
        <v>&lt;record id="</v>
      </c>
      <c r="G580" t="str">
        <f t="shared" ref="G580" si="3046">G579</f>
        <v>" posx="</v>
      </c>
      <c r="H580" t="str">
        <f t="shared" ref="H580" si="3047">H579</f>
        <v>" posy="</v>
      </c>
      <c r="I580" t="str">
        <f t="shared" ref="I580" si="3048">I579</f>
        <v>" dir="</v>
      </c>
      <c r="J580" t="str">
        <f t="shared" ref="J580" si="3049">J579</f>
        <v>"/&gt;</v>
      </c>
      <c r="K580" t="str">
        <f t="shared" ref="K580" si="3050">F580&amp;A580&amp;G580&amp;C580&amp;H580&amp;D580&amp;I580&amp;E580&amp;J580</f>
        <v>&lt;record id="180315" posx="0" posy="0" dir="0"/&gt;</v>
      </c>
    </row>
    <row r="581" spans="1:11">
      <c r="A581">
        <f>Sheet1!A688</f>
        <v>180316</v>
      </c>
      <c r="B581" t="str">
        <f>Sheet1!B688</f>
        <v>通缉天灾8</v>
      </c>
      <c r="C581">
        <f>Sheet1!Q688</f>
        <v>0</v>
      </c>
      <c r="D581">
        <f>Sheet1!R688</f>
        <v>0</v>
      </c>
      <c r="E581">
        <f>Sheet1!U688</f>
        <v>0</v>
      </c>
      <c r="F581" t="str">
        <f t="shared" ref="F581" si="3051">F580</f>
        <v>&lt;record id="</v>
      </c>
      <c r="G581" t="str">
        <f t="shared" ref="G581" si="3052">G580</f>
        <v>" posx="</v>
      </c>
      <c r="H581" t="str">
        <f t="shared" ref="H581" si="3053">H580</f>
        <v>" posy="</v>
      </c>
      <c r="I581" t="str">
        <f t="shared" ref="I581" si="3054">I580</f>
        <v>" dir="</v>
      </c>
      <c r="J581" t="str">
        <f t="shared" ref="J581" si="3055">J580</f>
        <v>"/&gt;</v>
      </c>
      <c r="K581" t="str">
        <f t="shared" ref="K581" si="3056">F581&amp;A581&amp;G581&amp;C581&amp;H581&amp;D581&amp;I581&amp;E581&amp;J581</f>
        <v>&lt;record id="180316" posx="0" posy="0" dir="0"/&gt;</v>
      </c>
    </row>
    <row r="582" spans="1:11">
      <c r="A582">
        <f>Sheet1!A689</f>
        <v>180320</v>
      </c>
      <c r="B582" t="str">
        <f>Sheet1!B689</f>
        <v>迪奥布斯的宝箱</v>
      </c>
      <c r="C582">
        <f>Sheet1!Q689</f>
        <v>0</v>
      </c>
      <c r="D582">
        <f>Sheet1!R689</f>
        <v>0</v>
      </c>
      <c r="E582">
        <f>Sheet1!U689</f>
        <v>0</v>
      </c>
      <c r="F582" t="str">
        <f t="shared" ref="F582" si="3057">F581</f>
        <v>&lt;record id="</v>
      </c>
      <c r="G582" t="str">
        <f t="shared" ref="G582" si="3058">G581</f>
        <v>" posx="</v>
      </c>
      <c r="H582" t="str">
        <f t="shared" ref="H582" si="3059">H581</f>
        <v>" posy="</v>
      </c>
      <c r="I582" t="str">
        <f t="shared" ref="I582" si="3060">I581</f>
        <v>" dir="</v>
      </c>
      <c r="J582" t="str">
        <f t="shared" ref="J582" si="3061">J581</f>
        <v>"/&gt;</v>
      </c>
      <c r="K582" t="str">
        <f t="shared" ref="K582" si="3062">F582&amp;A582&amp;G582&amp;C582&amp;H582&amp;D582&amp;I582&amp;E582&amp;J582</f>
        <v>&lt;record id="180320" posx="0" posy="0" dir="0"/&gt;</v>
      </c>
    </row>
    <row r="583" spans="1:11">
      <c r="A583">
        <f>Sheet1!A690</f>
        <v>180351</v>
      </c>
      <c r="B583" t="str">
        <f>Sheet1!B690</f>
        <v>恋宝矮人</v>
      </c>
      <c r="C583">
        <f>Sheet1!Q690</f>
        <v>0</v>
      </c>
      <c r="D583">
        <f>Sheet1!R690</f>
        <v>0</v>
      </c>
      <c r="E583">
        <f>Sheet1!U690</f>
        <v>0</v>
      </c>
      <c r="F583" t="str">
        <f t="shared" ref="F583" si="3063">F582</f>
        <v>&lt;record id="</v>
      </c>
      <c r="G583" t="str">
        <f t="shared" ref="G583" si="3064">G582</f>
        <v>" posx="</v>
      </c>
      <c r="H583" t="str">
        <f t="shared" ref="H583" si="3065">H582</f>
        <v>" posy="</v>
      </c>
      <c r="I583" t="str">
        <f t="shared" ref="I583" si="3066">I582</f>
        <v>" dir="</v>
      </c>
      <c r="J583" t="str">
        <f t="shared" ref="J583" si="3067">J582</f>
        <v>"/&gt;</v>
      </c>
      <c r="K583" t="str">
        <f t="shared" ref="K583" si="3068">F583&amp;A583&amp;G583&amp;C583&amp;H583&amp;D583&amp;I583&amp;E583&amp;J583</f>
        <v>&lt;record id="180351" posx="0" posy="0" dir="0"/&gt;</v>
      </c>
    </row>
    <row r="584" spans="1:11">
      <c r="A584">
        <f>Sheet1!A691</f>
        <v>180352</v>
      </c>
      <c r="B584" t="str">
        <f>Sheet1!B691</f>
        <v>贪食公主</v>
      </c>
      <c r="C584">
        <f>Sheet1!Q691</f>
        <v>0</v>
      </c>
      <c r="D584">
        <f>Sheet1!R691</f>
        <v>0</v>
      </c>
      <c r="E584">
        <f>Sheet1!U691</f>
        <v>0</v>
      </c>
      <c r="F584" t="str">
        <f t="shared" ref="F584" si="3069">F583</f>
        <v>&lt;record id="</v>
      </c>
      <c r="G584" t="str">
        <f t="shared" ref="G584" si="3070">G583</f>
        <v>" posx="</v>
      </c>
      <c r="H584" t="str">
        <f t="shared" ref="H584" si="3071">H583</f>
        <v>" posy="</v>
      </c>
      <c r="I584" t="str">
        <f t="shared" ref="I584" si="3072">I583</f>
        <v>" dir="</v>
      </c>
      <c r="J584" t="str">
        <f t="shared" ref="J584" si="3073">J583</f>
        <v>"/&gt;</v>
      </c>
      <c r="K584" t="str">
        <f t="shared" ref="K584" si="3074">F584&amp;A584&amp;G584&amp;C584&amp;H584&amp;D584&amp;I584&amp;E584&amp;J584</f>
        <v>&lt;record id="180352" posx="0" posy="0" dir="0"/&gt;</v>
      </c>
    </row>
    <row r="585" spans="1:11">
      <c r="A585">
        <f>Sheet1!A692</f>
        <v>180353</v>
      </c>
      <c r="B585" t="str">
        <f>Sheet1!B692</f>
        <v>书魂囧龟</v>
      </c>
      <c r="C585">
        <f>Sheet1!Q692</f>
        <v>0</v>
      </c>
      <c r="D585">
        <f>Sheet1!R692</f>
        <v>0</v>
      </c>
      <c r="E585">
        <f>Sheet1!U692</f>
        <v>0</v>
      </c>
      <c r="F585" t="str">
        <f t="shared" ref="F585" si="3075">F584</f>
        <v>&lt;record id="</v>
      </c>
      <c r="G585" t="str">
        <f t="shared" ref="G585" si="3076">G584</f>
        <v>" posx="</v>
      </c>
      <c r="H585" t="str">
        <f t="shared" ref="H585" si="3077">H584</f>
        <v>" posy="</v>
      </c>
      <c r="I585" t="str">
        <f t="shared" ref="I585" si="3078">I584</f>
        <v>" dir="</v>
      </c>
      <c r="J585" t="str">
        <f t="shared" ref="J585" si="3079">J584</f>
        <v>"/&gt;</v>
      </c>
      <c r="K585" t="str">
        <f t="shared" ref="K585" si="3080">F585&amp;A585&amp;G585&amp;C585&amp;H585&amp;D585&amp;I585&amp;E585&amp;J585</f>
        <v>&lt;record id="180353" posx="0" posy="0" dir="0"/&gt;</v>
      </c>
    </row>
    <row r="586" spans="1:11">
      <c r="A586">
        <f>Sheet1!A693</f>
        <v>180354</v>
      </c>
      <c r="B586" t="str">
        <f>Sheet1!B693</f>
        <v>宝箱</v>
      </c>
      <c r="C586">
        <f>Sheet1!Q693</f>
        <v>0</v>
      </c>
      <c r="D586">
        <f>Sheet1!R693</f>
        <v>0</v>
      </c>
      <c r="E586">
        <f>Sheet1!U693</f>
        <v>0</v>
      </c>
      <c r="F586" t="str">
        <f t="shared" ref="F586" si="3081">F585</f>
        <v>&lt;record id="</v>
      </c>
      <c r="G586" t="str">
        <f t="shared" ref="G586" si="3082">G585</f>
        <v>" posx="</v>
      </c>
      <c r="H586" t="str">
        <f t="shared" ref="H586" si="3083">H585</f>
        <v>" posy="</v>
      </c>
      <c r="I586" t="str">
        <f t="shared" ref="I586" si="3084">I585</f>
        <v>" dir="</v>
      </c>
      <c r="J586" t="str">
        <f t="shared" ref="J586" si="3085">J585</f>
        <v>"/&gt;</v>
      </c>
      <c r="K586" t="str">
        <f t="shared" ref="K586" si="3086">F586&amp;A586&amp;G586&amp;C586&amp;H586&amp;D586&amp;I586&amp;E586&amp;J586</f>
        <v>&lt;record id="180354" posx="0" posy="0" dir="0"/&gt;</v>
      </c>
    </row>
    <row r="587" spans="1:11">
      <c r="A587">
        <f>Sheet1!A694</f>
        <v>180355</v>
      </c>
      <c r="B587" t="str">
        <f>Sheet1!B694</f>
        <v>惧控骑士</v>
      </c>
      <c r="C587">
        <f>Sheet1!Q694</f>
        <v>0</v>
      </c>
      <c r="D587">
        <f>Sheet1!R694</f>
        <v>0</v>
      </c>
      <c r="E587">
        <f>Sheet1!U694</f>
        <v>0</v>
      </c>
      <c r="F587" t="str">
        <f t="shared" ref="F587" si="3087">F586</f>
        <v>&lt;record id="</v>
      </c>
      <c r="G587" t="str">
        <f t="shared" ref="G587" si="3088">G586</f>
        <v>" posx="</v>
      </c>
      <c r="H587" t="str">
        <f t="shared" ref="H587" si="3089">H586</f>
        <v>" posy="</v>
      </c>
      <c r="I587" t="str">
        <f t="shared" ref="I587" si="3090">I586</f>
        <v>" dir="</v>
      </c>
      <c r="J587" t="str">
        <f t="shared" ref="J587" si="3091">J586</f>
        <v>"/&gt;</v>
      </c>
      <c r="K587" t="str">
        <f t="shared" ref="K587" si="3092">F587&amp;A587&amp;G587&amp;C587&amp;H587&amp;D587&amp;I587&amp;E587&amp;J587</f>
        <v>&lt;record id="180355" posx="0" posy="0" dir="0"/&gt;</v>
      </c>
    </row>
    <row r="588" spans="1:11">
      <c r="A588">
        <f>Sheet1!A695</f>
        <v>180356</v>
      </c>
      <c r="B588" t="str">
        <f>Sheet1!B695</f>
        <v>铁甲哨兵</v>
      </c>
      <c r="C588">
        <f>Sheet1!Q695</f>
        <v>0</v>
      </c>
      <c r="D588">
        <f>Sheet1!R695</f>
        <v>0</v>
      </c>
      <c r="E588">
        <f>Sheet1!U695</f>
        <v>0</v>
      </c>
      <c r="F588" t="str">
        <f t="shared" ref="F588" si="3093">F587</f>
        <v>&lt;record id="</v>
      </c>
      <c r="G588" t="str">
        <f t="shared" ref="G588" si="3094">G587</f>
        <v>" posx="</v>
      </c>
      <c r="H588" t="str">
        <f t="shared" ref="H588" si="3095">H587</f>
        <v>" posy="</v>
      </c>
      <c r="I588" t="str">
        <f t="shared" ref="I588" si="3096">I587</f>
        <v>" dir="</v>
      </c>
      <c r="J588" t="str">
        <f t="shared" ref="J588" si="3097">J587</f>
        <v>"/&gt;</v>
      </c>
      <c r="K588" t="str">
        <f t="shared" ref="K588" si="3098">F588&amp;A588&amp;G588&amp;C588&amp;H588&amp;D588&amp;I588&amp;E588&amp;J588</f>
        <v>&lt;record id="180356" posx="0" posy="0" dir="0"/&gt;</v>
      </c>
    </row>
    <row r="589" spans="1:11">
      <c r="A589">
        <f>Sheet1!A696</f>
        <v>180357</v>
      </c>
      <c r="B589" t="str">
        <f>Sheet1!B696</f>
        <v>敌法师</v>
      </c>
      <c r="C589">
        <f>Sheet1!Q696</f>
        <v>0</v>
      </c>
      <c r="D589">
        <f>Sheet1!R696</f>
        <v>0</v>
      </c>
      <c r="E589">
        <f>Sheet1!U696</f>
        <v>0</v>
      </c>
      <c r="F589" t="str">
        <f t="shared" ref="F589" si="3099">F588</f>
        <v>&lt;record id="</v>
      </c>
      <c r="G589" t="str">
        <f t="shared" ref="G589" si="3100">G588</f>
        <v>" posx="</v>
      </c>
      <c r="H589" t="str">
        <f t="shared" ref="H589" si="3101">H588</f>
        <v>" posy="</v>
      </c>
      <c r="I589" t="str">
        <f t="shared" ref="I589" si="3102">I588</f>
        <v>" dir="</v>
      </c>
      <c r="J589" t="str">
        <f t="shared" ref="J589" si="3103">J588</f>
        <v>"/&gt;</v>
      </c>
      <c r="K589" t="str">
        <f t="shared" ref="K589" si="3104">F589&amp;A589&amp;G589&amp;C589&amp;H589&amp;D589&amp;I589&amp;E589&amp;J589</f>
        <v>&lt;record id="180357" posx="0" posy="0" dir="0"/&gt;</v>
      </c>
    </row>
    <row r="590" spans="1:11">
      <c r="A590">
        <f>Sheet1!A697</f>
        <v>180358</v>
      </c>
      <c r="B590" t="str">
        <f>Sheet1!B697</f>
        <v>惧控骑士</v>
      </c>
      <c r="C590">
        <f>Sheet1!Q697</f>
        <v>0</v>
      </c>
      <c r="D590">
        <f>Sheet1!R697</f>
        <v>0</v>
      </c>
      <c r="E590">
        <f>Sheet1!U697</f>
        <v>0</v>
      </c>
      <c r="F590" t="str">
        <f t="shared" ref="F590" si="3105">F589</f>
        <v>&lt;record id="</v>
      </c>
      <c r="G590" t="str">
        <f t="shared" ref="G590" si="3106">G589</f>
        <v>" posx="</v>
      </c>
      <c r="H590" t="str">
        <f t="shared" ref="H590" si="3107">H589</f>
        <v>" posy="</v>
      </c>
      <c r="I590" t="str">
        <f t="shared" ref="I590" si="3108">I589</f>
        <v>" dir="</v>
      </c>
      <c r="J590" t="str">
        <f t="shared" ref="J590" si="3109">J589</f>
        <v>"/&gt;</v>
      </c>
      <c r="K590" t="str">
        <f t="shared" ref="K590" si="3110">F590&amp;A590&amp;G590&amp;C590&amp;H590&amp;D590&amp;I590&amp;E590&amp;J590</f>
        <v>&lt;record id="180358" posx="0" posy="0" dir="0"/&gt;</v>
      </c>
    </row>
    <row r="591" spans="1:11">
      <c r="A591">
        <f>Sheet1!A698</f>
        <v>180359</v>
      </c>
      <c r="B591" t="str">
        <f>Sheet1!B698</f>
        <v>铁甲哨兵</v>
      </c>
      <c r="C591">
        <f>Sheet1!Q698</f>
        <v>0</v>
      </c>
      <c r="D591">
        <f>Sheet1!R698</f>
        <v>0</v>
      </c>
      <c r="E591">
        <f>Sheet1!U698</f>
        <v>0</v>
      </c>
      <c r="F591" t="str">
        <f t="shared" ref="F591" si="3111">F590</f>
        <v>&lt;record id="</v>
      </c>
      <c r="G591" t="str">
        <f t="shared" ref="G591" si="3112">G590</f>
        <v>" posx="</v>
      </c>
      <c r="H591" t="str">
        <f t="shared" ref="H591" si="3113">H590</f>
        <v>" posy="</v>
      </c>
      <c r="I591" t="str">
        <f t="shared" ref="I591" si="3114">I590</f>
        <v>" dir="</v>
      </c>
      <c r="J591" t="str">
        <f t="shared" ref="J591" si="3115">J590</f>
        <v>"/&gt;</v>
      </c>
      <c r="K591" t="str">
        <f t="shared" ref="K591" si="3116">F591&amp;A591&amp;G591&amp;C591&amp;H591&amp;D591&amp;I591&amp;E591&amp;J591</f>
        <v>&lt;record id="180359" posx="0" posy="0" dir="0"/&gt;</v>
      </c>
    </row>
    <row r="592" spans="1:11">
      <c r="A592">
        <f>Sheet1!A699</f>
        <v>180360</v>
      </c>
      <c r="B592" t="str">
        <f>Sheet1!B699</f>
        <v>敌法师</v>
      </c>
      <c r="C592">
        <f>Sheet1!Q699</f>
        <v>0</v>
      </c>
      <c r="D592">
        <f>Sheet1!R699</f>
        <v>0</v>
      </c>
      <c r="E592">
        <f>Sheet1!U699</f>
        <v>0</v>
      </c>
      <c r="F592" t="str">
        <f t="shared" ref="F592" si="3117">F591</f>
        <v>&lt;record id="</v>
      </c>
      <c r="G592" t="str">
        <f t="shared" ref="G592" si="3118">G591</f>
        <v>" posx="</v>
      </c>
      <c r="H592" t="str">
        <f t="shared" ref="H592" si="3119">H591</f>
        <v>" posy="</v>
      </c>
      <c r="I592" t="str">
        <f t="shared" ref="I592" si="3120">I591</f>
        <v>" dir="</v>
      </c>
      <c r="J592" t="str">
        <f t="shared" ref="J592" si="3121">J591</f>
        <v>"/&gt;</v>
      </c>
      <c r="K592" t="str">
        <f t="shared" ref="K592" si="3122">F592&amp;A592&amp;G592&amp;C592&amp;H592&amp;D592&amp;I592&amp;E592&amp;J592</f>
        <v>&lt;record id="180360" posx="0" posy="0" dir="0"/&gt;</v>
      </c>
    </row>
    <row r="593" spans="1:11">
      <c r="A593">
        <f>Sheet1!A700</f>
        <v>180361</v>
      </c>
      <c r="B593" t="str">
        <f>Sheet1!B700</f>
        <v>惧控骑士</v>
      </c>
      <c r="C593">
        <f>Sheet1!Q700</f>
        <v>0</v>
      </c>
      <c r="D593">
        <f>Sheet1!R700</f>
        <v>0</v>
      </c>
      <c r="E593">
        <f>Sheet1!U700</f>
        <v>0</v>
      </c>
      <c r="F593" t="str">
        <f t="shared" ref="F593" si="3123">F592</f>
        <v>&lt;record id="</v>
      </c>
      <c r="G593" t="str">
        <f t="shared" ref="G593" si="3124">G592</f>
        <v>" posx="</v>
      </c>
      <c r="H593" t="str">
        <f t="shared" ref="H593" si="3125">H592</f>
        <v>" posy="</v>
      </c>
      <c r="I593" t="str">
        <f t="shared" ref="I593" si="3126">I592</f>
        <v>" dir="</v>
      </c>
      <c r="J593" t="str">
        <f t="shared" ref="J593" si="3127">J592</f>
        <v>"/&gt;</v>
      </c>
      <c r="K593" t="str">
        <f t="shared" ref="K593" si="3128">F593&amp;A593&amp;G593&amp;C593&amp;H593&amp;D593&amp;I593&amp;E593&amp;J593</f>
        <v>&lt;record id="180361" posx="0" posy="0" dir="0"/&gt;</v>
      </c>
    </row>
    <row r="594" spans="1:11">
      <c r="A594">
        <f>Sheet1!A701</f>
        <v>180362</v>
      </c>
      <c r="B594" t="str">
        <f>Sheet1!B701</f>
        <v>铁甲哨兵</v>
      </c>
      <c r="C594">
        <f>Sheet1!Q701</f>
        <v>0</v>
      </c>
      <c r="D594">
        <f>Sheet1!R701</f>
        <v>0</v>
      </c>
      <c r="E594">
        <f>Sheet1!U701</f>
        <v>0</v>
      </c>
      <c r="F594" t="str">
        <f t="shared" ref="F594" si="3129">F593</f>
        <v>&lt;record id="</v>
      </c>
      <c r="G594" t="str">
        <f t="shared" ref="G594" si="3130">G593</f>
        <v>" posx="</v>
      </c>
      <c r="H594" t="str">
        <f t="shared" ref="H594" si="3131">H593</f>
        <v>" posy="</v>
      </c>
      <c r="I594" t="str">
        <f t="shared" ref="I594" si="3132">I593</f>
        <v>" dir="</v>
      </c>
      <c r="J594" t="str">
        <f t="shared" ref="J594" si="3133">J593</f>
        <v>"/&gt;</v>
      </c>
      <c r="K594" t="str">
        <f t="shared" ref="K594" si="3134">F594&amp;A594&amp;G594&amp;C594&amp;H594&amp;D594&amp;I594&amp;E594&amp;J594</f>
        <v>&lt;record id="180362" posx="0" posy="0" dir="0"/&gt;</v>
      </c>
    </row>
    <row r="595" spans="1:11">
      <c r="A595">
        <f>Sheet1!A702</f>
        <v>180363</v>
      </c>
      <c r="B595" t="str">
        <f>Sheet1!B702</f>
        <v>敌法师</v>
      </c>
      <c r="C595">
        <f>Sheet1!Q702</f>
        <v>0</v>
      </c>
      <c r="D595">
        <f>Sheet1!R702</f>
        <v>0</v>
      </c>
      <c r="E595">
        <f>Sheet1!U702</f>
        <v>0</v>
      </c>
      <c r="F595" t="str">
        <f t="shared" ref="F595" si="3135">F594</f>
        <v>&lt;record id="</v>
      </c>
      <c r="G595" t="str">
        <f t="shared" ref="G595" si="3136">G594</f>
        <v>" posx="</v>
      </c>
      <c r="H595" t="str">
        <f t="shared" ref="H595" si="3137">H594</f>
        <v>" posy="</v>
      </c>
      <c r="I595" t="str">
        <f t="shared" ref="I595" si="3138">I594</f>
        <v>" dir="</v>
      </c>
      <c r="J595" t="str">
        <f t="shared" ref="J595" si="3139">J594</f>
        <v>"/&gt;</v>
      </c>
      <c r="K595" t="str">
        <f t="shared" ref="K595" si="3140">F595&amp;A595&amp;G595&amp;C595&amp;H595&amp;D595&amp;I595&amp;E595&amp;J595</f>
        <v>&lt;record id="180363" posx="0" posy="0" dir="0"/&gt;</v>
      </c>
    </row>
    <row r="596" spans="1:11">
      <c r="A596">
        <f>Sheet1!A703</f>
        <v>180364</v>
      </c>
      <c r="B596" t="str">
        <f>Sheet1!B703</f>
        <v>惧控骑士</v>
      </c>
      <c r="C596">
        <f>Sheet1!Q703</f>
        <v>0</v>
      </c>
      <c r="D596">
        <f>Sheet1!R703</f>
        <v>0</v>
      </c>
      <c r="E596">
        <f>Sheet1!U703</f>
        <v>0</v>
      </c>
      <c r="F596" t="str">
        <f t="shared" ref="F596" si="3141">F595</f>
        <v>&lt;record id="</v>
      </c>
      <c r="G596" t="str">
        <f t="shared" ref="G596" si="3142">G595</f>
        <v>" posx="</v>
      </c>
      <c r="H596" t="str">
        <f t="shared" ref="H596" si="3143">H595</f>
        <v>" posy="</v>
      </c>
      <c r="I596" t="str">
        <f t="shared" ref="I596" si="3144">I595</f>
        <v>" dir="</v>
      </c>
      <c r="J596" t="str">
        <f t="shared" ref="J596" si="3145">J595</f>
        <v>"/&gt;</v>
      </c>
      <c r="K596" t="str">
        <f t="shared" ref="K596" si="3146">F596&amp;A596&amp;G596&amp;C596&amp;H596&amp;D596&amp;I596&amp;E596&amp;J596</f>
        <v>&lt;record id="180364" posx="0" posy="0" dir="0"/&gt;</v>
      </c>
    </row>
    <row r="597" spans="1:11">
      <c r="A597">
        <f>Sheet1!A704</f>
        <v>180365</v>
      </c>
      <c r="B597" t="str">
        <f>Sheet1!B704</f>
        <v>铁甲哨兵</v>
      </c>
      <c r="C597">
        <f>Sheet1!Q704</f>
        <v>0</v>
      </c>
      <c r="D597">
        <f>Sheet1!R704</f>
        <v>0</v>
      </c>
      <c r="E597">
        <f>Sheet1!U704</f>
        <v>0</v>
      </c>
      <c r="F597" t="str">
        <f t="shared" ref="F597" si="3147">F596</f>
        <v>&lt;record id="</v>
      </c>
      <c r="G597" t="str">
        <f t="shared" ref="G597" si="3148">G596</f>
        <v>" posx="</v>
      </c>
      <c r="H597" t="str">
        <f t="shared" ref="H597" si="3149">H596</f>
        <v>" posy="</v>
      </c>
      <c r="I597" t="str">
        <f t="shared" ref="I597" si="3150">I596</f>
        <v>" dir="</v>
      </c>
      <c r="J597" t="str">
        <f t="shared" ref="J597" si="3151">J596</f>
        <v>"/&gt;</v>
      </c>
      <c r="K597" t="str">
        <f t="shared" ref="K597" si="3152">F597&amp;A597&amp;G597&amp;C597&amp;H597&amp;D597&amp;I597&amp;E597&amp;J597</f>
        <v>&lt;record id="180365" posx="0" posy="0" dir="0"/&gt;</v>
      </c>
    </row>
    <row r="598" spans="1:11">
      <c r="A598">
        <f>Sheet1!A705</f>
        <v>180366</v>
      </c>
      <c r="B598" t="str">
        <f>Sheet1!B705</f>
        <v>敌法师</v>
      </c>
      <c r="C598">
        <f>Sheet1!Q705</f>
        <v>0</v>
      </c>
      <c r="D598">
        <f>Sheet1!R705</f>
        <v>0</v>
      </c>
      <c r="E598">
        <f>Sheet1!U705</f>
        <v>0</v>
      </c>
      <c r="F598" t="str">
        <f t="shared" ref="F598" si="3153">F597</f>
        <v>&lt;record id="</v>
      </c>
      <c r="G598" t="str">
        <f t="shared" ref="G598" si="3154">G597</f>
        <v>" posx="</v>
      </c>
      <c r="H598" t="str">
        <f t="shared" ref="H598" si="3155">H597</f>
        <v>" posy="</v>
      </c>
      <c r="I598" t="str">
        <f t="shared" ref="I598" si="3156">I597</f>
        <v>" dir="</v>
      </c>
      <c r="J598" t="str">
        <f t="shared" ref="J598" si="3157">J597</f>
        <v>"/&gt;</v>
      </c>
      <c r="K598" t="str">
        <f t="shared" ref="K598" si="3158">F598&amp;A598&amp;G598&amp;C598&amp;H598&amp;D598&amp;I598&amp;E598&amp;J598</f>
        <v>&lt;record id="180366" posx="0" posy="0" dir="0"/&gt;</v>
      </c>
    </row>
    <row r="599" spans="1:11">
      <c r="A599">
        <f>Sheet1!A706</f>
        <v>180367</v>
      </c>
      <c r="B599" t="str">
        <f>Sheet1!B706</f>
        <v>惧控骑士</v>
      </c>
      <c r="C599">
        <f>Sheet1!Q706</f>
        <v>0</v>
      </c>
      <c r="D599">
        <f>Sheet1!R706</f>
        <v>0</v>
      </c>
      <c r="E599">
        <f>Sheet1!U706</f>
        <v>0</v>
      </c>
      <c r="F599" t="str">
        <f t="shared" ref="F599" si="3159">F598</f>
        <v>&lt;record id="</v>
      </c>
      <c r="G599" t="str">
        <f t="shared" ref="G599" si="3160">G598</f>
        <v>" posx="</v>
      </c>
      <c r="H599" t="str">
        <f t="shared" ref="H599" si="3161">H598</f>
        <v>" posy="</v>
      </c>
      <c r="I599" t="str">
        <f t="shared" ref="I599" si="3162">I598</f>
        <v>" dir="</v>
      </c>
      <c r="J599" t="str">
        <f t="shared" ref="J599" si="3163">J598</f>
        <v>"/&gt;</v>
      </c>
      <c r="K599" t="str">
        <f t="shared" ref="K599" si="3164">F599&amp;A599&amp;G599&amp;C599&amp;H599&amp;D599&amp;I599&amp;E599&amp;J599</f>
        <v>&lt;record id="180367" posx="0" posy="0" dir="0"/&gt;</v>
      </c>
    </row>
    <row r="600" spans="1:11">
      <c r="A600">
        <f>Sheet1!A707</f>
        <v>180368</v>
      </c>
      <c r="B600" t="str">
        <f>Sheet1!B707</f>
        <v>铁甲哨兵</v>
      </c>
      <c r="C600">
        <f>Sheet1!Q707</f>
        <v>0</v>
      </c>
      <c r="D600">
        <f>Sheet1!R707</f>
        <v>0</v>
      </c>
      <c r="E600">
        <f>Sheet1!U707</f>
        <v>0</v>
      </c>
      <c r="F600" t="str">
        <f t="shared" ref="F600" si="3165">F599</f>
        <v>&lt;record id="</v>
      </c>
      <c r="G600" t="str">
        <f t="shared" ref="G600" si="3166">G599</f>
        <v>" posx="</v>
      </c>
      <c r="H600" t="str">
        <f t="shared" ref="H600" si="3167">H599</f>
        <v>" posy="</v>
      </c>
      <c r="I600" t="str">
        <f t="shared" ref="I600" si="3168">I599</f>
        <v>" dir="</v>
      </c>
      <c r="J600" t="str">
        <f t="shared" ref="J600" si="3169">J599</f>
        <v>"/&gt;</v>
      </c>
      <c r="K600" t="str">
        <f t="shared" ref="K600" si="3170">F600&amp;A600&amp;G600&amp;C600&amp;H600&amp;D600&amp;I600&amp;E600&amp;J600</f>
        <v>&lt;record id="180368" posx="0" posy="0" dir="0"/&gt;</v>
      </c>
    </row>
    <row r="601" spans="1:11">
      <c r="A601">
        <f>Sheet1!A708</f>
        <v>180369</v>
      </c>
      <c r="B601" t="str">
        <f>Sheet1!B708</f>
        <v>敌法师</v>
      </c>
      <c r="C601">
        <f>Sheet1!Q708</f>
        <v>0</v>
      </c>
      <c r="D601">
        <f>Sheet1!R708</f>
        <v>0</v>
      </c>
      <c r="E601">
        <f>Sheet1!U708</f>
        <v>0</v>
      </c>
      <c r="F601" t="str">
        <f t="shared" ref="F601" si="3171">F600</f>
        <v>&lt;record id="</v>
      </c>
      <c r="G601" t="str">
        <f t="shared" ref="G601" si="3172">G600</f>
        <v>" posx="</v>
      </c>
      <c r="H601" t="str">
        <f t="shared" ref="H601" si="3173">H600</f>
        <v>" posy="</v>
      </c>
      <c r="I601" t="str">
        <f t="shared" ref="I601" si="3174">I600</f>
        <v>" dir="</v>
      </c>
      <c r="J601" t="str">
        <f t="shared" ref="J601" si="3175">J600</f>
        <v>"/&gt;</v>
      </c>
      <c r="K601" t="str">
        <f t="shared" ref="K601" si="3176">F601&amp;A601&amp;G601&amp;C601&amp;H601&amp;D601&amp;I601&amp;E601&amp;J601</f>
        <v>&lt;record id="180369" posx="0" posy="0" dir="0"/&gt;</v>
      </c>
    </row>
    <row r="602" spans="1:11">
      <c r="A602">
        <f>Sheet1!A709</f>
        <v>180370</v>
      </c>
      <c r="B602" t="str">
        <f>Sheet1!B709</f>
        <v>惧控鲁西拂</v>
      </c>
      <c r="C602">
        <f>Sheet1!Q709</f>
        <v>0</v>
      </c>
      <c r="D602">
        <f>Sheet1!R709</f>
        <v>0</v>
      </c>
      <c r="E602">
        <f>Sheet1!U709</f>
        <v>0</v>
      </c>
      <c r="F602" t="str">
        <f t="shared" ref="F602" si="3177">F601</f>
        <v>&lt;record id="</v>
      </c>
      <c r="G602" t="str">
        <f t="shared" ref="G602" si="3178">G601</f>
        <v>" posx="</v>
      </c>
      <c r="H602" t="str">
        <f t="shared" ref="H602" si="3179">H601</f>
        <v>" posy="</v>
      </c>
      <c r="I602" t="str">
        <f t="shared" ref="I602" si="3180">I601</f>
        <v>" dir="</v>
      </c>
      <c r="J602" t="str">
        <f t="shared" ref="J602" si="3181">J601</f>
        <v>"/&gt;</v>
      </c>
      <c r="K602" t="str">
        <f t="shared" ref="K602" si="3182">F602&amp;A602&amp;G602&amp;C602&amp;H602&amp;D602&amp;I602&amp;E602&amp;J602</f>
        <v>&lt;record id="180370" posx="0" posy="0" dir="0"/&gt;</v>
      </c>
    </row>
    <row r="603" spans="1:11">
      <c r="A603">
        <f>Sheet1!A710</f>
        <v>180371</v>
      </c>
      <c r="B603" t="str">
        <f>Sheet1!B710</f>
        <v>铁甲玛格达</v>
      </c>
      <c r="C603">
        <f>Sheet1!Q710</f>
        <v>0</v>
      </c>
      <c r="D603">
        <f>Sheet1!R710</f>
        <v>0</v>
      </c>
      <c r="E603">
        <f>Sheet1!U710</f>
        <v>0</v>
      </c>
      <c r="F603" t="str">
        <f t="shared" ref="F603" si="3183">F602</f>
        <v>&lt;record id="</v>
      </c>
      <c r="G603" t="str">
        <f t="shared" ref="G603" si="3184">G602</f>
        <v>" posx="</v>
      </c>
      <c r="H603" t="str">
        <f t="shared" ref="H603" si="3185">H602</f>
        <v>" posy="</v>
      </c>
      <c r="I603" t="str">
        <f t="shared" ref="I603" si="3186">I602</f>
        <v>" dir="</v>
      </c>
      <c r="J603" t="str">
        <f t="shared" ref="J603" si="3187">J602</f>
        <v>"/&gt;</v>
      </c>
      <c r="K603" t="str">
        <f t="shared" ref="K603" si="3188">F603&amp;A603&amp;G603&amp;C603&amp;H603&amp;D603&amp;I603&amp;E603&amp;J603</f>
        <v>&lt;record id="180371" posx="0" posy="0" dir="0"/&gt;</v>
      </c>
    </row>
    <row r="604" spans="1:11">
      <c r="A604">
        <f>Sheet1!A711</f>
        <v>180372</v>
      </c>
      <c r="B604" t="str">
        <f>Sheet1!B711</f>
        <v>敌法吉纳斯</v>
      </c>
      <c r="C604">
        <f>Sheet1!Q711</f>
        <v>0</v>
      </c>
      <c r="D604">
        <f>Sheet1!R711</f>
        <v>0</v>
      </c>
      <c r="E604">
        <f>Sheet1!U711</f>
        <v>0</v>
      </c>
      <c r="F604" t="str">
        <f t="shared" ref="F604" si="3189">F603</f>
        <v>&lt;record id="</v>
      </c>
      <c r="G604" t="str">
        <f t="shared" ref="G604" si="3190">G603</f>
        <v>" posx="</v>
      </c>
      <c r="H604" t="str">
        <f t="shared" ref="H604" si="3191">H603</f>
        <v>" posy="</v>
      </c>
      <c r="I604" t="str">
        <f t="shared" ref="I604" si="3192">I603</f>
        <v>" dir="</v>
      </c>
      <c r="J604" t="str">
        <f t="shared" ref="J604" si="3193">J603</f>
        <v>"/&gt;</v>
      </c>
      <c r="K604" t="str">
        <f t="shared" ref="K604" si="3194">F604&amp;A604&amp;G604&amp;C604&amp;H604&amp;D604&amp;I604&amp;E604&amp;J604</f>
        <v>&lt;record id="180372" posx="0" posy="0" dir="0"/&gt;</v>
      </c>
    </row>
    <row r="605" spans="1:11">
      <c r="A605">
        <f>Sheet1!A712</f>
        <v>180373</v>
      </c>
      <c r="B605" t="str">
        <f>Sheet1!B712</f>
        <v>惧控加尔罗</v>
      </c>
      <c r="C605">
        <f>Sheet1!Q712</f>
        <v>0</v>
      </c>
      <c r="D605">
        <f>Sheet1!R712</f>
        <v>0</v>
      </c>
      <c r="E605">
        <f>Sheet1!U712</f>
        <v>0</v>
      </c>
      <c r="F605" t="str">
        <f t="shared" ref="F605" si="3195">F604</f>
        <v>&lt;record id="</v>
      </c>
      <c r="G605" t="str">
        <f t="shared" ref="G605" si="3196">G604</f>
        <v>" posx="</v>
      </c>
      <c r="H605" t="str">
        <f t="shared" ref="H605" si="3197">H604</f>
        <v>" posy="</v>
      </c>
      <c r="I605" t="str">
        <f t="shared" ref="I605" si="3198">I604</f>
        <v>" dir="</v>
      </c>
      <c r="J605" t="str">
        <f t="shared" ref="J605:J610" si="3199">J604</f>
        <v>"/&gt;</v>
      </c>
      <c r="K605" t="str">
        <f t="shared" ref="K605" si="3200">F605&amp;A605&amp;G605&amp;C605&amp;H605&amp;D605&amp;I605&amp;E605&amp;J605</f>
        <v>&lt;record id="180373" posx="0" posy="0" dir="0"/&gt;</v>
      </c>
    </row>
    <row r="606" spans="1:11">
      <c r="A606">
        <f>Sheet1!A713</f>
        <v>180374</v>
      </c>
      <c r="B606" t="str">
        <f>Sheet1!B713</f>
        <v>铁甲嘉顿</v>
      </c>
      <c r="C606">
        <f>Sheet1!Q713</f>
        <v>0</v>
      </c>
      <c r="D606">
        <f>Sheet1!R713</f>
        <v>0</v>
      </c>
      <c r="E606">
        <f>Sheet1!U713</f>
        <v>0</v>
      </c>
      <c r="F606" t="str">
        <f t="shared" ref="F606:F611" si="3201">F605</f>
        <v>&lt;record id="</v>
      </c>
      <c r="G606" t="str">
        <f t="shared" ref="G606" si="3202">G605</f>
        <v>" posx="</v>
      </c>
      <c r="H606" t="str">
        <f t="shared" ref="H606" si="3203">H605</f>
        <v>" posy="</v>
      </c>
      <c r="I606" t="str">
        <f t="shared" ref="I606:I610" si="3204">I605</f>
        <v>" dir="</v>
      </c>
      <c r="J606" t="str">
        <f t="shared" si="3199"/>
        <v>"/&gt;</v>
      </c>
      <c r="K606" t="str">
        <f t="shared" ref="K606:K611" si="3205">F606&amp;A606&amp;G606&amp;C606&amp;H606&amp;D606&amp;I606&amp;E606&amp;J606</f>
        <v>&lt;record id="180374" posx="0" posy="0" dir="0"/&gt;</v>
      </c>
    </row>
    <row r="607" spans="1:11">
      <c r="A607">
        <f>Sheet1!A714</f>
        <v>180375</v>
      </c>
      <c r="B607" t="str">
        <f>Sheet1!B714</f>
        <v>敌法沙思拉</v>
      </c>
      <c r="C607">
        <f>Sheet1!Q714</f>
        <v>0</v>
      </c>
      <c r="D607">
        <f>Sheet1!R714</f>
        <v>0</v>
      </c>
      <c r="E607">
        <f>Sheet1!U714</f>
        <v>0</v>
      </c>
      <c r="F607" t="str">
        <f t="shared" si="3201"/>
        <v>&lt;record id="</v>
      </c>
      <c r="G607" t="str">
        <f t="shared" ref="G607" si="3206">G606</f>
        <v>" posx="</v>
      </c>
      <c r="H607" t="str">
        <f t="shared" ref="H607:H610" si="3207">H606</f>
        <v>" posy="</v>
      </c>
      <c r="I607" t="str">
        <f t="shared" si="3204"/>
        <v>" dir="</v>
      </c>
      <c r="J607" t="str">
        <f t="shared" si="3199"/>
        <v>"/&gt;</v>
      </c>
      <c r="K607" t="str">
        <f t="shared" si="3205"/>
        <v>&lt;record id="180375" posx="0" posy="0" dir="0"/&gt;</v>
      </c>
    </row>
    <row r="608" spans="1:11">
      <c r="A608">
        <f>Sheet1!A715</f>
        <v>180376</v>
      </c>
      <c r="B608" t="str">
        <f>Sheet1!B715</f>
        <v>惧控萨利弗</v>
      </c>
      <c r="C608">
        <f>Sheet1!Q715</f>
        <v>0</v>
      </c>
      <c r="D608">
        <f>Sheet1!R715</f>
        <v>0</v>
      </c>
      <c r="E608">
        <f>Sheet1!U715</f>
        <v>0</v>
      </c>
      <c r="F608" t="str">
        <f t="shared" si="3201"/>
        <v>&lt;record id="</v>
      </c>
      <c r="G608" t="str">
        <f t="shared" ref="G608:G610" si="3208">G607</f>
        <v>" posx="</v>
      </c>
      <c r="H608" t="str">
        <f t="shared" si="3207"/>
        <v>" posy="</v>
      </c>
      <c r="I608" t="str">
        <f t="shared" si="3204"/>
        <v>" dir="</v>
      </c>
      <c r="J608" t="str">
        <f t="shared" si="3199"/>
        <v>"/&gt;</v>
      </c>
      <c r="K608" t="str">
        <f t="shared" si="3205"/>
        <v>&lt;record id="180376" posx="0" posy="0" dir="0"/&gt;</v>
      </c>
    </row>
    <row r="609" spans="1:11">
      <c r="A609">
        <f>Sheet1!A716</f>
        <v>180377</v>
      </c>
      <c r="B609" t="str">
        <f>Sheet1!B716</f>
        <v>铁甲古雷曼</v>
      </c>
      <c r="C609">
        <f>Sheet1!Q716</f>
        <v>0</v>
      </c>
      <c r="D609">
        <f>Sheet1!R716</f>
        <v>0</v>
      </c>
      <c r="E609">
        <f>Sheet1!U716</f>
        <v>0</v>
      </c>
      <c r="F609" t="str">
        <f t="shared" si="3201"/>
        <v>&lt;record id="</v>
      </c>
      <c r="G609" t="str">
        <f t="shared" si="3208"/>
        <v>" posx="</v>
      </c>
      <c r="H609" t="str">
        <f t="shared" si="3207"/>
        <v>" posy="</v>
      </c>
      <c r="I609" t="str">
        <f t="shared" si="3204"/>
        <v>" dir="</v>
      </c>
      <c r="J609" t="str">
        <f t="shared" si="3199"/>
        <v>"/&gt;</v>
      </c>
      <c r="K609" t="str">
        <f t="shared" si="3205"/>
        <v>&lt;record id="180377" posx="0" posy="0" dir="0"/&gt;</v>
      </c>
    </row>
    <row r="610" spans="1:11">
      <c r="A610">
        <f>Sheet1!A717</f>
        <v>180378</v>
      </c>
      <c r="B610" t="str">
        <f>Sheet1!B717</f>
        <v>敌法埃克图斯</v>
      </c>
      <c r="C610">
        <f>Sheet1!Q717</f>
        <v>0</v>
      </c>
      <c r="D610">
        <f>Sheet1!R717</f>
        <v>0</v>
      </c>
      <c r="E610">
        <f>Sheet1!U717</f>
        <v>0</v>
      </c>
      <c r="F610" t="str">
        <f t="shared" si="3201"/>
        <v>&lt;record id="</v>
      </c>
      <c r="G610" t="str">
        <f t="shared" si="3208"/>
        <v>" posx="</v>
      </c>
      <c r="H610" t="str">
        <f t="shared" si="3207"/>
        <v>" posy="</v>
      </c>
      <c r="I610" t="str">
        <f t="shared" si="3204"/>
        <v>" dir="</v>
      </c>
      <c r="J610" t="str">
        <f t="shared" si="3199"/>
        <v>"/&gt;</v>
      </c>
      <c r="K610" t="str">
        <f t="shared" si="3205"/>
        <v>&lt;record id="180378" posx="0" posy="0" dir="0"/&gt;</v>
      </c>
    </row>
    <row r="611" spans="1:11">
      <c r="A611">
        <f>Sheet1!A718</f>
        <v>180379</v>
      </c>
      <c r="B611" t="str">
        <f>Sheet1!B718</f>
        <v>拉格罗斯</v>
      </c>
      <c r="C611">
        <f>Sheet1!Q718</f>
        <v>0</v>
      </c>
      <c r="D611">
        <f>Sheet1!R718</f>
        <v>0</v>
      </c>
      <c r="E611">
        <f>Sheet1!U718</f>
        <v>0</v>
      </c>
      <c r="F611" t="str">
        <f t="shared" si="3201"/>
        <v>&lt;record id="</v>
      </c>
      <c r="G611" t="str">
        <f t="shared" ref="G611" si="3209">G610</f>
        <v>" posx="</v>
      </c>
      <c r="H611" t="str">
        <f t="shared" ref="H611" si="3210">H610</f>
        <v>" posy="</v>
      </c>
      <c r="I611" t="str">
        <f t="shared" ref="I611" si="3211">I610</f>
        <v>" dir="</v>
      </c>
      <c r="J611" t="str">
        <f t="shared" ref="J611" si="3212">J610</f>
        <v>"/&gt;</v>
      </c>
      <c r="K611" t="str">
        <f t="shared" si="3205"/>
        <v>&lt;record id="180379" posx="0" posy="0" dir="0"/&gt;</v>
      </c>
    </row>
    <row r="612" spans="1:11">
      <c r="A612">
        <f>Sheet1!A719</f>
        <v>180380</v>
      </c>
      <c r="B612" t="str">
        <f>Sheet1!B719</f>
        <v>恋宝矮人</v>
      </c>
      <c r="C612">
        <f>Sheet1!Q719</f>
        <v>0</v>
      </c>
      <c r="D612">
        <f>Sheet1!R719</f>
        <v>0</v>
      </c>
      <c r="E612">
        <f>Sheet1!U719</f>
        <v>0</v>
      </c>
      <c r="F612" t="str">
        <f t="shared" ref="F612" si="3213">F611</f>
        <v>&lt;record id="</v>
      </c>
      <c r="G612" t="str">
        <f t="shared" ref="G612" si="3214">G611</f>
        <v>" posx="</v>
      </c>
      <c r="H612" t="str">
        <f t="shared" ref="H612" si="3215">H611</f>
        <v>" posy="</v>
      </c>
      <c r="I612" t="str">
        <f t="shared" ref="I612" si="3216">I611</f>
        <v>" dir="</v>
      </c>
      <c r="J612" t="str">
        <f t="shared" ref="J612" si="3217">J611</f>
        <v>"/&gt;</v>
      </c>
      <c r="K612" t="str">
        <f t="shared" ref="K612" si="3218">F612&amp;A612&amp;G612&amp;C612&amp;H612&amp;D612&amp;I612&amp;E612&amp;J612</f>
        <v>&lt;record id="180380" posx="0" posy="0" dir="0"/&gt;</v>
      </c>
    </row>
    <row r="613" spans="1:11">
      <c r="A613">
        <f>Sheet1!A720</f>
        <v>180381</v>
      </c>
      <c r="B613" t="str">
        <f>Sheet1!B720</f>
        <v>恋宝矮人</v>
      </c>
      <c r="C613">
        <f>Sheet1!Q720</f>
        <v>0</v>
      </c>
      <c r="D613">
        <f>Sheet1!R720</f>
        <v>0</v>
      </c>
      <c r="E613">
        <f>Sheet1!U720</f>
        <v>0</v>
      </c>
      <c r="F613" t="str">
        <f t="shared" ref="F613" si="3219">F612</f>
        <v>&lt;record id="</v>
      </c>
      <c r="G613" t="str">
        <f t="shared" ref="G613" si="3220">G612</f>
        <v>" posx="</v>
      </c>
      <c r="H613" t="str">
        <f t="shared" ref="H613" si="3221">H612</f>
        <v>" posy="</v>
      </c>
      <c r="I613" t="str">
        <f t="shared" ref="I613" si="3222">I612</f>
        <v>" dir="</v>
      </c>
      <c r="J613" t="str">
        <f t="shared" ref="J613" si="3223">J612</f>
        <v>"/&gt;</v>
      </c>
      <c r="K613" t="str">
        <f t="shared" ref="K613" si="3224">F613&amp;A613&amp;G613&amp;C613&amp;H613&amp;D613&amp;I613&amp;E613&amp;J613</f>
        <v>&lt;record id="180381" posx="0" posy="0" dir="0"/&gt;</v>
      </c>
    </row>
    <row r="614" spans="1:11">
      <c r="A614">
        <f>Sheet1!A721</f>
        <v>180382</v>
      </c>
      <c r="B614" t="str">
        <f>Sheet1!B721</f>
        <v>贪食公主</v>
      </c>
      <c r="C614">
        <f>Sheet1!Q721</f>
        <v>0</v>
      </c>
      <c r="D614">
        <f>Sheet1!R721</f>
        <v>0</v>
      </c>
      <c r="E614">
        <f>Sheet1!U721</f>
        <v>0</v>
      </c>
      <c r="F614" t="str">
        <f t="shared" ref="F614" si="3225">F613</f>
        <v>&lt;record id="</v>
      </c>
      <c r="G614" t="str">
        <f t="shared" ref="G614" si="3226">G613</f>
        <v>" posx="</v>
      </c>
      <c r="H614" t="str">
        <f t="shared" ref="H614" si="3227">H613</f>
        <v>" posy="</v>
      </c>
      <c r="I614" t="str">
        <f t="shared" ref="I614" si="3228">I613</f>
        <v>" dir="</v>
      </c>
      <c r="J614" t="str">
        <f t="shared" ref="J614" si="3229">J613</f>
        <v>"/&gt;</v>
      </c>
      <c r="K614" t="str">
        <f t="shared" ref="K614" si="3230">F614&amp;A614&amp;G614&amp;C614&amp;H614&amp;D614&amp;I614&amp;E614&amp;J614</f>
        <v>&lt;record id="180382" posx="0" posy="0" dir="0"/&gt;</v>
      </c>
    </row>
    <row r="615" spans="1:11">
      <c r="A615">
        <f>Sheet1!A722</f>
        <v>180383</v>
      </c>
      <c r="B615" t="str">
        <f>Sheet1!B722</f>
        <v>贪食公主</v>
      </c>
      <c r="C615">
        <f>Sheet1!Q722</f>
        <v>0</v>
      </c>
      <c r="D615">
        <f>Sheet1!R722</f>
        <v>0</v>
      </c>
      <c r="E615">
        <f>Sheet1!U722</f>
        <v>0</v>
      </c>
      <c r="F615" t="str">
        <f t="shared" ref="F615" si="3231">F614</f>
        <v>&lt;record id="</v>
      </c>
      <c r="G615" t="str">
        <f t="shared" ref="G615" si="3232">G614</f>
        <v>" posx="</v>
      </c>
      <c r="H615" t="str">
        <f t="shared" ref="H615" si="3233">H614</f>
        <v>" posy="</v>
      </c>
      <c r="I615" t="str">
        <f t="shared" ref="I615" si="3234">I614</f>
        <v>" dir="</v>
      </c>
      <c r="J615" t="str">
        <f t="shared" ref="J615" si="3235">J614</f>
        <v>"/&gt;</v>
      </c>
      <c r="K615" t="str">
        <f t="shared" ref="K615" si="3236">F615&amp;A615&amp;G615&amp;C615&amp;H615&amp;D615&amp;I615&amp;E615&amp;J615</f>
        <v>&lt;record id="180383" posx="0" posy="0" dir="0"/&gt;</v>
      </c>
    </row>
    <row r="616" spans="1:11">
      <c r="A616">
        <f>Sheet1!A723</f>
        <v>180401</v>
      </c>
      <c r="B616" t="str">
        <f>Sheet1!B723</f>
        <v>恋宝南瓜</v>
      </c>
      <c r="C616">
        <f>Sheet1!Q723</f>
        <v>0</v>
      </c>
      <c r="D616">
        <f>Sheet1!R723</f>
        <v>0</v>
      </c>
      <c r="E616">
        <f>Sheet1!U723</f>
        <v>0</v>
      </c>
      <c r="F616" t="str">
        <f t="shared" ref="F616" si="3237">F615</f>
        <v>&lt;record id="</v>
      </c>
      <c r="G616" t="str">
        <f t="shared" ref="G616" si="3238">G615</f>
        <v>" posx="</v>
      </c>
      <c r="H616" t="str">
        <f t="shared" ref="H616" si="3239">H615</f>
        <v>" posy="</v>
      </c>
      <c r="I616" t="str">
        <f t="shared" ref="I616" si="3240">I615</f>
        <v>" dir="</v>
      </c>
      <c r="J616" t="str">
        <f t="shared" ref="J616" si="3241">J615</f>
        <v>"/&gt;</v>
      </c>
      <c r="K616" t="str">
        <f t="shared" ref="K616" si="3242">F616&amp;A616&amp;G616&amp;C616&amp;H616&amp;D616&amp;I616&amp;E616&amp;J616</f>
        <v>&lt;record id="180401" posx="0" posy="0" dir="0"/&gt;</v>
      </c>
    </row>
    <row r="617" spans="1:11">
      <c r="A617">
        <f>Sheet1!A724</f>
        <v>180402</v>
      </c>
      <c r="B617" t="str">
        <f>Sheet1!B724</f>
        <v>贪食饿犬</v>
      </c>
      <c r="C617">
        <f>Sheet1!Q724</f>
        <v>0</v>
      </c>
      <c r="D617">
        <f>Sheet1!R724</f>
        <v>0</v>
      </c>
      <c r="E617">
        <f>Sheet1!U724</f>
        <v>0</v>
      </c>
      <c r="F617" t="str">
        <f t="shared" ref="F617" si="3243">F616</f>
        <v>&lt;record id="</v>
      </c>
      <c r="G617" t="str">
        <f t="shared" ref="G617" si="3244">G616</f>
        <v>" posx="</v>
      </c>
      <c r="H617" t="str">
        <f t="shared" ref="H617" si="3245">H616</f>
        <v>" posy="</v>
      </c>
      <c r="I617" t="str">
        <f t="shared" ref="I617" si="3246">I616</f>
        <v>" dir="</v>
      </c>
      <c r="J617" t="str">
        <f t="shared" ref="J617" si="3247">J616</f>
        <v>"/&gt;</v>
      </c>
      <c r="K617" t="str">
        <f t="shared" ref="K617" si="3248">F617&amp;A617&amp;G617&amp;C617&amp;H617&amp;D617&amp;I617&amp;E617&amp;J617</f>
        <v>&lt;record id="180402" posx="0" posy="0" dir="0"/&gt;</v>
      </c>
    </row>
    <row r="618" spans="1:11">
      <c r="A618">
        <f>Sheet1!A725</f>
        <v>180403</v>
      </c>
      <c r="B618" t="str">
        <f>Sheet1!B725</f>
        <v>鳄鱼问答</v>
      </c>
      <c r="C618">
        <f>Sheet1!Q725</f>
        <v>0</v>
      </c>
      <c r="D618">
        <f>Sheet1!R725</f>
        <v>0</v>
      </c>
      <c r="E618">
        <f>Sheet1!U725</f>
        <v>0</v>
      </c>
      <c r="F618" t="str">
        <f t="shared" ref="F618" si="3249">F617</f>
        <v>&lt;record id="</v>
      </c>
      <c r="G618" t="str">
        <f t="shared" ref="G618" si="3250">G617</f>
        <v>" posx="</v>
      </c>
      <c r="H618" t="str">
        <f t="shared" ref="H618" si="3251">H617</f>
        <v>" posy="</v>
      </c>
      <c r="I618" t="str">
        <f t="shared" ref="I618" si="3252">I617</f>
        <v>" dir="</v>
      </c>
      <c r="J618" t="str">
        <f t="shared" ref="J618" si="3253">J617</f>
        <v>"/&gt;</v>
      </c>
      <c r="K618" t="str">
        <f t="shared" ref="K618" si="3254">F618&amp;A618&amp;G618&amp;C618&amp;H618&amp;D618&amp;I618&amp;E618&amp;J618</f>
        <v>&lt;record id="180403" posx="0" posy="0" dir="0"/&gt;</v>
      </c>
    </row>
    <row r="619" spans="1:11">
      <c r="A619">
        <f>Sheet1!A726</f>
        <v>180404</v>
      </c>
      <c r="B619" t="str">
        <f>Sheet1!B726</f>
        <v>宝箱</v>
      </c>
      <c r="C619">
        <f>Sheet1!Q726</f>
        <v>0</v>
      </c>
      <c r="D619">
        <f>Sheet1!R726</f>
        <v>0</v>
      </c>
      <c r="E619">
        <f>Sheet1!U726</f>
        <v>0</v>
      </c>
      <c r="F619" t="str">
        <f t="shared" ref="F619" si="3255">F618</f>
        <v>&lt;record id="</v>
      </c>
      <c r="G619" t="str">
        <f t="shared" ref="G619" si="3256">G618</f>
        <v>" posx="</v>
      </c>
      <c r="H619" t="str">
        <f t="shared" ref="H619" si="3257">H618</f>
        <v>" posy="</v>
      </c>
      <c r="I619" t="str">
        <f t="shared" ref="I619" si="3258">I618</f>
        <v>" dir="</v>
      </c>
      <c r="J619" t="str">
        <f t="shared" ref="J619" si="3259">J618</f>
        <v>"/&gt;</v>
      </c>
      <c r="K619" t="str">
        <f t="shared" ref="K619" si="3260">F619&amp;A619&amp;G619&amp;C619&amp;H619&amp;D619&amp;I619&amp;E619&amp;J619</f>
        <v>&lt;record id="180404" posx="0" posy="0" dir="0"/&gt;</v>
      </c>
    </row>
    <row r="620" spans="1:11">
      <c r="A620">
        <f>Sheet1!A727</f>
        <v>180405</v>
      </c>
      <c r="B620" t="str">
        <f>Sheet1!B727</f>
        <v>惧控地卜师</v>
      </c>
      <c r="C620">
        <f>Sheet1!Q727</f>
        <v>0</v>
      </c>
      <c r="D620">
        <f>Sheet1!R727</f>
        <v>0</v>
      </c>
      <c r="E620">
        <f>Sheet1!U727</f>
        <v>0</v>
      </c>
      <c r="F620" t="str">
        <f t="shared" ref="F620" si="3261">F619</f>
        <v>&lt;record id="</v>
      </c>
      <c r="G620" t="str">
        <f t="shared" ref="G620" si="3262">G619</f>
        <v>" posx="</v>
      </c>
      <c r="H620" t="str">
        <f t="shared" ref="H620" si="3263">H619</f>
        <v>" posy="</v>
      </c>
      <c r="I620" t="str">
        <f t="shared" ref="I620" si="3264">I619</f>
        <v>" dir="</v>
      </c>
      <c r="J620" t="str">
        <f t="shared" ref="J620" si="3265">J619</f>
        <v>"/&gt;</v>
      </c>
      <c r="K620" t="str">
        <f t="shared" ref="K620" si="3266">F620&amp;A620&amp;G620&amp;C620&amp;H620&amp;D620&amp;I620&amp;E620&amp;J620</f>
        <v>&lt;record id="180405" posx="0" posy="0" dir="0"/&gt;</v>
      </c>
    </row>
    <row r="621" spans="1:11">
      <c r="A621">
        <f>Sheet1!A728</f>
        <v>180406</v>
      </c>
      <c r="B621" t="str">
        <f>Sheet1!B728</f>
        <v>铁甲狂乱者</v>
      </c>
      <c r="C621">
        <f>Sheet1!Q728</f>
        <v>0</v>
      </c>
      <c r="D621">
        <f>Sheet1!R728</f>
        <v>0</v>
      </c>
      <c r="E621">
        <f>Sheet1!U728</f>
        <v>0</v>
      </c>
      <c r="F621" t="str">
        <f t="shared" ref="F621" si="3267">F620</f>
        <v>&lt;record id="</v>
      </c>
      <c r="G621" t="str">
        <f t="shared" ref="G621" si="3268">G620</f>
        <v>" posx="</v>
      </c>
      <c r="H621" t="str">
        <f t="shared" ref="H621" si="3269">H620</f>
        <v>" posy="</v>
      </c>
      <c r="I621" t="str">
        <f t="shared" ref="I621" si="3270">I620</f>
        <v>" dir="</v>
      </c>
      <c r="J621" t="str">
        <f t="shared" ref="J621" si="3271">J620</f>
        <v>"/&gt;</v>
      </c>
      <c r="K621" t="str">
        <f t="shared" ref="K621" si="3272">F621&amp;A621&amp;G621&amp;C621&amp;H621&amp;D621&amp;I621&amp;E621&amp;J621</f>
        <v>&lt;record id="180406" posx="0" posy="0" dir="0"/&gt;</v>
      </c>
    </row>
    <row r="622" spans="1:11">
      <c r="A622">
        <f>Sheet1!A729</f>
        <v>180407</v>
      </c>
      <c r="B622" t="str">
        <f>Sheet1!B729</f>
        <v>敌法缚法者</v>
      </c>
      <c r="C622">
        <f>Sheet1!Q729</f>
        <v>0</v>
      </c>
      <c r="D622">
        <f>Sheet1!R729</f>
        <v>0</v>
      </c>
      <c r="E622">
        <f>Sheet1!U729</f>
        <v>0</v>
      </c>
      <c r="F622" t="str">
        <f t="shared" ref="F622" si="3273">F621</f>
        <v>&lt;record id="</v>
      </c>
      <c r="G622" t="str">
        <f t="shared" ref="G622" si="3274">G621</f>
        <v>" posx="</v>
      </c>
      <c r="H622" t="str">
        <f t="shared" ref="H622" si="3275">H621</f>
        <v>" posy="</v>
      </c>
      <c r="I622" t="str">
        <f t="shared" ref="I622" si="3276">I621</f>
        <v>" dir="</v>
      </c>
      <c r="J622" t="str">
        <f t="shared" ref="J622" si="3277">J621</f>
        <v>"/&gt;</v>
      </c>
      <c r="K622" t="str">
        <f t="shared" ref="K622" si="3278">F622&amp;A622&amp;G622&amp;C622&amp;H622&amp;D622&amp;I622&amp;E622&amp;J622</f>
        <v>&lt;record id="180407" posx="0" posy="0" dir="0"/&gt;</v>
      </c>
    </row>
    <row r="623" spans="1:11">
      <c r="A623">
        <f>Sheet1!A730</f>
        <v>180408</v>
      </c>
      <c r="B623" t="str">
        <f>Sheet1!B730</f>
        <v>惧控地卜师</v>
      </c>
      <c r="C623">
        <f>Sheet1!Q730</f>
        <v>0</v>
      </c>
      <c r="D623">
        <f>Sheet1!R730</f>
        <v>0</v>
      </c>
      <c r="E623">
        <f>Sheet1!U730</f>
        <v>0</v>
      </c>
      <c r="F623" t="str">
        <f t="shared" ref="F623" si="3279">F622</f>
        <v>&lt;record id="</v>
      </c>
      <c r="G623" t="str">
        <f t="shared" ref="G623" si="3280">G622</f>
        <v>" posx="</v>
      </c>
      <c r="H623" t="str">
        <f t="shared" ref="H623" si="3281">H622</f>
        <v>" posy="</v>
      </c>
      <c r="I623" t="str">
        <f t="shared" ref="I623" si="3282">I622</f>
        <v>" dir="</v>
      </c>
      <c r="J623" t="str">
        <f t="shared" ref="J623" si="3283">J622</f>
        <v>"/&gt;</v>
      </c>
      <c r="K623" t="str">
        <f t="shared" ref="K623" si="3284">F623&amp;A623&amp;G623&amp;C623&amp;H623&amp;D623&amp;I623&amp;E623&amp;J623</f>
        <v>&lt;record id="180408" posx="0" posy="0" dir="0"/&gt;</v>
      </c>
    </row>
    <row r="624" spans="1:11">
      <c r="A624">
        <f>Sheet1!A731</f>
        <v>180409</v>
      </c>
      <c r="B624" t="str">
        <f>Sheet1!B731</f>
        <v>铁甲狂乱者</v>
      </c>
      <c r="C624">
        <f>Sheet1!Q731</f>
        <v>0</v>
      </c>
      <c r="D624">
        <f>Sheet1!R731</f>
        <v>0</v>
      </c>
      <c r="E624">
        <f>Sheet1!U731</f>
        <v>0</v>
      </c>
      <c r="F624" t="str">
        <f t="shared" ref="F624" si="3285">F623</f>
        <v>&lt;record id="</v>
      </c>
      <c r="G624" t="str">
        <f t="shared" ref="G624" si="3286">G623</f>
        <v>" posx="</v>
      </c>
      <c r="H624" t="str">
        <f t="shared" ref="H624" si="3287">H623</f>
        <v>" posy="</v>
      </c>
      <c r="I624" t="str">
        <f t="shared" ref="I624" si="3288">I623</f>
        <v>" dir="</v>
      </c>
      <c r="J624" t="str">
        <f t="shared" ref="J624" si="3289">J623</f>
        <v>"/&gt;</v>
      </c>
      <c r="K624" t="str">
        <f t="shared" ref="K624" si="3290">F624&amp;A624&amp;G624&amp;C624&amp;H624&amp;D624&amp;I624&amp;E624&amp;J624</f>
        <v>&lt;record id="180409" posx="0" posy="0" dir="0"/&gt;</v>
      </c>
    </row>
    <row r="625" spans="1:11">
      <c r="A625">
        <f>Sheet1!A732</f>
        <v>180410</v>
      </c>
      <c r="B625" t="str">
        <f>Sheet1!B732</f>
        <v>敌法缚法者</v>
      </c>
      <c r="C625">
        <f>Sheet1!Q732</f>
        <v>0</v>
      </c>
      <c r="D625">
        <f>Sheet1!R732</f>
        <v>0</v>
      </c>
      <c r="E625">
        <f>Sheet1!U732</f>
        <v>0</v>
      </c>
      <c r="F625" t="str">
        <f t="shared" ref="F625" si="3291">F624</f>
        <v>&lt;record id="</v>
      </c>
      <c r="G625" t="str">
        <f t="shared" ref="G625" si="3292">G624</f>
        <v>" posx="</v>
      </c>
      <c r="H625" t="str">
        <f t="shared" ref="H625" si="3293">H624</f>
        <v>" posy="</v>
      </c>
      <c r="I625" t="str">
        <f t="shared" ref="I625" si="3294">I624</f>
        <v>" dir="</v>
      </c>
      <c r="J625" t="str">
        <f t="shared" ref="J625" si="3295">J624</f>
        <v>"/&gt;</v>
      </c>
      <c r="K625" t="str">
        <f t="shared" ref="K625" si="3296">F625&amp;A625&amp;G625&amp;C625&amp;H625&amp;D625&amp;I625&amp;E625&amp;J625</f>
        <v>&lt;record id="180410" posx="0" posy="0" dir="0"/&gt;</v>
      </c>
    </row>
    <row r="626" spans="1:11">
      <c r="A626">
        <f>Sheet1!A733</f>
        <v>180411</v>
      </c>
      <c r="B626" t="str">
        <f>Sheet1!B733</f>
        <v>惧控地卜师</v>
      </c>
      <c r="C626">
        <f>Sheet1!Q733</f>
        <v>0</v>
      </c>
      <c r="D626">
        <f>Sheet1!R733</f>
        <v>0</v>
      </c>
      <c r="E626">
        <f>Sheet1!U733</f>
        <v>0</v>
      </c>
      <c r="F626" t="str">
        <f t="shared" ref="F626" si="3297">F625</f>
        <v>&lt;record id="</v>
      </c>
      <c r="G626" t="str">
        <f t="shared" ref="G626" si="3298">G625</f>
        <v>" posx="</v>
      </c>
      <c r="H626" t="str">
        <f t="shared" ref="H626" si="3299">H625</f>
        <v>" posy="</v>
      </c>
      <c r="I626" t="str">
        <f t="shared" ref="I626" si="3300">I625</f>
        <v>" dir="</v>
      </c>
      <c r="J626" t="str">
        <f t="shared" ref="J626" si="3301">J625</f>
        <v>"/&gt;</v>
      </c>
      <c r="K626" t="str">
        <f t="shared" ref="K626" si="3302">F626&amp;A626&amp;G626&amp;C626&amp;H626&amp;D626&amp;I626&amp;E626&amp;J626</f>
        <v>&lt;record id="180411" posx="0" posy="0" dir="0"/&gt;</v>
      </c>
    </row>
    <row r="627" spans="1:11">
      <c r="A627">
        <f>Sheet1!A734</f>
        <v>180412</v>
      </c>
      <c r="B627" t="str">
        <f>Sheet1!B734</f>
        <v>铁甲狂乱者</v>
      </c>
      <c r="C627">
        <f>Sheet1!Q734</f>
        <v>0</v>
      </c>
      <c r="D627">
        <f>Sheet1!R734</f>
        <v>0</v>
      </c>
      <c r="E627">
        <f>Sheet1!U734</f>
        <v>0</v>
      </c>
      <c r="F627" t="str">
        <f t="shared" ref="F627" si="3303">F626</f>
        <v>&lt;record id="</v>
      </c>
      <c r="G627" t="str">
        <f t="shared" ref="G627" si="3304">G626</f>
        <v>" posx="</v>
      </c>
      <c r="H627" t="str">
        <f t="shared" ref="H627" si="3305">H626</f>
        <v>" posy="</v>
      </c>
      <c r="I627" t="str">
        <f t="shared" ref="I627" si="3306">I626</f>
        <v>" dir="</v>
      </c>
      <c r="J627" t="str">
        <f t="shared" ref="J627" si="3307">J626</f>
        <v>"/&gt;</v>
      </c>
      <c r="K627" t="str">
        <f t="shared" ref="K627" si="3308">F627&amp;A627&amp;G627&amp;C627&amp;H627&amp;D627&amp;I627&amp;E627&amp;J627</f>
        <v>&lt;record id="180412" posx="0" posy="0" dir="0"/&gt;</v>
      </c>
    </row>
    <row r="628" spans="1:11">
      <c r="A628">
        <f>Sheet1!A735</f>
        <v>180413</v>
      </c>
      <c r="B628" t="str">
        <f>Sheet1!B735</f>
        <v>敌法缚法者</v>
      </c>
      <c r="C628">
        <f>Sheet1!Q735</f>
        <v>0</v>
      </c>
      <c r="D628">
        <f>Sheet1!R735</f>
        <v>0</v>
      </c>
      <c r="E628">
        <f>Sheet1!U735</f>
        <v>0</v>
      </c>
      <c r="F628" t="str">
        <f t="shared" ref="F628" si="3309">F627</f>
        <v>&lt;record id="</v>
      </c>
      <c r="G628" t="str">
        <f t="shared" ref="G628" si="3310">G627</f>
        <v>" posx="</v>
      </c>
      <c r="H628" t="str">
        <f t="shared" ref="H628" si="3311">H627</f>
        <v>" posy="</v>
      </c>
      <c r="I628" t="str">
        <f t="shared" ref="I628" si="3312">I627</f>
        <v>" dir="</v>
      </c>
      <c r="J628" t="str">
        <f t="shared" ref="J628" si="3313">J627</f>
        <v>"/&gt;</v>
      </c>
      <c r="K628" t="str">
        <f t="shared" ref="K628" si="3314">F628&amp;A628&amp;G628&amp;C628&amp;H628&amp;D628&amp;I628&amp;E628&amp;J628</f>
        <v>&lt;record id="180413" posx="0" posy="0" dir="0"/&gt;</v>
      </c>
    </row>
    <row r="629" spans="1:11">
      <c r="A629">
        <f>Sheet1!A736</f>
        <v>180414</v>
      </c>
      <c r="B629" t="str">
        <f>Sheet1!B736</f>
        <v>惧控地卜师</v>
      </c>
      <c r="C629">
        <f>Sheet1!Q736</f>
        <v>0</v>
      </c>
      <c r="D629">
        <f>Sheet1!R736</f>
        <v>0</v>
      </c>
      <c r="E629">
        <f>Sheet1!U736</f>
        <v>0</v>
      </c>
      <c r="F629" t="str">
        <f t="shared" ref="F629" si="3315">F628</f>
        <v>&lt;record id="</v>
      </c>
      <c r="G629" t="str">
        <f t="shared" ref="G629" si="3316">G628</f>
        <v>" posx="</v>
      </c>
      <c r="H629" t="str">
        <f t="shared" ref="H629" si="3317">H628</f>
        <v>" posy="</v>
      </c>
      <c r="I629" t="str">
        <f t="shared" ref="I629" si="3318">I628</f>
        <v>" dir="</v>
      </c>
      <c r="J629" t="str">
        <f t="shared" ref="J629" si="3319">J628</f>
        <v>"/&gt;</v>
      </c>
      <c r="K629" t="str">
        <f t="shared" ref="K629" si="3320">F629&amp;A629&amp;G629&amp;C629&amp;H629&amp;D629&amp;I629&amp;E629&amp;J629</f>
        <v>&lt;record id="180414" posx="0" posy="0" dir="0"/&gt;</v>
      </c>
    </row>
    <row r="630" spans="1:11">
      <c r="A630">
        <f>Sheet1!A737</f>
        <v>180415</v>
      </c>
      <c r="B630" t="str">
        <f>Sheet1!B737</f>
        <v>铁甲狂乱者</v>
      </c>
      <c r="C630">
        <f>Sheet1!Q737</f>
        <v>0</v>
      </c>
      <c r="D630">
        <f>Sheet1!R737</f>
        <v>0</v>
      </c>
      <c r="E630">
        <f>Sheet1!U737</f>
        <v>0</v>
      </c>
      <c r="F630" t="str">
        <f t="shared" ref="F630" si="3321">F629</f>
        <v>&lt;record id="</v>
      </c>
      <c r="G630" t="str">
        <f t="shared" ref="G630" si="3322">G629</f>
        <v>" posx="</v>
      </c>
      <c r="H630" t="str">
        <f t="shared" ref="H630" si="3323">H629</f>
        <v>" posy="</v>
      </c>
      <c r="I630" t="str">
        <f t="shared" ref="I630" si="3324">I629</f>
        <v>" dir="</v>
      </c>
      <c r="J630" t="str">
        <f t="shared" ref="J630" si="3325">J629</f>
        <v>"/&gt;</v>
      </c>
      <c r="K630" t="str">
        <f t="shared" ref="K630" si="3326">F630&amp;A630&amp;G630&amp;C630&amp;H630&amp;D630&amp;I630&amp;E630&amp;J630</f>
        <v>&lt;record id="180415" posx="0" posy="0" dir="0"/&gt;</v>
      </c>
    </row>
    <row r="631" spans="1:11">
      <c r="A631">
        <f>Sheet1!A738</f>
        <v>180416</v>
      </c>
      <c r="B631" t="str">
        <f>Sheet1!B738</f>
        <v>敌法缚法者</v>
      </c>
      <c r="C631">
        <f>Sheet1!Q738</f>
        <v>0</v>
      </c>
      <c r="D631">
        <f>Sheet1!R738</f>
        <v>0</v>
      </c>
      <c r="E631">
        <f>Sheet1!U738</f>
        <v>0</v>
      </c>
      <c r="F631" t="str">
        <f t="shared" ref="F631" si="3327">F630</f>
        <v>&lt;record id="</v>
      </c>
      <c r="G631" t="str">
        <f t="shared" ref="G631" si="3328">G630</f>
        <v>" posx="</v>
      </c>
      <c r="H631" t="str">
        <f t="shared" ref="H631" si="3329">H630</f>
        <v>" posy="</v>
      </c>
      <c r="I631" t="str">
        <f t="shared" ref="I631" si="3330">I630</f>
        <v>" dir="</v>
      </c>
      <c r="J631" t="str">
        <f t="shared" ref="J631" si="3331">J630</f>
        <v>"/&gt;</v>
      </c>
      <c r="K631" t="str">
        <f t="shared" ref="K631" si="3332">F631&amp;A631&amp;G631&amp;C631&amp;H631&amp;D631&amp;I631&amp;E631&amp;J631</f>
        <v>&lt;record id="180416" posx="0" posy="0" dir="0"/&gt;</v>
      </c>
    </row>
    <row r="632" spans="1:11">
      <c r="A632">
        <f>Sheet1!A739</f>
        <v>180417</v>
      </c>
      <c r="B632" t="str">
        <f>Sheet1!B739</f>
        <v>惧控地卜师</v>
      </c>
      <c r="C632">
        <f>Sheet1!Q739</f>
        <v>0</v>
      </c>
      <c r="D632">
        <f>Sheet1!R739</f>
        <v>0</v>
      </c>
      <c r="E632">
        <f>Sheet1!U739</f>
        <v>0</v>
      </c>
      <c r="F632" t="str">
        <f t="shared" ref="F632" si="3333">F631</f>
        <v>&lt;record id="</v>
      </c>
      <c r="G632" t="str">
        <f t="shared" ref="G632" si="3334">G631</f>
        <v>" posx="</v>
      </c>
      <c r="H632" t="str">
        <f t="shared" ref="H632" si="3335">H631</f>
        <v>" posy="</v>
      </c>
      <c r="I632" t="str">
        <f t="shared" ref="I632" si="3336">I631</f>
        <v>" dir="</v>
      </c>
      <c r="J632" t="str">
        <f t="shared" ref="J632" si="3337">J631</f>
        <v>"/&gt;</v>
      </c>
      <c r="K632" t="str">
        <f t="shared" ref="K632" si="3338">F632&amp;A632&amp;G632&amp;C632&amp;H632&amp;D632&amp;I632&amp;E632&amp;J632</f>
        <v>&lt;record id="180417" posx="0" posy="0" dir="0"/&gt;</v>
      </c>
    </row>
    <row r="633" spans="1:11">
      <c r="A633">
        <f>Sheet1!A740</f>
        <v>180418</v>
      </c>
      <c r="B633" t="str">
        <f>Sheet1!B740</f>
        <v>铁甲狂乱者</v>
      </c>
      <c r="C633">
        <f>Sheet1!Q740</f>
        <v>0</v>
      </c>
      <c r="D633">
        <f>Sheet1!R740</f>
        <v>0</v>
      </c>
      <c r="E633">
        <f>Sheet1!U740</f>
        <v>0</v>
      </c>
      <c r="F633" t="str">
        <f t="shared" ref="F633" si="3339">F632</f>
        <v>&lt;record id="</v>
      </c>
      <c r="G633" t="str">
        <f t="shared" ref="G633" si="3340">G632</f>
        <v>" posx="</v>
      </c>
      <c r="H633" t="str">
        <f t="shared" ref="H633" si="3341">H632</f>
        <v>" posy="</v>
      </c>
      <c r="I633" t="str">
        <f t="shared" ref="I633" si="3342">I632</f>
        <v>" dir="</v>
      </c>
      <c r="J633" t="str">
        <f t="shared" ref="J633" si="3343">J632</f>
        <v>"/&gt;</v>
      </c>
      <c r="K633" t="str">
        <f t="shared" ref="K633" si="3344">F633&amp;A633&amp;G633&amp;C633&amp;H633&amp;D633&amp;I633&amp;E633&amp;J633</f>
        <v>&lt;record id="180418" posx="0" posy="0" dir="0"/&gt;</v>
      </c>
    </row>
    <row r="634" spans="1:11">
      <c r="A634">
        <f>Sheet1!A741</f>
        <v>180419</v>
      </c>
      <c r="B634" t="str">
        <f>Sheet1!B741</f>
        <v>敌法缚法者</v>
      </c>
      <c r="C634">
        <f>Sheet1!Q741</f>
        <v>0</v>
      </c>
      <c r="D634">
        <f>Sheet1!R741</f>
        <v>0</v>
      </c>
      <c r="E634">
        <f>Sheet1!U741</f>
        <v>0</v>
      </c>
      <c r="F634" t="str">
        <f t="shared" ref="F634" si="3345">F633</f>
        <v>&lt;record id="</v>
      </c>
      <c r="G634" t="str">
        <f t="shared" ref="G634" si="3346">G633</f>
        <v>" posx="</v>
      </c>
      <c r="H634" t="str">
        <f t="shared" ref="H634" si="3347">H633</f>
        <v>" posy="</v>
      </c>
      <c r="I634" t="str">
        <f t="shared" ref="I634" si="3348">I633</f>
        <v>" dir="</v>
      </c>
      <c r="J634" t="str">
        <f t="shared" ref="J634" si="3349">J633</f>
        <v>"/&gt;</v>
      </c>
      <c r="K634" t="str">
        <f t="shared" ref="K634" si="3350">F634&amp;A634&amp;G634&amp;C634&amp;H634&amp;D634&amp;I634&amp;E634&amp;J634</f>
        <v>&lt;record id="180419" posx="0" posy="0" dir="0"/&gt;</v>
      </c>
    </row>
    <row r="635" spans="1:11">
      <c r="A635">
        <f>Sheet1!A742</f>
        <v>180420</v>
      </c>
      <c r="B635" t="str">
        <f>Sheet1!B742</f>
        <v>惧控纳兹科尔</v>
      </c>
      <c r="C635">
        <f>Sheet1!Q742</f>
        <v>0</v>
      </c>
      <c r="D635">
        <f>Sheet1!R742</f>
        <v>0</v>
      </c>
      <c r="E635">
        <f>Sheet1!U742</f>
        <v>0</v>
      </c>
      <c r="F635" t="str">
        <f t="shared" ref="F635" si="3351">F634</f>
        <v>&lt;record id="</v>
      </c>
      <c r="G635" t="str">
        <f t="shared" ref="G635" si="3352">G634</f>
        <v>" posx="</v>
      </c>
      <c r="H635" t="str">
        <f t="shared" ref="H635" si="3353">H634</f>
        <v>" posy="</v>
      </c>
      <c r="I635" t="str">
        <f t="shared" ref="I635" si="3354">I634</f>
        <v>" dir="</v>
      </c>
      <c r="J635" t="str">
        <f t="shared" ref="J635" si="3355">J634</f>
        <v>"/&gt;</v>
      </c>
      <c r="K635" t="str">
        <f t="shared" ref="K635" si="3356">F635&amp;A635&amp;G635&amp;C635&amp;H635&amp;D635&amp;I635&amp;E635&amp;J635</f>
        <v>&lt;record id="180420" posx="0" posy="0" dir="0"/&gt;</v>
      </c>
    </row>
    <row r="636" spans="1:11">
      <c r="A636">
        <f>Sheet1!A743</f>
        <v>180421</v>
      </c>
      <c r="B636" t="str">
        <f>Sheet1!B743</f>
        <v>铁甲沃兹塔斯</v>
      </c>
      <c r="C636">
        <f>Sheet1!Q743</f>
        <v>0</v>
      </c>
      <c r="D636">
        <f>Sheet1!R743</f>
        <v>0</v>
      </c>
      <c r="E636">
        <f>Sheet1!U743</f>
        <v>0</v>
      </c>
      <c r="F636" t="str">
        <f t="shared" ref="F636" si="3357">F635</f>
        <v>&lt;record id="</v>
      </c>
      <c r="G636" t="str">
        <f t="shared" ref="G636" si="3358">G635</f>
        <v>" posx="</v>
      </c>
      <c r="H636" t="str">
        <f t="shared" ref="H636" si="3359">H635</f>
        <v>" posy="</v>
      </c>
      <c r="I636" t="str">
        <f t="shared" ref="I636" si="3360">I635</f>
        <v>" dir="</v>
      </c>
      <c r="J636" t="str">
        <f t="shared" ref="J636:J641" si="3361">J635</f>
        <v>"/&gt;</v>
      </c>
      <c r="K636" t="str">
        <f t="shared" ref="K636" si="3362">F636&amp;A636&amp;G636&amp;C636&amp;H636&amp;D636&amp;I636&amp;E636&amp;J636</f>
        <v>&lt;record id="180421" posx="0" posy="0" dir="0"/&gt;</v>
      </c>
    </row>
    <row r="637" spans="1:11">
      <c r="A637">
        <f>Sheet1!A744</f>
        <v>180422</v>
      </c>
      <c r="B637" t="str">
        <f>Sheet1!B744</f>
        <v>敌法蕾丝雷尔</v>
      </c>
      <c r="C637">
        <f>Sheet1!Q744</f>
        <v>0</v>
      </c>
      <c r="D637">
        <f>Sheet1!R744</f>
        <v>0</v>
      </c>
      <c r="E637">
        <f>Sheet1!U744</f>
        <v>0</v>
      </c>
      <c r="F637" t="str">
        <f t="shared" ref="F637" si="3363">F636</f>
        <v>&lt;record id="</v>
      </c>
      <c r="G637" t="str">
        <f t="shared" ref="G637:G642" si="3364">G636</f>
        <v>" posx="</v>
      </c>
      <c r="H637" t="str">
        <f t="shared" ref="H637" si="3365">H636</f>
        <v>" posy="</v>
      </c>
      <c r="I637" t="str">
        <f t="shared" ref="I637" si="3366">I636</f>
        <v>" dir="</v>
      </c>
      <c r="J637" t="str">
        <f t="shared" si="3361"/>
        <v>"/&gt;</v>
      </c>
      <c r="K637" t="str">
        <f t="shared" ref="K637:K642" si="3367">F637&amp;A637&amp;G637&amp;C637&amp;H637&amp;D637&amp;I637&amp;E637&amp;J637</f>
        <v>&lt;record id="180422" posx="0" posy="0" dir="0"/&gt;</v>
      </c>
    </row>
    <row r="638" spans="1:11">
      <c r="A638">
        <f>Sheet1!A745</f>
        <v>180423</v>
      </c>
      <c r="B638" t="str">
        <f>Sheet1!B745</f>
        <v>惧控弗莫诺</v>
      </c>
      <c r="C638">
        <f>Sheet1!Q745</f>
        <v>0</v>
      </c>
      <c r="D638">
        <f>Sheet1!R745</f>
        <v>0</v>
      </c>
      <c r="E638">
        <f>Sheet1!U745</f>
        <v>0</v>
      </c>
      <c r="F638" t="str">
        <f t="shared" ref="F638" si="3368">F637</f>
        <v>&lt;record id="</v>
      </c>
      <c r="G638" t="str">
        <f t="shared" si="3364"/>
        <v>" posx="</v>
      </c>
      <c r="H638" t="str">
        <f t="shared" ref="H638" si="3369">H637</f>
        <v>" posy="</v>
      </c>
      <c r="I638" t="str">
        <f t="shared" ref="I638:I641" si="3370">I637</f>
        <v>" dir="</v>
      </c>
      <c r="J638" t="str">
        <f t="shared" si="3361"/>
        <v>"/&gt;</v>
      </c>
      <c r="K638" t="str">
        <f t="shared" si="3367"/>
        <v>&lt;record id="180423" posx="0" posy="0" dir="0"/&gt;</v>
      </c>
    </row>
    <row r="639" spans="1:11">
      <c r="A639">
        <f>Sheet1!A746</f>
        <v>180424</v>
      </c>
      <c r="B639" t="str">
        <f>Sheet1!B746</f>
        <v>铁甲艾欧克</v>
      </c>
      <c r="C639">
        <f>Sheet1!Q746</f>
        <v>0</v>
      </c>
      <c r="D639">
        <f>Sheet1!R746</f>
        <v>0</v>
      </c>
      <c r="E639">
        <f>Sheet1!U746</f>
        <v>0</v>
      </c>
      <c r="F639" t="str">
        <f t="shared" ref="F639:F642" si="3371">F638</f>
        <v>&lt;record id="</v>
      </c>
      <c r="G639" t="str">
        <f t="shared" si="3364"/>
        <v>" posx="</v>
      </c>
      <c r="H639" t="str">
        <f t="shared" ref="H639:H641" si="3372">H638</f>
        <v>" posy="</v>
      </c>
      <c r="I639" t="str">
        <f t="shared" si="3370"/>
        <v>" dir="</v>
      </c>
      <c r="J639" t="str">
        <f t="shared" si="3361"/>
        <v>"/&gt;</v>
      </c>
      <c r="K639" t="str">
        <f t="shared" si="3367"/>
        <v>&lt;record id="180424" posx="0" posy="0" dir="0"/&gt;</v>
      </c>
    </row>
    <row r="640" spans="1:11">
      <c r="A640">
        <f>Sheet1!A747</f>
        <v>180425</v>
      </c>
      <c r="B640" t="str">
        <f>Sheet1!B747</f>
        <v>敌法法艾克</v>
      </c>
      <c r="C640">
        <f>Sheet1!Q747</f>
        <v>0</v>
      </c>
      <c r="D640">
        <f>Sheet1!R747</f>
        <v>0</v>
      </c>
      <c r="E640">
        <f>Sheet1!U747</f>
        <v>0</v>
      </c>
      <c r="F640" t="str">
        <f t="shared" si="3371"/>
        <v>&lt;record id="</v>
      </c>
      <c r="G640" t="str">
        <f t="shared" si="3364"/>
        <v>" posx="</v>
      </c>
      <c r="H640" t="str">
        <f t="shared" si="3372"/>
        <v>" posy="</v>
      </c>
      <c r="I640" t="str">
        <f t="shared" si="3370"/>
        <v>" dir="</v>
      </c>
      <c r="J640" t="str">
        <f t="shared" si="3361"/>
        <v>"/&gt;</v>
      </c>
      <c r="K640" t="str">
        <f t="shared" si="3367"/>
        <v>&lt;record id="180425" posx="0" posy="0" dir="0"/&gt;</v>
      </c>
    </row>
    <row r="641" spans="1:11">
      <c r="A641">
        <f>Sheet1!A748</f>
        <v>180426</v>
      </c>
      <c r="B641" t="str">
        <f>Sheet1!B748</f>
        <v>惧控欧希克娅</v>
      </c>
      <c r="C641">
        <f>Sheet1!Q748</f>
        <v>0</v>
      </c>
      <c r="D641">
        <f>Sheet1!R748</f>
        <v>0</v>
      </c>
      <c r="E641">
        <f>Sheet1!U748</f>
        <v>0</v>
      </c>
      <c r="F641" t="str">
        <f t="shared" si="3371"/>
        <v>&lt;record id="</v>
      </c>
      <c r="G641" t="str">
        <f t="shared" si="3364"/>
        <v>" posx="</v>
      </c>
      <c r="H641" t="str">
        <f t="shared" si="3372"/>
        <v>" posy="</v>
      </c>
      <c r="I641" t="str">
        <f t="shared" si="3370"/>
        <v>" dir="</v>
      </c>
      <c r="J641" t="str">
        <f t="shared" si="3361"/>
        <v>"/&gt;</v>
      </c>
      <c r="K641" t="str">
        <f t="shared" si="3367"/>
        <v>&lt;record id="180426" posx="0" posy="0" dir="0"/&gt;</v>
      </c>
    </row>
    <row r="642" spans="1:11">
      <c r="A642">
        <f>Sheet1!A749</f>
        <v>180427</v>
      </c>
      <c r="B642" t="str">
        <f>Sheet1!B749</f>
        <v>铁甲克罗姆斯</v>
      </c>
      <c r="C642">
        <f>Sheet1!Q749</f>
        <v>0</v>
      </c>
      <c r="D642">
        <f>Sheet1!R749</f>
        <v>0</v>
      </c>
      <c r="E642">
        <f>Sheet1!U749</f>
        <v>0</v>
      </c>
      <c r="F642" t="str">
        <f t="shared" si="3371"/>
        <v>&lt;record id="</v>
      </c>
      <c r="G642" t="str">
        <f t="shared" si="3364"/>
        <v>" posx="</v>
      </c>
      <c r="H642" t="str">
        <f t="shared" ref="H642" si="3373">H641</f>
        <v>" posy="</v>
      </c>
      <c r="I642" t="str">
        <f t="shared" ref="I642" si="3374">I641</f>
        <v>" dir="</v>
      </c>
      <c r="J642" t="str">
        <f t="shared" ref="J642" si="3375">J641</f>
        <v>"/&gt;</v>
      </c>
      <c r="K642" t="str">
        <f t="shared" si="3367"/>
        <v>&lt;record id="180427" posx="0" posy="0" dir="0"/&gt;</v>
      </c>
    </row>
    <row r="643" spans="1:11">
      <c r="A643">
        <f>Sheet1!A750</f>
        <v>180428</v>
      </c>
      <c r="B643" t="str">
        <f>Sheet1!B750</f>
        <v>敌法科罗斯克</v>
      </c>
      <c r="C643">
        <f>Sheet1!Q750</f>
        <v>0</v>
      </c>
      <c r="D643">
        <f>Sheet1!R750</f>
        <v>0</v>
      </c>
      <c r="E643">
        <f>Sheet1!U750</f>
        <v>0</v>
      </c>
      <c r="F643" t="str">
        <f t="shared" ref="F643" si="3376">F642</f>
        <v>&lt;record id="</v>
      </c>
      <c r="G643" t="str">
        <f t="shared" ref="G643" si="3377">G642</f>
        <v>" posx="</v>
      </c>
      <c r="H643" t="str">
        <f t="shared" ref="H643" si="3378">H642</f>
        <v>" posy="</v>
      </c>
      <c r="I643" t="str">
        <f t="shared" ref="I643" si="3379">I642</f>
        <v>" dir="</v>
      </c>
      <c r="J643" t="str">
        <f t="shared" ref="J643" si="3380">J642</f>
        <v>"/&gt;</v>
      </c>
      <c r="K643" t="str">
        <f t="shared" ref="K643" si="3381">F643&amp;A643&amp;G643&amp;C643&amp;H643&amp;D643&amp;I643&amp;E643&amp;J643</f>
        <v>&lt;record id="180428" posx="0" posy="0" dir="0"/&gt;</v>
      </c>
    </row>
    <row r="644" spans="1:11">
      <c r="A644">
        <f>Sheet1!A751</f>
        <v>180429</v>
      </c>
      <c r="B644" t="str">
        <f>Sheet1!B751</f>
        <v>尼弗瑞安</v>
      </c>
      <c r="C644">
        <f>Sheet1!Q751</f>
        <v>0</v>
      </c>
      <c r="D644">
        <f>Sheet1!R751</f>
        <v>0</v>
      </c>
      <c r="E644">
        <f>Sheet1!U751</f>
        <v>0</v>
      </c>
      <c r="F644" t="str">
        <f t="shared" ref="F644" si="3382">F643</f>
        <v>&lt;record id="</v>
      </c>
      <c r="G644" t="str">
        <f t="shared" ref="G644" si="3383">G643</f>
        <v>" posx="</v>
      </c>
      <c r="H644" t="str">
        <f t="shared" ref="H644" si="3384">H643</f>
        <v>" posy="</v>
      </c>
      <c r="I644" t="str">
        <f t="shared" ref="I644" si="3385">I643</f>
        <v>" dir="</v>
      </c>
      <c r="J644" t="str">
        <f t="shared" ref="J644" si="3386">J643</f>
        <v>"/&gt;</v>
      </c>
      <c r="K644" t="str">
        <f t="shared" ref="K644" si="3387">F644&amp;A644&amp;G644&amp;C644&amp;H644&amp;D644&amp;I644&amp;E644&amp;J644</f>
        <v>&lt;record id="180429" posx="0" posy="0" dir="0"/&gt;</v>
      </c>
    </row>
    <row r="645" spans="1:11">
      <c r="A645">
        <f>Sheet1!A752</f>
        <v>180430</v>
      </c>
      <c r="B645" t="str">
        <f>Sheet1!B752</f>
        <v>恋宝南瓜</v>
      </c>
      <c r="C645">
        <f>Sheet1!Q752</f>
        <v>0</v>
      </c>
      <c r="D645">
        <f>Sheet1!R752</f>
        <v>0</v>
      </c>
      <c r="E645">
        <f>Sheet1!U752</f>
        <v>0</v>
      </c>
      <c r="F645" t="str">
        <f t="shared" ref="F645" si="3388">F644</f>
        <v>&lt;record id="</v>
      </c>
      <c r="G645" t="str">
        <f t="shared" ref="G645" si="3389">G644</f>
        <v>" posx="</v>
      </c>
      <c r="H645" t="str">
        <f t="shared" ref="H645" si="3390">H644</f>
        <v>" posy="</v>
      </c>
      <c r="I645" t="str">
        <f t="shared" ref="I645" si="3391">I644</f>
        <v>" dir="</v>
      </c>
      <c r="J645" t="str">
        <f t="shared" ref="J645" si="3392">J644</f>
        <v>"/&gt;</v>
      </c>
      <c r="K645" t="str">
        <f t="shared" ref="K645" si="3393">F645&amp;A645&amp;G645&amp;C645&amp;H645&amp;D645&amp;I645&amp;E645&amp;J645</f>
        <v>&lt;record id="180430" posx="0" posy="0" dir="0"/&gt;</v>
      </c>
    </row>
    <row r="646" spans="1:11">
      <c r="A646">
        <f>Sheet1!A753</f>
        <v>180431</v>
      </c>
      <c r="B646" t="str">
        <f>Sheet1!B753</f>
        <v>恋宝南瓜</v>
      </c>
      <c r="C646">
        <f>Sheet1!Q753</f>
        <v>0</v>
      </c>
      <c r="D646">
        <f>Sheet1!R753</f>
        <v>0</v>
      </c>
      <c r="E646">
        <f>Sheet1!U753</f>
        <v>0</v>
      </c>
      <c r="F646" t="str">
        <f t="shared" ref="F646" si="3394">F645</f>
        <v>&lt;record id="</v>
      </c>
      <c r="G646" t="str">
        <f t="shared" ref="G646" si="3395">G645</f>
        <v>" posx="</v>
      </c>
      <c r="H646" t="str">
        <f t="shared" ref="H646" si="3396">H645</f>
        <v>" posy="</v>
      </c>
      <c r="I646" t="str">
        <f t="shared" ref="I646" si="3397">I645</f>
        <v>" dir="</v>
      </c>
      <c r="J646" t="str">
        <f t="shared" ref="J646" si="3398">J645</f>
        <v>"/&gt;</v>
      </c>
      <c r="K646" t="str">
        <f t="shared" ref="K646" si="3399">F646&amp;A646&amp;G646&amp;C646&amp;H646&amp;D646&amp;I646&amp;E646&amp;J646</f>
        <v>&lt;record id="180431" posx="0" posy="0" dir="0"/&gt;</v>
      </c>
    </row>
    <row r="647" spans="1:11">
      <c r="A647">
        <f>Sheet1!A754</f>
        <v>180432</v>
      </c>
      <c r="B647" t="str">
        <f>Sheet1!B754</f>
        <v>贪食饿犬</v>
      </c>
      <c r="C647">
        <f>Sheet1!Q754</f>
        <v>0</v>
      </c>
      <c r="D647">
        <f>Sheet1!R754</f>
        <v>0</v>
      </c>
      <c r="E647">
        <f>Sheet1!U754</f>
        <v>0</v>
      </c>
      <c r="F647" t="str">
        <f t="shared" ref="F647" si="3400">F646</f>
        <v>&lt;record id="</v>
      </c>
      <c r="G647" t="str">
        <f t="shared" ref="G647" si="3401">G646</f>
        <v>" posx="</v>
      </c>
      <c r="H647" t="str">
        <f t="shared" ref="H647" si="3402">H646</f>
        <v>" posy="</v>
      </c>
      <c r="I647" t="str">
        <f t="shared" ref="I647" si="3403">I646</f>
        <v>" dir="</v>
      </c>
      <c r="J647" t="str">
        <f t="shared" ref="J647" si="3404">J646</f>
        <v>"/&gt;</v>
      </c>
      <c r="K647" t="str">
        <f t="shared" ref="K647" si="3405">F647&amp;A647&amp;G647&amp;C647&amp;H647&amp;D647&amp;I647&amp;E647&amp;J647</f>
        <v>&lt;record id="180432" posx="0" posy="0" dir="0"/&gt;</v>
      </c>
    </row>
    <row r="648" spans="1:11">
      <c r="A648">
        <f>Sheet1!A755</f>
        <v>180433</v>
      </c>
      <c r="B648" t="str">
        <f>Sheet1!B755</f>
        <v>贪食饿犬</v>
      </c>
      <c r="C648">
        <f>Sheet1!Q755</f>
        <v>0</v>
      </c>
      <c r="D648">
        <f>Sheet1!R755</f>
        <v>0</v>
      </c>
      <c r="E648">
        <f>Sheet1!U755</f>
        <v>0</v>
      </c>
      <c r="F648" t="str">
        <f t="shared" ref="F648" si="3406">F647</f>
        <v>&lt;record id="</v>
      </c>
      <c r="G648" t="str">
        <f t="shared" ref="G648" si="3407">G647</f>
        <v>" posx="</v>
      </c>
      <c r="H648" t="str">
        <f t="shared" ref="H648" si="3408">H647</f>
        <v>" posy="</v>
      </c>
      <c r="I648" t="str">
        <f t="shared" ref="I648" si="3409">I647</f>
        <v>" dir="</v>
      </c>
      <c r="J648" t="str">
        <f t="shared" ref="J648" si="3410">J647</f>
        <v>"/&gt;</v>
      </c>
      <c r="K648" t="str">
        <f t="shared" ref="K648" si="3411">F648&amp;A648&amp;G648&amp;C648&amp;H648&amp;D648&amp;I648&amp;E648&amp;J648</f>
        <v>&lt;record id="180433" posx="0" posy="0" dir="0"/&gt;</v>
      </c>
    </row>
    <row r="649" spans="1:11">
      <c r="A649">
        <f>Sheet1!A791</f>
        <v>180501</v>
      </c>
      <c r="B649" t="str">
        <f>Sheet1!B791</f>
        <v>捣乱的霍克</v>
      </c>
      <c r="C649">
        <f>Sheet1!Q791</f>
        <v>0</v>
      </c>
      <c r="D649">
        <f>Sheet1!R791</f>
        <v>0</v>
      </c>
      <c r="E649">
        <f>Sheet1!U791</f>
        <v>0</v>
      </c>
      <c r="F649" t="str">
        <f t="shared" ref="F649" si="3412">F648</f>
        <v>&lt;record id="</v>
      </c>
      <c r="G649" t="str">
        <f t="shared" ref="G649" si="3413">G648</f>
        <v>" posx="</v>
      </c>
      <c r="H649" t="str">
        <f t="shared" ref="H649" si="3414">H648</f>
        <v>" posy="</v>
      </c>
      <c r="I649" t="str">
        <f t="shared" ref="I649" si="3415">I648</f>
        <v>" dir="</v>
      </c>
      <c r="J649" t="str">
        <f t="shared" ref="J649" si="3416">J648</f>
        <v>"/&gt;</v>
      </c>
      <c r="K649" t="str">
        <f t="shared" ref="K649" si="3417">F649&amp;A649&amp;G649&amp;C649&amp;H649&amp;D649&amp;I649&amp;E649&amp;J649</f>
        <v>&lt;record id="180501" posx="0" posy="0" dir="0"/&gt;</v>
      </c>
    </row>
    <row r="650" spans="1:11">
      <c r="A650">
        <f>Sheet1!A792</f>
        <v>180502</v>
      </c>
      <c r="B650" t="str">
        <f>Sheet1!B792</f>
        <v>捣乱的加顿</v>
      </c>
      <c r="C650">
        <f>Sheet1!Q792</f>
        <v>0</v>
      </c>
      <c r="D650">
        <f>Sheet1!R792</f>
        <v>0</v>
      </c>
      <c r="E650">
        <f>Sheet1!U792</f>
        <v>0</v>
      </c>
      <c r="F650" t="str">
        <f t="shared" ref="F650" si="3418">F649</f>
        <v>&lt;record id="</v>
      </c>
      <c r="G650" t="str">
        <f t="shared" ref="G650" si="3419">G649</f>
        <v>" posx="</v>
      </c>
      <c r="H650" t="str">
        <f t="shared" ref="H650" si="3420">H649</f>
        <v>" posy="</v>
      </c>
      <c r="I650" t="str">
        <f t="shared" ref="I650" si="3421">I649</f>
        <v>" dir="</v>
      </c>
      <c r="J650" t="str">
        <f t="shared" ref="J650" si="3422">J649</f>
        <v>"/&gt;</v>
      </c>
      <c r="K650" t="str">
        <f t="shared" ref="K650" si="3423">F650&amp;A650&amp;G650&amp;C650&amp;H650&amp;D650&amp;I650&amp;E650&amp;J650</f>
        <v>&lt;record id="180502" posx="0" posy="0" dir="0"/&gt;</v>
      </c>
    </row>
    <row r="651" spans="1:11">
      <c r="A651">
        <f>Sheet1!A793</f>
        <v>180503</v>
      </c>
      <c r="B651" t="str">
        <f>Sheet1!B793</f>
        <v>捣乱的卡尔</v>
      </c>
      <c r="C651">
        <f>Sheet1!Q793</f>
        <v>0</v>
      </c>
      <c r="D651">
        <f>Sheet1!R793</f>
        <v>0</v>
      </c>
      <c r="E651">
        <f>Sheet1!U793</f>
        <v>0</v>
      </c>
      <c r="F651" t="str">
        <f t="shared" ref="F651" si="3424">F650</f>
        <v>&lt;record id="</v>
      </c>
      <c r="G651" t="str">
        <f t="shared" ref="G651" si="3425">G650</f>
        <v>" posx="</v>
      </c>
      <c r="H651" t="str">
        <f t="shared" ref="H651" si="3426">H650</f>
        <v>" posy="</v>
      </c>
      <c r="I651" t="str">
        <f t="shared" ref="I651" si="3427">I650</f>
        <v>" dir="</v>
      </c>
      <c r="J651" t="str">
        <f t="shared" ref="J651" si="3428">J650</f>
        <v>"/&gt;</v>
      </c>
      <c r="K651" t="str">
        <f t="shared" ref="K651" si="3429">F651&amp;A651&amp;G651&amp;C651&amp;H651&amp;D651&amp;I651&amp;E651&amp;J651</f>
        <v>&lt;record id="180503" posx="0" posy="0" dir="0"/&gt;</v>
      </c>
    </row>
    <row r="652" spans="1:11">
      <c r="A652">
        <f>Sheet1!A794</f>
        <v>180504</v>
      </c>
      <c r="B652" t="str">
        <f>Sheet1!B794</f>
        <v>捣乱的伊库</v>
      </c>
      <c r="C652">
        <f>Sheet1!Q794</f>
        <v>0</v>
      </c>
      <c r="D652">
        <f>Sheet1!R794</f>
        <v>0</v>
      </c>
      <c r="E652">
        <f>Sheet1!U794</f>
        <v>0</v>
      </c>
      <c r="F652" t="str">
        <f t="shared" ref="F652" si="3430">F651</f>
        <v>&lt;record id="</v>
      </c>
      <c r="G652" t="str">
        <f t="shared" ref="G652" si="3431">G651</f>
        <v>" posx="</v>
      </c>
      <c r="H652" t="str">
        <f t="shared" ref="H652" si="3432">H651</f>
        <v>" posy="</v>
      </c>
      <c r="I652" t="str">
        <f t="shared" ref="I652" si="3433">I651</f>
        <v>" dir="</v>
      </c>
      <c r="J652" t="str">
        <f t="shared" ref="J652" si="3434">J651</f>
        <v>"/&gt;</v>
      </c>
      <c r="K652" t="str">
        <f t="shared" ref="K652" si="3435">F652&amp;A652&amp;G652&amp;C652&amp;H652&amp;D652&amp;I652&amp;E652&amp;J652</f>
        <v>&lt;record id="180504" posx="0" posy="0" dir="0"/&gt;</v>
      </c>
    </row>
    <row r="653" spans="1:11">
      <c r="A653">
        <f>Sheet1!A795</f>
        <v>180505</v>
      </c>
      <c r="B653" t="str">
        <f>Sheet1!B795</f>
        <v>捣乱的信徒</v>
      </c>
      <c r="C653">
        <f>Sheet1!Q795</f>
        <v>0</v>
      </c>
      <c r="D653">
        <f>Sheet1!R795</f>
        <v>0</v>
      </c>
      <c r="E653">
        <f>Sheet1!U795</f>
        <v>0</v>
      </c>
      <c r="F653" t="str">
        <f t="shared" ref="F653" si="3436">F652</f>
        <v>&lt;record id="</v>
      </c>
      <c r="G653" t="str">
        <f t="shared" ref="G653" si="3437">G652</f>
        <v>" posx="</v>
      </c>
      <c r="H653" t="str">
        <f t="shared" ref="H653" si="3438">H652</f>
        <v>" posy="</v>
      </c>
      <c r="I653" t="str">
        <f t="shared" ref="I653" si="3439">I652</f>
        <v>" dir="</v>
      </c>
      <c r="J653" t="str">
        <f t="shared" ref="J653" si="3440">J652</f>
        <v>"/&gt;</v>
      </c>
      <c r="K653" t="str">
        <f t="shared" ref="K653" si="3441">F653&amp;A653&amp;G653&amp;C653&amp;H653&amp;D653&amp;I653&amp;E653&amp;J653</f>
        <v>&lt;record id="180505" posx="0" posy="0" dir="0"/&gt;</v>
      </c>
    </row>
    <row r="654" spans="1:11">
      <c r="A654">
        <f>Sheet1!A796</f>
        <v>180506</v>
      </c>
      <c r="B654" t="str">
        <f>Sheet1!B796</f>
        <v>捣乱的卡西</v>
      </c>
      <c r="C654">
        <f>Sheet1!Q796</f>
        <v>0</v>
      </c>
      <c r="D654">
        <f>Sheet1!R796</f>
        <v>0</v>
      </c>
      <c r="E654">
        <f>Sheet1!U796</f>
        <v>0</v>
      </c>
      <c r="F654" t="str">
        <f t="shared" ref="F654" si="3442">F653</f>
        <v>&lt;record id="</v>
      </c>
      <c r="G654" t="str">
        <f t="shared" ref="G654" si="3443">G653</f>
        <v>" posx="</v>
      </c>
      <c r="H654" t="str">
        <f t="shared" ref="H654" si="3444">H653</f>
        <v>" posy="</v>
      </c>
      <c r="I654" t="str">
        <f t="shared" ref="I654" si="3445">I653</f>
        <v>" dir="</v>
      </c>
      <c r="J654" t="str">
        <f t="shared" ref="J654" si="3446">J653</f>
        <v>"/&gt;</v>
      </c>
      <c r="K654" t="str">
        <f t="shared" ref="K654" si="3447">F654&amp;A654&amp;G654&amp;C654&amp;H654&amp;D654&amp;I654&amp;E654&amp;J654</f>
        <v>&lt;record id="180506" posx="0" posy="0" dir="0"/&gt;</v>
      </c>
    </row>
    <row r="655" spans="1:11">
      <c r="A655">
        <f>Sheet1!A797</f>
        <v>180507</v>
      </c>
      <c r="B655" t="str">
        <f>Sheet1!B797</f>
        <v>捣乱的戴夫</v>
      </c>
      <c r="C655">
        <f>Sheet1!Q797</f>
        <v>0</v>
      </c>
      <c r="D655">
        <f>Sheet1!R797</f>
        <v>0</v>
      </c>
      <c r="E655">
        <f>Sheet1!U797</f>
        <v>0</v>
      </c>
      <c r="F655" t="str">
        <f t="shared" ref="F655" si="3448">F654</f>
        <v>&lt;record id="</v>
      </c>
      <c r="G655" t="str">
        <f t="shared" ref="G655" si="3449">G654</f>
        <v>" posx="</v>
      </c>
      <c r="H655" t="str">
        <f t="shared" ref="H655" si="3450">H654</f>
        <v>" posy="</v>
      </c>
      <c r="I655" t="str">
        <f t="shared" ref="I655" si="3451">I654</f>
        <v>" dir="</v>
      </c>
      <c r="J655" t="str">
        <f t="shared" ref="J655" si="3452">J654</f>
        <v>"/&gt;</v>
      </c>
      <c r="K655" t="str">
        <f t="shared" ref="K655" si="3453">F655&amp;A655&amp;G655&amp;C655&amp;H655&amp;D655&amp;I655&amp;E655&amp;J655</f>
        <v>&lt;record id="180507" posx="0" posy="0" dir="0"/&gt;</v>
      </c>
    </row>
    <row r="656" spans="1:11">
      <c r="A656">
        <f>Sheet1!A798</f>
        <v>180508</v>
      </c>
      <c r="B656" t="str">
        <f>Sheet1!B798</f>
        <v>捣乱的杰克</v>
      </c>
      <c r="C656">
        <f>Sheet1!Q798</f>
        <v>0</v>
      </c>
      <c r="D656">
        <f>Sheet1!R798</f>
        <v>0</v>
      </c>
      <c r="E656">
        <f>Sheet1!U798</f>
        <v>0</v>
      </c>
      <c r="F656" t="str">
        <f t="shared" ref="F656" si="3454">F655</f>
        <v>&lt;record id="</v>
      </c>
      <c r="G656" t="str">
        <f t="shared" ref="G656" si="3455">G655</f>
        <v>" posx="</v>
      </c>
      <c r="H656" t="str">
        <f t="shared" ref="H656" si="3456">H655</f>
        <v>" posy="</v>
      </c>
      <c r="I656" t="str">
        <f t="shared" ref="I656" si="3457">I655</f>
        <v>" dir="</v>
      </c>
      <c r="J656" t="str">
        <f t="shared" ref="J656" si="3458">J655</f>
        <v>"/&gt;</v>
      </c>
      <c r="K656" t="str">
        <f t="shared" ref="K656" si="3459">F656&amp;A656&amp;G656&amp;C656&amp;H656&amp;D656&amp;I656&amp;E656&amp;J656</f>
        <v>&lt;record id="180508" posx="0" posy="0" dir="0"/&gt;</v>
      </c>
    </row>
    <row r="657" spans="1:11">
      <c r="A657">
        <f>Sheet1!A799</f>
        <v>180601</v>
      </c>
      <c r="B657" t="str">
        <f>Sheet1!B799</f>
        <v>毒牙克德拉</v>
      </c>
      <c r="C657">
        <f>Sheet1!Q799</f>
        <v>0</v>
      </c>
      <c r="D657">
        <f>Sheet1!R799</f>
        <v>0</v>
      </c>
      <c r="E657">
        <f>Sheet1!U799</f>
        <v>0</v>
      </c>
      <c r="F657" t="str">
        <f t="shared" ref="F657" si="3460">F656</f>
        <v>&lt;record id="</v>
      </c>
      <c r="G657" t="str">
        <f t="shared" ref="G657" si="3461">G656</f>
        <v>" posx="</v>
      </c>
      <c r="H657" t="str">
        <f t="shared" ref="H657" si="3462">H656</f>
        <v>" posy="</v>
      </c>
      <c r="I657" t="str">
        <f t="shared" ref="I657" si="3463">I656</f>
        <v>" dir="</v>
      </c>
      <c r="J657" t="str">
        <f t="shared" ref="J657" si="3464">J656</f>
        <v>"/&gt;</v>
      </c>
      <c r="K657" t="str">
        <f t="shared" ref="K657" si="3465">F657&amp;A657&amp;G657&amp;C657&amp;H657&amp;D657&amp;I657&amp;E657&amp;J657</f>
        <v>&lt;record id="180601" posx="0" posy="0" dir="0"/&gt;</v>
      </c>
    </row>
    <row r="658" spans="1:11">
      <c r="A658">
        <f>Sheet1!A800</f>
        <v>180602</v>
      </c>
      <c r="B658" t="str">
        <f>Sheet1!B800</f>
        <v>腐蚀者布莱恩</v>
      </c>
      <c r="C658">
        <f>Sheet1!Q800</f>
        <v>0</v>
      </c>
      <c r="D658">
        <f>Sheet1!R800</f>
        <v>0</v>
      </c>
      <c r="E658">
        <f>Sheet1!U800</f>
        <v>0</v>
      </c>
      <c r="F658" t="str">
        <f t="shared" ref="F658" si="3466">F657</f>
        <v>&lt;record id="</v>
      </c>
      <c r="G658" t="str">
        <f t="shared" ref="G658" si="3467">G657</f>
        <v>" posx="</v>
      </c>
      <c r="H658" t="str">
        <f t="shared" ref="H658" si="3468">H657</f>
        <v>" posy="</v>
      </c>
      <c r="I658" t="str">
        <f t="shared" ref="I658" si="3469">I657</f>
        <v>" dir="</v>
      </c>
      <c r="J658" t="str">
        <f t="shared" ref="J658" si="3470">J657</f>
        <v>"/&gt;</v>
      </c>
      <c r="K658" t="str">
        <f t="shared" ref="K658" si="3471">F658&amp;A658&amp;G658&amp;C658&amp;H658&amp;D658&amp;I658&amp;E658&amp;J658</f>
        <v>&lt;record id="180602" posx="0" posy="0" dir="0"/&gt;</v>
      </c>
    </row>
    <row r="659" spans="1:11">
      <c r="A659">
        <f>Sheet1!A801</f>
        <v>180603</v>
      </c>
      <c r="B659" t="str">
        <f>Sheet1!B801</f>
        <v>大冏龟</v>
      </c>
      <c r="C659">
        <f>Sheet1!Q801</f>
        <v>0</v>
      </c>
      <c r="D659">
        <f>Sheet1!R801</f>
        <v>0</v>
      </c>
      <c r="E659">
        <f>Sheet1!U801</f>
        <v>0</v>
      </c>
      <c r="F659" t="str">
        <f t="shared" ref="F659" si="3472">F658</f>
        <v>&lt;record id="</v>
      </c>
      <c r="G659" t="str">
        <f t="shared" ref="G659" si="3473">G658</f>
        <v>" posx="</v>
      </c>
      <c r="H659" t="str">
        <f t="shared" ref="H659" si="3474">H658</f>
        <v>" posy="</v>
      </c>
      <c r="I659" t="str">
        <f t="shared" ref="I659" si="3475">I658</f>
        <v>" dir="</v>
      </c>
      <c r="J659" t="str">
        <f t="shared" ref="J659" si="3476">J658</f>
        <v>"/&gt;</v>
      </c>
      <c r="K659" t="str">
        <f t="shared" ref="K659" si="3477">F659&amp;A659&amp;G659&amp;C659&amp;H659&amp;D659&amp;I659&amp;E659&amp;J659</f>
        <v>&lt;record id="180603" posx="0" posy="0" dir="0"/&gt;</v>
      </c>
    </row>
    <row r="660" spans="1:11">
      <c r="A660">
        <f>Sheet1!A802</f>
        <v>180604</v>
      </c>
      <c r="B660" t="str">
        <f>Sheet1!B802</f>
        <v>永生者沃尔丹</v>
      </c>
      <c r="C660">
        <f>Sheet1!Q802</f>
        <v>0</v>
      </c>
      <c r="D660">
        <f>Sheet1!R802</f>
        <v>0</v>
      </c>
      <c r="E660">
        <f>Sheet1!U802</f>
        <v>0</v>
      </c>
      <c r="F660" t="str">
        <f t="shared" ref="F660" si="3478">F659</f>
        <v>&lt;record id="</v>
      </c>
      <c r="G660" t="str">
        <f t="shared" ref="G660" si="3479">G659</f>
        <v>" posx="</v>
      </c>
      <c r="H660" t="str">
        <f t="shared" ref="H660" si="3480">H659</f>
        <v>" posy="</v>
      </c>
      <c r="I660" t="str">
        <f t="shared" ref="I660" si="3481">I659</f>
        <v>" dir="</v>
      </c>
      <c r="J660" t="str">
        <f t="shared" ref="J660" si="3482">J659</f>
        <v>"/&gt;</v>
      </c>
      <c r="K660" t="str">
        <f t="shared" ref="K660" si="3483">F660&amp;A660&amp;G660&amp;C660&amp;H660&amp;D660&amp;I660&amp;E660&amp;J660</f>
        <v>&lt;record id="180604" posx="0" posy="0" dir="0"/&gt;</v>
      </c>
    </row>
    <row r="661" spans="1:11">
      <c r="A661">
        <f>Sheet1!A803</f>
        <v>180605</v>
      </c>
      <c r="B661" t="str">
        <f>Sheet1!B803</f>
        <v>毒牙之王瑟芬</v>
      </c>
      <c r="C661">
        <f>Sheet1!Q803</f>
        <v>0</v>
      </c>
      <c r="D661">
        <f>Sheet1!R803</f>
        <v>0</v>
      </c>
      <c r="E661">
        <f>Sheet1!U803</f>
        <v>0</v>
      </c>
      <c r="F661" t="str">
        <f t="shared" ref="F661" si="3484">F660</f>
        <v>&lt;record id="</v>
      </c>
      <c r="G661" t="str">
        <f t="shared" ref="G661" si="3485">G660</f>
        <v>" posx="</v>
      </c>
      <c r="H661" t="str">
        <f t="shared" ref="H661" si="3486">H660</f>
        <v>" posy="</v>
      </c>
      <c r="I661" t="str">
        <f t="shared" ref="I661" si="3487">I660</f>
        <v>" dir="</v>
      </c>
      <c r="J661" t="str">
        <f t="shared" ref="J661" si="3488">J660</f>
        <v>"/&gt;</v>
      </c>
      <c r="K661" t="str">
        <f t="shared" ref="K661" si="3489">F661&amp;A661&amp;G661&amp;C661&amp;H661&amp;D661&amp;I661&amp;E661&amp;J661</f>
        <v>&lt;record id="180605" posx="0" posy="0" dir="0"/&gt;</v>
      </c>
    </row>
    <row r="662" spans="1:11">
      <c r="A662">
        <f>Sheet1!A804</f>
        <v>180606</v>
      </c>
      <c r="B662" t="str">
        <f>Sheet1!B804</f>
        <v>食人魔矿工</v>
      </c>
      <c r="C662">
        <f>Sheet1!Q804</f>
        <v>0</v>
      </c>
      <c r="D662">
        <f>Sheet1!R804</f>
        <v>0</v>
      </c>
      <c r="E662">
        <f>Sheet1!U804</f>
        <v>0</v>
      </c>
      <c r="F662" t="str">
        <f t="shared" ref="F662" si="3490">F661</f>
        <v>&lt;record id="</v>
      </c>
      <c r="G662" t="str">
        <f t="shared" ref="G662" si="3491">G661</f>
        <v>" posx="</v>
      </c>
      <c r="H662" t="str">
        <f t="shared" ref="H662" si="3492">H661</f>
        <v>" posy="</v>
      </c>
      <c r="I662" t="str">
        <f t="shared" ref="I662" si="3493">I661</f>
        <v>" dir="</v>
      </c>
      <c r="J662" t="str">
        <f t="shared" ref="J662" si="3494">J661</f>
        <v>"/&gt;</v>
      </c>
      <c r="K662" t="str">
        <f t="shared" ref="K662" si="3495">F662&amp;A662&amp;G662&amp;C662&amp;H662&amp;D662&amp;I662&amp;E662&amp;J662</f>
        <v>&lt;record id="180606" posx="0" posy="0" dir="0"/&gt;</v>
      </c>
    </row>
    <row r="663" spans="1:11">
      <c r="A663">
        <f>Sheet1!A805</f>
        <v>180607</v>
      </c>
      <c r="B663" t="str">
        <f>Sheet1!B805</f>
        <v>食人魔工头</v>
      </c>
      <c r="C663">
        <f>Sheet1!Q805</f>
        <v>0</v>
      </c>
      <c r="D663">
        <f>Sheet1!R805</f>
        <v>0</v>
      </c>
      <c r="E663">
        <f>Sheet1!U805</f>
        <v>0</v>
      </c>
      <c r="F663" t="str">
        <f t="shared" ref="F663" si="3496">F662</f>
        <v>&lt;record id="</v>
      </c>
      <c r="G663" t="str">
        <f t="shared" ref="G663" si="3497">G662</f>
        <v>" posx="</v>
      </c>
      <c r="H663" t="str">
        <f t="shared" ref="H663" si="3498">H662</f>
        <v>" posy="</v>
      </c>
      <c r="I663" t="str">
        <f t="shared" ref="I663" si="3499">I662</f>
        <v>" dir="</v>
      </c>
      <c r="J663" t="str">
        <f t="shared" ref="J663" si="3500">J662</f>
        <v>"/&gt;</v>
      </c>
      <c r="K663" t="str">
        <f t="shared" ref="K663" si="3501">F663&amp;A663&amp;G663&amp;C663&amp;H663&amp;D663&amp;I663&amp;E663&amp;J663</f>
        <v>&lt;record id="180607" posx="0" posy="0" dir="0"/&gt;</v>
      </c>
    </row>
    <row r="664" spans="1:11">
      <c r="A664">
        <f>Sheet1!A806</f>
        <v>180608</v>
      </c>
      <c r="B664" t="str">
        <f>Sheet1!B806</f>
        <v>鱼人曲奇</v>
      </c>
      <c r="C664">
        <f>Sheet1!Q806</f>
        <v>0</v>
      </c>
      <c r="D664">
        <f>Sheet1!R806</f>
        <v>0</v>
      </c>
      <c r="E664">
        <f>Sheet1!U806</f>
        <v>0</v>
      </c>
      <c r="F664" t="str">
        <f t="shared" ref="F664" si="3502">F663</f>
        <v>&lt;record id="</v>
      </c>
      <c r="G664" t="str">
        <f t="shared" ref="G664" si="3503">G663</f>
        <v>" posx="</v>
      </c>
      <c r="H664" t="str">
        <f t="shared" ref="H664" si="3504">H663</f>
        <v>" posy="</v>
      </c>
      <c r="I664" t="str">
        <f t="shared" ref="I664" si="3505">I663</f>
        <v>" dir="</v>
      </c>
      <c r="J664" t="str">
        <f t="shared" ref="J664" si="3506">J663</f>
        <v>"/&gt;</v>
      </c>
      <c r="K664" t="str">
        <f t="shared" ref="K664" si="3507">F664&amp;A664&amp;G664&amp;C664&amp;H664&amp;D664&amp;I664&amp;E664&amp;J664</f>
        <v>&lt;record id="180608" posx="0" posy="0" dir="0"/&gt;</v>
      </c>
    </row>
    <row r="665" spans="1:11">
      <c r="A665">
        <f>Sheet1!A807</f>
        <v>180609</v>
      </c>
      <c r="B665" t="str">
        <f>Sheet1!B807</f>
        <v>重拳男士</v>
      </c>
      <c r="C665">
        <f>Sheet1!Q807</f>
        <v>0</v>
      </c>
      <c r="D665">
        <f>Sheet1!R807</f>
        <v>0</v>
      </c>
      <c r="E665">
        <f>Sheet1!U807</f>
        <v>0</v>
      </c>
      <c r="F665" t="str">
        <f t="shared" ref="F665" si="3508">F664</f>
        <v>&lt;record id="</v>
      </c>
      <c r="G665" t="str">
        <f t="shared" ref="G665" si="3509">G664</f>
        <v>" posx="</v>
      </c>
      <c r="H665" t="str">
        <f t="shared" ref="H665" si="3510">H664</f>
        <v>" posy="</v>
      </c>
      <c r="I665" t="str">
        <f t="shared" ref="I665" si="3511">I664</f>
        <v>" dir="</v>
      </c>
      <c r="J665" t="str">
        <f t="shared" ref="J665" si="3512">J664</f>
        <v>"/&gt;</v>
      </c>
      <c r="K665" t="str">
        <f t="shared" ref="K665" si="3513">F665&amp;A665&amp;G665&amp;C665&amp;H665&amp;D665&amp;I665&amp;E665&amp;J665</f>
        <v>&lt;record id="180609" posx="0" posy="0" dir="0"/&gt;</v>
      </c>
    </row>
    <row r="666" spans="1:11">
      <c r="A666">
        <f>Sheet1!A808</f>
        <v>180610</v>
      </c>
      <c r="B666" t="str">
        <f>Sheet1!B808</f>
        <v>范克里斯</v>
      </c>
      <c r="C666">
        <f>Sheet1!Q808</f>
        <v>0</v>
      </c>
      <c r="D666">
        <f>Sheet1!R808</f>
        <v>0</v>
      </c>
      <c r="E666">
        <f>Sheet1!U808</f>
        <v>0</v>
      </c>
      <c r="F666" t="str">
        <f t="shared" ref="F666" si="3514">F665</f>
        <v>&lt;record id="</v>
      </c>
      <c r="G666" t="str">
        <f t="shared" ref="G666" si="3515">G665</f>
        <v>" posx="</v>
      </c>
      <c r="H666" t="str">
        <f t="shared" ref="H666" si="3516">H665</f>
        <v>" posy="</v>
      </c>
      <c r="I666" t="str">
        <f t="shared" ref="I666" si="3517">I665</f>
        <v>" dir="</v>
      </c>
      <c r="J666" t="str">
        <f t="shared" ref="J666" si="3518">J665</f>
        <v>"/&gt;</v>
      </c>
      <c r="K666" t="str">
        <f t="shared" ref="K666" si="3519">F666&amp;A666&amp;G666&amp;C666&amp;H666&amp;D666&amp;I666&amp;E666&amp;J666</f>
        <v>&lt;record id="180610" posx="0" posy="0" dir="0"/&gt;</v>
      </c>
    </row>
    <row r="667" spans="1:11">
      <c r="A667">
        <f>Sheet1!A809</f>
        <v>180611</v>
      </c>
      <c r="B667" t="str">
        <f>Sheet1!B809</f>
        <v>洗碗莱恩</v>
      </c>
      <c r="C667">
        <f>Sheet1!Q809</f>
        <v>0</v>
      </c>
      <c r="D667">
        <f>Sheet1!R809</f>
        <v>0</v>
      </c>
      <c r="E667">
        <f>Sheet1!U809</f>
        <v>0</v>
      </c>
      <c r="F667" t="str">
        <f t="shared" ref="F667" si="3520">F666</f>
        <v>&lt;record id="</v>
      </c>
      <c r="G667" t="str">
        <f t="shared" ref="G667" si="3521">G666</f>
        <v>" posx="</v>
      </c>
      <c r="H667" t="str">
        <f t="shared" ref="H667" si="3522">H666</f>
        <v>" posy="</v>
      </c>
      <c r="I667" t="str">
        <f t="shared" ref="I667" si="3523">I666</f>
        <v>" dir="</v>
      </c>
      <c r="J667" t="str">
        <f t="shared" ref="J667" si="3524">J666</f>
        <v>"/&gt;</v>
      </c>
      <c r="K667" t="str">
        <f t="shared" ref="K667" si="3525">F667&amp;A667&amp;G667&amp;C667&amp;H667&amp;D667&amp;I667&amp;E667&amp;J667</f>
        <v>&lt;record id="180611" posx="0" posy="0" dir="0"/&gt;</v>
      </c>
    </row>
    <row r="668" spans="1:11">
      <c r="A668">
        <f>Sheet1!A810</f>
        <v>180612</v>
      </c>
      <c r="B668" t="str">
        <f>Sheet1!B810</f>
        <v>狼王杜雷斯</v>
      </c>
      <c r="C668">
        <f>Sheet1!Q810</f>
        <v>0</v>
      </c>
      <c r="D668">
        <f>Sheet1!R810</f>
        <v>0</v>
      </c>
      <c r="E668">
        <f>Sheet1!U810</f>
        <v>0</v>
      </c>
      <c r="F668" t="str">
        <f t="shared" ref="F668" si="3526">F667</f>
        <v>&lt;record id="</v>
      </c>
      <c r="G668" t="str">
        <f t="shared" ref="G668" si="3527">G667</f>
        <v>" posx="</v>
      </c>
      <c r="H668" t="str">
        <f t="shared" ref="H668" si="3528">H667</f>
        <v>" posy="</v>
      </c>
      <c r="I668" t="str">
        <f t="shared" ref="I668" si="3529">I667</f>
        <v>" dir="</v>
      </c>
      <c r="J668" t="str">
        <f t="shared" ref="J668" si="3530">J667</f>
        <v>"/&gt;</v>
      </c>
      <c r="K668" t="str">
        <f t="shared" ref="K668" si="3531">F668&amp;A668&amp;G668&amp;C668&amp;H668&amp;D668&amp;I668&amp;E668&amp;J668</f>
        <v>&lt;record id="180612" posx="0" posy="0" dir="0"/&gt;</v>
      </c>
    </row>
    <row r="669" spans="1:11">
      <c r="A669">
        <f>Sheet1!A811</f>
        <v>180613</v>
      </c>
      <c r="B669" t="str">
        <f>Sheet1!B811</f>
        <v>盲眼守卫</v>
      </c>
      <c r="C669">
        <f>Sheet1!Q811</f>
        <v>0</v>
      </c>
      <c r="D669">
        <f>Sheet1!R811</f>
        <v>0</v>
      </c>
      <c r="E669">
        <f>Sheet1!U811</f>
        <v>0</v>
      </c>
      <c r="F669" t="str">
        <f t="shared" ref="F669" si="3532">F668</f>
        <v>&lt;record id="</v>
      </c>
      <c r="G669" t="str">
        <f t="shared" ref="G669" si="3533">G668</f>
        <v>" posx="</v>
      </c>
      <c r="H669" t="str">
        <f t="shared" ref="H669" si="3534">H668</f>
        <v>" posy="</v>
      </c>
      <c r="I669" t="str">
        <f t="shared" ref="I669" si="3535">I668</f>
        <v>" dir="</v>
      </c>
      <c r="J669" t="str">
        <f t="shared" ref="J669:J674" si="3536">J668</f>
        <v>"/&gt;</v>
      </c>
      <c r="K669" t="str">
        <f t="shared" ref="K669" si="3537">F669&amp;A669&amp;G669&amp;C669&amp;H669&amp;D669&amp;I669&amp;E669&amp;J669</f>
        <v>&lt;record id="180613" posx="0" posy="0" dir="0"/&gt;</v>
      </c>
    </row>
    <row r="670" spans="1:11">
      <c r="A670">
        <f>Sheet1!A812</f>
        <v>180614</v>
      </c>
      <c r="B670" t="str">
        <f>Sheet1!B812</f>
        <v>指挥官</v>
      </c>
      <c r="C670">
        <f>Sheet1!Q812</f>
        <v>0</v>
      </c>
      <c r="D670">
        <f>Sheet1!R812</f>
        <v>0</v>
      </c>
      <c r="E670">
        <f>Sheet1!U812</f>
        <v>0</v>
      </c>
      <c r="F670" t="str">
        <f t="shared" ref="F670:F675" si="3538">F669</f>
        <v>&lt;record id="</v>
      </c>
      <c r="G670" t="str">
        <f t="shared" ref="G670" si="3539">G669</f>
        <v>" posx="</v>
      </c>
      <c r="H670" t="str">
        <f t="shared" ref="H670" si="3540">H669</f>
        <v>" posy="</v>
      </c>
      <c r="I670" t="str">
        <f t="shared" ref="I670:I674" si="3541">I669</f>
        <v>" dir="</v>
      </c>
      <c r="J670" t="str">
        <f t="shared" si="3536"/>
        <v>"/&gt;</v>
      </c>
      <c r="K670" t="str">
        <f t="shared" ref="K670:K675" si="3542">F670&amp;A670&amp;G670&amp;C670&amp;H670&amp;D670&amp;I670&amp;E670&amp;J670</f>
        <v>&lt;record id="180614" posx="0" posy="0" dir="0"/&gt;</v>
      </c>
    </row>
    <row r="671" spans="1:11">
      <c r="A671">
        <f>Sheet1!A813</f>
        <v>180615</v>
      </c>
      <c r="B671" t="str">
        <f>Sheet1!B813</f>
        <v>妖风</v>
      </c>
      <c r="C671">
        <f>Sheet1!Q813</f>
        <v>0</v>
      </c>
      <c r="D671">
        <f>Sheet1!R813</f>
        <v>0</v>
      </c>
      <c r="E671">
        <f>Sheet1!U813</f>
        <v>0</v>
      </c>
      <c r="F671" t="str">
        <f t="shared" si="3538"/>
        <v>&lt;record id="</v>
      </c>
      <c r="G671" t="str">
        <f t="shared" ref="G671" si="3543">G670</f>
        <v>" posx="</v>
      </c>
      <c r="H671" t="str">
        <f t="shared" ref="H671:H674" si="3544">H670</f>
        <v>" posy="</v>
      </c>
      <c r="I671" t="str">
        <f t="shared" si="3541"/>
        <v>" dir="</v>
      </c>
      <c r="J671" t="str">
        <f t="shared" si="3536"/>
        <v>"/&gt;</v>
      </c>
      <c r="K671" t="str">
        <f t="shared" si="3542"/>
        <v>&lt;record id="180615" posx="0" posy="0" dir="0"/&gt;</v>
      </c>
    </row>
    <row r="672" spans="1:11">
      <c r="A672">
        <f>Sheet1!A814</f>
        <v>180616</v>
      </c>
      <c r="B672" t="str">
        <f>Sheet1!B814</f>
        <v>狂暴猪王</v>
      </c>
      <c r="C672">
        <f>Sheet1!Q814</f>
        <v>0</v>
      </c>
      <c r="D672">
        <f>Sheet1!R814</f>
        <v>0</v>
      </c>
      <c r="E672">
        <f>Sheet1!U814</f>
        <v>0</v>
      </c>
      <c r="F672" t="str">
        <f t="shared" si="3538"/>
        <v>&lt;record id="</v>
      </c>
      <c r="G672" t="str">
        <f t="shared" ref="G672:G674" si="3545">G671</f>
        <v>" posx="</v>
      </c>
      <c r="H672" t="str">
        <f t="shared" si="3544"/>
        <v>" posy="</v>
      </c>
      <c r="I672" t="str">
        <f t="shared" si="3541"/>
        <v>" dir="</v>
      </c>
      <c r="J672" t="str">
        <f t="shared" si="3536"/>
        <v>"/&gt;</v>
      </c>
      <c r="K672" t="str">
        <f t="shared" si="3542"/>
        <v>&lt;record id="180616" posx="0" posy="0" dir="0"/&gt;</v>
      </c>
    </row>
    <row r="673" spans="1:11">
      <c r="A673">
        <f>Sheet1!A815</f>
        <v>180617</v>
      </c>
      <c r="B673" t="str">
        <f>Sheet1!B815</f>
        <v>亡语者</v>
      </c>
      <c r="C673">
        <f>Sheet1!Q815</f>
        <v>0</v>
      </c>
      <c r="D673">
        <f>Sheet1!R815</f>
        <v>0</v>
      </c>
      <c r="E673">
        <f>Sheet1!U815</f>
        <v>0</v>
      </c>
      <c r="F673" t="str">
        <f t="shared" si="3538"/>
        <v>&lt;record id="</v>
      </c>
      <c r="G673" t="str">
        <f t="shared" si="3545"/>
        <v>" posx="</v>
      </c>
      <c r="H673" t="str">
        <f t="shared" si="3544"/>
        <v>" posy="</v>
      </c>
      <c r="I673" t="str">
        <f t="shared" si="3541"/>
        <v>" dir="</v>
      </c>
      <c r="J673" t="str">
        <f t="shared" si="3536"/>
        <v>"/&gt;</v>
      </c>
      <c r="K673" t="str">
        <f t="shared" si="3542"/>
        <v>&lt;record id="180617" posx="0" posy="0" dir="0"/&gt;</v>
      </c>
    </row>
    <row r="674" spans="1:11">
      <c r="A674">
        <f>Sheet1!A816</f>
        <v>180618</v>
      </c>
      <c r="B674" t="str">
        <f>Sheet1!B816</f>
        <v>小奶长者</v>
      </c>
      <c r="C674">
        <f>Sheet1!Q816</f>
        <v>0</v>
      </c>
      <c r="D674">
        <f>Sheet1!R816</f>
        <v>0</v>
      </c>
      <c r="E674">
        <f>Sheet1!U816</f>
        <v>0</v>
      </c>
      <c r="F674" t="str">
        <f t="shared" si="3538"/>
        <v>&lt;record id="</v>
      </c>
      <c r="G674" t="str">
        <f t="shared" si="3545"/>
        <v>" posx="</v>
      </c>
      <c r="H674" t="str">
        <f t="shared" si="3544"/>
        <v>" posy="</v>
      </c>
      <c r="I674" t="str">
        <f t="shared" si="3541"/>
        <v>" dir="</v>
      </c>
      <c r="J674" t="str">
        <f t="shared" si="3536"/>
        <v>"/&gt;</v>
      </c>
      <c r="K674" t="str">
        <f t="shared" si="3542"/>
        <v>&lt;record id="180618" posx="0" posy="0" dir="0"/&gt;</v>
      </c>
    </row>
    <row r="675" spans="1:11">
      <c r="A675">
        <f>Sheet1!A817</f>
        <v>180619</v>
      </c>
      <c r="B675" t="str">
        <f>Sheet1!B817</f>
        <v>暴食者</v>
      </c>
      <c r="C675">
        <f>Sheet1!Q817</f>
        <v>0</v>
      </c>
      <c r="D675">
        <f>Sheet1!R817</f>
        <v>0</v>
      </c>
      <c r="E675">
        <f>Sheet1!U817</f>
        <v>0</v>
      </c>
      <c r="F675" t="str">
        <f t="shared" si="3538"/>
        <v>&lt;record id="</v>
      </c>
      <c r="G675" t="str">
        <f t="shared" ref="G675" si="3546">G674</f>
        <v>" posx="</v>
      </c>
      <c r="H675" t="str">
        <f t="shared" ref="H675" si="3547">H674</f>
        <v>" posy="</v>
      </c>
      <c r="I675" t="str">
        <f t="shared" ref="I675" si="3548">I674</f>
        <v>" dir="</v>
      </c>
      <c r="J675" t="str">
        <f t="shared" ref="J675" si="3549">J674</f>
        <v>"/&gt;</v>
      </c>
      <c r="K675" t="str">
        <f t="shared" si="3542"/>
        <v>&lt;record id="180619" posx="0" posy="0" dir="0"/&gt;</v>
      </c>
    </row>
    <row r="676" spans="1:11">
      <c r="A676">
        <f>Sheet1!A818</f>
        <v>180620</v>
      </c>
      <c r="B676" t="str">
        <f>Sheet1!B818</f>
        <v>野猪精</v>
      </c>
      <c r="C676">
        <f>Sheet1!Q818</f>
        <v>0</v>
      </c>
      <c r="D676">
        <f>Sheet1!R818</f>
        <v>0</v>
      </c>
      <c r="E676">
        <f>Sheet1!U818</f>
        <v>0</v>
      </c>
      <c r="F676" t="str">
        <f t="shared" ref="F676" si="3550">F675</f>
        <v>&lt;record id="</v>
      </c>
      <c r="G676" t="str">
        <f t="shared" ref="G676" si="3551">G675</f>
        <v>" posx="</v>
      </c>
      <c r="H676" t="str">
        <f t="shared" ref="H676" si="3552">H675</f>
        <v>" posy="</v>
      </c>
      <c r="I676" t="str">
        <f t="shared" ref="I676" si="3553">I675</f>
        <v>" dir="</v>
      </c>
      <c r="J676" t="str">
        <f t="shared" ref="J676" si="3554">J675</f>
        <v>"/&gt;</v>
      </c>
      <c r="K676" t="str">
        <f t="shared" ref="K676" si="3555">F676&amp;A676&amp;G676&amp;C676&amp;H676&amp;D676&amp;I676&amp;E676&amp;J676</f>
        <v>&lt;record id="180620" posx="0" posy="0" dir="0"/&gt;</v>
      </c>
    </row>
    <row r="677" spans="1:11">
      <c r="A677">
        <f>Sheet1!A820</f>
        <v>180622</v>
      </c>
      <c r="B677" t="str">
        <f>Sheet1!B820</f>
        <v>训犬人</v>
      </c>
      <c r="C677">
        <f>Sheet1!Q820</f>
        <v>0</v>
      </c>
      <c r="D677">
        <f>Sheet1!R820</f>
        <v>0</v>
      </c>
      <c r="E677">
        <f>Sheet1!U820</f>
        <v>0</v>
      </c>
      <c r="F677" t="str">
        <f t="shared" ref="F677" si="3556">F676</f>
        <v>&lt;record id="</v>
      </c>
      <c r="G677" t="str">
        <f t="shared" ref="G677" si="3557">G676</f>
        <v>" posx="</v>
      </c>
      <c r="H677" t="str">
        <f t="shared" ref="H677" si="3558">H676</f>
        <v>" posy="</v>
      </c>
      <c r="I677" t="str">
        <f t="shared" ref="I677" si="3559">I676</f>
        <v>" dir="</v>
      </c>
      <c r="J677" t="str">
        <f t="shared" ref="J677" si="3560">J676</f>
        <v>"/&gt;</v>
      </c>
      <c r="K677" t="str">
        <f t="shared" ref="K677" si="3561">F677&amp;A677&amp;G677&amp;C677&amp;H677&amp;D677&amp;I677&amp;E677&amp;J677</f>
        <v>&lt;record id="180622" posx="0" posy="0" dir="0"/&gt;</v>
      </c>
    </row>
    <row r="678" spans="1:11">
      <c r="A678">
        <f>Sheet1!A821</f>
        <v>180623</v>
      </c>
      <c r="B678" t="str">
        <f>Sheet1!B821</f>
        <v>奥法师</v>
      </c>
      <c r="C678">
        <f>Sheet1!Q821</f>
        <v>0</v>
      </c>
      <c r="D678">
        <f>Sheet1!R821</f>
        <v>0</v>
      </c>
      <c r="E678">
        <f>Sheet1!U821</f>
        <v>0</v>
      </c>
      <c r="F678" t="str">
        <f t="shared" ref="F678" si="3562">F677</f>
        <v>&lt;record id="</v>
      </c>
      <c r="G678" t="str">
        <f t="shared" ref="G678" si="3563">G677</f>
        <v>" posx="</v>
      </c>
      <c r="H678" t="str">
        <f t="shared" ref="H678" si="3564">H677</f>
        <v>" posy="</v>
      </c>
      <c r="I678" t="str">
        <f t="shared" ref="I678" si="3565">I677</f>
        <v>" dir="</v>
      </c>
      <c r="J678" t="str">
        <f t="shared" ref="J678" si="3566">J677</f>
        <v>"/&gt;</v>
      </c>
      <c r="K678" t="str">
        <f t="shared" ref="K678" si="3567">F678&amp;A678&amp;G678&amp;C678&amp;H678&amp;D678&amp;I678&amp;E678&amp;J678</f>
        <v>&lt;record id="180623" posx="0" posy="0" dir="0"/&gt;</v>
      </c>
    </row>
    <row r="679" spans="1:11">
      <c r="A679">
        <f>Sheet1!A822</f>
        <v>180624</v>
      </c>
      <c r="B679" t="str">
        <f>Sheet1!B822</f>
        <v>旋风骑士</v>
      </c>
      <c r="C679">
        <f>Sheet1!Q822</f>
        <v>0</v>
      </c>
      <c r="D679">
        <f>Sheet1!R822</f>
        <v>0</v>
      </c>
      <c r="E679">
        <f>Sheet1!U822</f>
        <v>0</v>
      </c>
      <c r="F679" t="str">
        <f t="shared" ref="F679" si="3568">F678</f>
        <v>&lt;record id="</v>
      </c>
      <c r="G679" t="str">
        <f t="shared" ref="G679" si="3569">G678</f>
        <v>" posx="</v>
      </c>
      <c r="H679" t="str">
        <f t="shared" ref="H679" si="3570">H678</f>
        <v>" posy="</v>
      </c>
      <c r="I679" t="str">
        <f t="shared" ref="I679" si="3571">I678</f>
        <v>" dir="</v>
      </c>
      <c r="J679" t="str">
        <f t="shared" ref="J679" si="3572">J678</f>
        <v>"/&gt;</v>
      </c>
      <c r="K679" t="str">
        <f t="shared" ref="K679" si="3573">F679&amp;A679&amp;G679&amp;C679&amp;H679&amp;D679&amp;I679&amp;E679&amp;J679</f>
        <v>&lt;record id="180624" posx="0" posy="0" dir="0"/&gt;</v>
      </c>
    </row>
    <row r="680" spans="1:11">
      <c r="A680">
        <f>Sheet1!A823</f>
        <v>180625</v>
      </c>
      <c r="B680" t="str">
        <f>Sheet1!B823</f>
        <v>地牢指挥官</v>
      </c>
      <c r="C680">
        <f>Sheet1!Q823</f>
        <v>0</v>
      </c>
      <c r="D680">
        <f>Sheet1!R823</f>
        <v>0</v>
      </c>
      <c r="E680">
        <f>Sheet1!U823</f>
        <v>0</v>
      </c>
      <c r="F680" t="str">
        <f t="shared" ref="F680" si="3574">F679</f>
        <v>&lt;record id="</v>
      </c>
      <c r="G680" t="str">
        <f t="shared" ref="G680" si="3575">G679</f>
        <v>" posx="</v>
      </c>
      <c r="H680" t="str">
        <f t="shared" ref="H680" si="3576">H679</f>
        <v>" posy="</v>
      </c>
      <c r="I680" t="str">
        <f t="shared" ref="I680" si="3577">I679</f>
        <v>" dir="</v>
      </c>
      <c r="J680" t="str">
        <f t="shared" ref="J680" si="3578">J679</f>
        <v>"/&gt;</v>
      </c>
      <c r="K680" t="str">
        <f t="shared" ref="K680" si="3579">F680&amp;A680&amp;G680&amp;C680&amp;H680&amp;D680&amp;I680&amp;E680&amp;J680</f>
        <v>&lt;record id="180625" posx="0" posy="0" dir="0"/&gt;</v>
      </c>
    </row>
    <row r="681" spans="1:11">
      <c r="A681">
        <f>Sheet1!A824</f>
        <v>180626</v>
      </c>
      <c r="B681" t="str">
        <f>Sheet1!B824</f>
        <v>鞭笞者</v>
      </c>
      <c r="C681">
        <f>Sheet1!Q824</f>
        <v>0</v>
      </c>
      <c r="D681">
        <f>Sheet1!R824</f>
        <v>0</v>
      </c>
      <c r="E681">
        <f>Sheet1!U824</f>
        <v>0</v>
      </c>
      <c r="F681" t="str">
        <f t="shared" ref="F681" si="3580">F680</f>
        <v>&lt;record id="</v>
      </c>
      <c r="G681" t="str">
        <f t="shared" ref="G681" si="3581">G680</f>
        <v>" posx="</v>
      </c>
      <c r="H681" t="str">
        <f t="shared" ref="H681" si="3582">H680</f>
        <v>" posy="</v>
      </c>
      <c r="I681" t="str">
        <f t="shared" ref="I681" si="3583">I680</f>
        <v>" dir="</v>
      </c>
      <c r="J681" t="str">
        <f t="shared" ref="J681" si="3584">J680</f>
        <v>"/&gt;</v>
      </c>
      <c r="K681" t="str">
        <f t="shared" ref="K681" si="3585">F681&amp;A681&amp;G681&amp;C681&amp;H681&amp;D681&amp;I681&amp;E681&amp;J681</f>
        <v>&lt;record id="180626" posx="0" posy="0" dir="0"/&gt;</v>
      </c>
    </row>
    <row r="682" spans="1:11">
      <c r="A682">
        <f>Sheet1!A825</f>
        <v>180627</v>
      </c>
      <c r="B682" t="str">
        <f>Sheet1!B825</f>
        <v>腐烂元素</v>
      </c>
      <c r="C682">
        <f>Sheet1!Q825</f>
        <v>0</v>
      </c>
      <c r="D682">
        <f>Sheet1!R825</f>
        <v>0</v>
      </c>
      <c r="E682">
        <f>Sheet1!U825</f>
        <v>0</v>
      </c>
      <c r="F682" t="str">
        <f t="shared" ref="F682" si="3586">F681</f>
        <v>&lt;record id="</v>
      </c>
      <c r="G682" t="str">
        <f t="shared" ref="G682" si="3587">G681</f>
        <v>" posx="</v>
      </c>
      <c r="H682" t="str">
        <f t="shared" ref="H682" si="3588">H681</f>
        <v>" posy="</v>
      </c>
      <c r="I682" t="str">
        <f t="shared" ref="I682" si="3589">I681</f>
        <v>" dir="</v>
      </c>
      <c r="J682" t="str">
        <f t="shared" ref="J682" si="3590">J681</f>
        <v>"/&gt;</v>
      </c>
      <c r="K682" t="str">
        <f t="shared" ref="K682" si="3591">F682&amp;A682&amp;G682&amp;C682&amp;H682&amp;D682&amp;I682&amp;E682&amp;J682</f>
        <v>&lt;record id="180627" posx="0" posy="0" dir="0"/&gt;</v>
      </c>
    </row>
    <row r="683" spans="1:11">
      <c r="A683">
        <f>Sheet1!A826</f>
        <v>180628</v>
      </c>
      <c r="B683" t="str">
        <f>Sheet1!B826</f>
        <v>冰巨人</v>
      </c>
      <c r="C683">
        <f>Sheet1!Q826</f>
        <v>0</v>
      </c>
      <c r="D683">
        <f>Sheet1!R826</f>
        <v>0</v>
      </c>
      <c r="E683">
        <f>Sheet1!U826</f>
        <v>0</v>
      </c>
      <c r="F683" t="str">
        <f t="shared" ref="F683" si="3592">F682</f>
        <v>&lt;record id="</v>
      </c>
      <c r="G683" t="str">
        <f t="shared" ref="G683" si="3593">G682</f>
        <v>" posx="</v>
      </c>
      <c r="H683" t="str">
        <f t="shared" ref="H683" si="3594">H682</f>
        <v>" posy="</v>
      </c>
      <c r="I683" t="str">
        <f t="shared" ref="I683" si="3595">I682</f>
        <v>" dir="</v>
      </c>
      <c r="J683" t="str">
        <f t="shared" ref="J683" si="3596">J682</f>
        <v>"/&gt;</v>
      </c>
      <c r="K683" t="str">
        <f t="shared" ref="K683" si="3597">F683&amp;A683&amp;G683&amp;C683&amp;H683&amp;D683&amp;I683&amp;E683&amp;J683</f>
        <v>&lt;record id="180628" posx="0" posy="0" dir="0"/&gt;</v>
      </c>
    </row>
    <row r="684" spans="1:11">
      <c r="A684">
        <f>Sheet1!A827</f>
        <v>180629</v>
      </c>
      <c r="B684" t="str">
        <f>Sheet1!B827</f>
        <v>马面</v>
      </c>
      <c r="C684">
        <f>Sheet1!Q827</f>
        <v>0</v>
      </c>
      <c r="D684">
        <f>Sheet1!R827</f>
        <v>0</v>
      </c>
      <c r="E684">
        <f>Sheet1!U827</f>
        <v>0</v>
      </c>
      <c r="F684" t="str">
        <f t="shared" ref="F684" si="3598">F683</f>
        <v>&lt;record id="</v>
      </c>
      <c r="G684" t="str">
        <f t="shared" ref="G684" si="3599">G683</f>
        <v>" posx="</v>
      </c>
      <c r="H684" t="str">
        <f t="shared" ref="H684" si="3600">H683</f>
        <v>" posy="</v>
      </c>
      <c r="I684" t="str">
        <f t="shared" ref="I684" si="3601">I683</f>
        <v>" dir="</v>
      </c>
      <c r="J684" t="str">
        <f t="shared" ref="J684" si="3602">J683</f>
        <v>"/&gt;</v>
      </c>
      <c r="K684" t="str">
        <f t="shared" ref="K684" si="3603">F684&amp;A684&amp;G684&amp;C684&amp;H684&amp;D684&amp;I684&amp;E684&amp;J684</f>
        <v>&lt;record id="180629" posx="0" posy="0" dir="0"/&gt;</v>
      </c>
    </row>
    <row r="685" spans="1:11">
      <c r="A685">
        <f>Sheet1!A828</f>
        <v>180630</v>
      </c>
      <c r="B685" t="str">
        <f>Sheet1!B828</f>
        <v>玛拉得公主</v>
      </c>
      <c r="C685">
        <f>Sheet1!Q828</f>
        <v>0</v>
      </c>
      <c r="D685">
        <f>Sheet1!R828</f>
        <v>0</v>
      </c>
      <c r="E685">
        <f>Sheet1!U828</f>
        <v>0</v>
      </c>
      <c r="F685" t="str">
        <f t="shared" ref="F685" si="3604">F684</f>
        <v>&lt;record id="</v>
      </c>
      <c r="G685" t="str">
        <f t="shared" ref="G685" si="3605">G684</f>
        <v>" posx="</v>
      </c>
      <c r="H685" t="str">
        <f t="shared" ref="H685" si="3606">H684</f>
        <v>" posy="</v>
      </c>
      <c r="I685" t="str">
        <f t="shared" ref="I685" si="3607">I684</f>
        <v>" dir="</v>
      </c>
      <c r="J685" t="str">
        <f t="shared" ref="J685" si="3608">J684</f>
        <v>"/&gt;</v>
      </c>
      <c r="K685" t="str">
        <f t="shared" ref="K685" si="3609">F685&amp;A685&amp;G685&amp;C685&amp;H685&amp;D685&amp;I685&amp;E685&amp;J685</f>
        <v>&lt;record id="180630" posx="0" posy="0" dir="0"/&gt;</v>
      </c>
    </row>
    <row r="686" spans="1:11">
      <c r="A686">
        <f>Sheet1!A829</f>
        <v>180631</v>
      </c>
      <c r="B686" t="str">
        <f>Sheet1!B829</f>
        <v>弈莫塔</v>
      </c>
      <c r="C686">
        <f>Sheet1!Q829</f>
        <v>0</v>
      </c>
      <c r="D686">
        <f>Sheet1!R829</f>
        <v>0</v>
      </c>
      <c r="E686">
        <f>Sheet1!U829</f>
        <v>0</v>
      </c>
      <c r="F686" t="str">
        <f t="shared" ref="F686" si="3610">F685</f>
        <v>&lt;record id="</v>
      </c>
      <c r="G686" t="str">
        <f t="shared" ref="G686" si="3611">G685</f>
        <v>" posx="</v>
      </c>
      <c r="H686" t="str">
        <f t="shared" ref="H686" si="3612">H685</f>
        <v>" posy="</v>
      </c>
      <c r="I686" t="str">
        <f t="shared" ref="I686" si="3613">I685</f>
        <v>" dir="</v>
      </c>
      <c r="J686" t="str">
        <f t="shared" ref="J686" si="3614">J685</f>
        <v>"/&gt;</v>
      </c>
      <c r="K686" t="str">
        <f t="shared" ref="K686" si="3615">F686&amp;A686&amp;G686&amp;C686&amp;H686&amp;D686&amp;I686&amp;E686&amp;J686</f>
        <v>&lt;record id="180631" posx="0" posy="0" dir="0"/&gt;</v>
      </c>
    </row>
    <row r="687" spans="1:11">
      <c r="A687">
        <f>Sheet1!A830</f>
        <v>180632</v>
      </c>
      <c r="B687" t="str">
        <f>Sheet1!B830</f>
        <v>践踏者</v>
      </c>
      <c r="C687">
        <f>Sheet1!Q830</f>
        <v>0</v>
      </c>
      <c r="D687">
        <f>Sheet1!R830</f>
        <v>0</v>
      </c>
      <c r="E687">
        <f>Sheet1!U830</f>
        <v>0</v>
      </c>
      <c r="F687" t="str">
        <f t="shared" ref="F687" si="3616">F686</f>
        <v>&lt;record id="</v>
      </c>
      <c r="G687" t="str">
        <f t="shared" ref="G687" si="3617">G686</f>
        <v>" posx="</v>
      </c>
      <c r="H687" t="str">
        <f t="shared" ref="H687" si="3618">H686</f>
        <v>" posy="</v>
      </c>
      <c r="I687" t="str">
        <f t="shared" ref="I687" si="3619">I686</f>
        <v>" dir="</v>
      </c>
      <c r="J687" t="str">
        <f t="shared" ref="J687" si="3620">J686</f>
        <v>"/&gt;</v>
      </c>
      <c r="K687" t="str">
        <f t="shared" ref="K687" si="3621">F687&amp;A687&amp;G687&amp;C687&amp;H687&amp;D687&amp;I687&amp;E687&amp;J687</f>
        <v>&lt;record id="180632" posx="0" posy="0" dir="0"/&gt;</v>
      </c>
    </row>
    <row r="688" spans="1:11">
      <c r="A688">
        <f>Sheet1!A831</f>
        <v>180633</v>
      </c>
      <c r="B688" t="str">
        <f>Sheet1!B831</f>
        <v>埃隆霸波</v>
      </c>
      <c r="C688">
        <f>Sheet1!Q831</f>
        <v>0</v>
      </c>
      <c r="D688">
        <f>Sheet1!R831</f>
        <v>0</v>
      </c>
      <c r="E688">
        <f>Sheet1!U831</f>
        <v>0</v>
      </c>
      <c r="F688" t="str">
        <f t="shared" ref="F688" si="3622">F687</f>
        <v>&lt;record id="</v>
      </c>
      <c r="G688" t="str">
        <f t="shared" ref="G688" si="3623">G687</f>
        <v>" posx="</v>
      </c>
      <c r="H688" t="str">
        <f t="shared" ref="H688" si="3624">H687</f>
        <v>" posy="</v>
      </c>
      <c r="I688" t="str">
        <f t="shared" ref="I688" si="3625">I687</f>
        <v>" dir="</v>
      </c>
      <c r="J688" t="str">
        <f t="shared" ref="J688" si="3626">J687</f>
        <v>"/&gt;</v>
      </c>
      <c r="K688" t="str">
        <f t="shared" ref="K688" si="3627">F688&amp;A688&amp;G688&amp;C688&amp;H688&amp;D688&amp;I688&amp;E688&amp;J688</f>
        <v>&lt;record id="180633" posx="0" posy="0" dir="0"/&gt;</v>
      </c>
    </row>
    <row r="689" spans="1:11">
      <c r="A689">
        <f>Sheet1!A832</f>
        <v>180634</v>
      </c>
      <c r="B689" t="str">
        <f>Sheet1!B832</f>
        <v>哥多氪大王</v>
      </c>
      <c r="C689">
        <f>Sheet1!Q832</f>
        <v>0</v>
      </c>
      <c r="D689">
        <f>Sheet1!R832</f>
        <v>0</v>
      </c>
      <c r="E689">
        <f>Sheet1!U832</f>
        <v>0</v>
      </c>
      <c r="F689" t="str">
        <f t="shared" ref="F689" si="3628">F688</f>
        <v>&lt;record id="</v>
      </c>
      <c r="G689" t="str">
        <f t="shared" ref="G689" si="3629">G688</f>
        <v>" posx="</v>
      </c>
      <c r="H689" t="str">
        <f t="shared" ref="H689" si="3630">H688</f>
        <v>" posy="</v>
      </c>
      <c r="I689" t="str">
        <f t="shared" ref="I689" si="3631">I688</f>
        <v>" dir="</v>
      </c>
      <c r="J689" t="str">
        <f t="shared" ref="J689" si="3632">J688</f>
        <v>"/&gt;</v>
      </c>
      <c r="K689" t="str">
        <f t="shared" ref="K689" si="3633">F689&amp;A689&amp;G689&amp;C689&amp;H689&amp;D689&amp;I689&amp;E689&amp;J689</f>
        <v>&lt;record id="180634" posx="0" posy="0" dir="0"/&gt;</v>
      </c>
    </row>
    <row r="690" spans="1:11">
      <c r="A690">
        <f>Sheet1!A833</f>
        <v>180635</v>
      </c>
      <c r="B690" t="str">
        <f>Sheet1!B833</f>
        <v>奥茨莱恩</v>
      </c>
      <c r="C690">
        <f>Sheet1!Q833</f>
        <v>0</v>
      </c>
      <c r="D690">
        <f>Sheet1!R833</f>
        <v>0</v>
      </c>
      <c r="E690">
        <f>Sheet1!U833</f>
        <v>0</v>
      </c>
      <c r="F690" t="str">
        <f t="shared" ref="F690" si="3634">F689</f>
        <v>&lt;record id="</v>
      </c>
      <c r="G690" t="str">
        <f t="shared" ref="G690" si="3635">G689</f>
        <v>" posx="</v>
      </c>
      <c r="H690" t="str">
        <f t="shared" ref="H690" si="3636">H689</f>
        <v>" posy="</v>
      </c>
      <c r="I690" t="str">
        <f t="shared" ref="I690" si="3637">I689</f>
        <v>" dir="</v>
      </c>
      <c r="J690" t="str">
        <f t="shared" ref="J690" si="3638">J689</f>
        <v>"/&gt;</v>
      </c>
      <c r="K690" t="str">
        <f t="shared" ref="K690" si="3639">F690&amp;A690&amp;G690&amp;C690&amp;H690&amp;D690&amp;I690&amp;E690&amp;J690</f>
        <v>&lt;record id="180635" posx="0" posy="0" dir="0"/&gt;</v>
      </c>
    </row>
    <row r="691" spans="1:11">
      <c r="A691">
        <f>Sheet1!A834</f>
        <v>180636</v>
      </c>
      <c r="B691" t="str">
        <f>Sheet1!B834</f>
        <v>塔拉里恩</v>
      </c>
      <c r="C691">
        <f>Sheet1!Q834</f>
        <v>0</v>
      </c>
      <c r="D691">
        <f>Sheet1!R834</f>
        <v>0</v>
      </c>
      <c r="E691">
        <f>Sheet1!U834</f>
        <v>0</v>
      </c>
      <c r="F691" t="str">
        <f t="shared" ref="F691" si="3640">F690</f>
        <v>&lt;record id="</v>
      </c>
      <c r="G691" t="str">
        <f t="shared" ref="G691" si="3641">G690</f>
        <v>" posx="</v>
      </c>
      <c r="H691" t="str">
        <f t="shared" ref="H691" si="3642">H690</f>
        <v>" posy="</v>
      </c>
      <c r="I691" t="str">
        <f t="shared" ref="I691" si="3643">I690</f>
        <v>" dir="</v>
      </c>
      <c r="J691" t="str">
        <f t="shared" ref="J691" si="3644">J690</f>
        <v>"/&gt;</v>
      </c>
      <c r="K691" t="str">
        <f t="shared" ref="K691" si="3645">F691&amp;A691&amp;G691&amp;C691&amp;H691&amp;D691&amp;I691&amp;E691&amp;J691</f>
        <v>&lt;record id="180636" posx="0" posy="0" dir="0"/&gt;</v>
      </c>
    </row>
    <row r="692" spans="1:11">
      <c r="A692">
        <f>Sheet1!A835</f>
        <v>180637</v>
      </c>
      <c r="B692" t="str">
        <f>Sheet1!B835</f>
        <v>猴小仙</v>
      </c>
      <c r="C692">
        <f>Sheet1!Q835</f>
        <v>0</v>
      </c>
      <c r="D692">
        <f>Sheet1!R835</f>
        <v>0</v>
      </c>
      <c r="E692">
        <f>Sheet1!U835</f>
        <v>0</v>
      </c>
      <c r="F692" t="str">
        <f t="shared" ref="F692" si="3646">F691</f>
        <v>&lt;record id="</v>
      </c>
      <c r="G692" t="str">
        <f t="shared" ref="G692" si="3647">G691</f>
        <v>" posx="</v>
      </c>
      <c r="H692" t="str">
        <f t="shared" ref="H692" si="3648">H691</f>
        <v>" posy="</v>
      </c>
      <c r="I692" t="str">
        <f t="shared" ref="I692" si="3649">I691</f>
        <v>" dir="</v>
      </c>
      <c r="J692" t="str">
        <f t="shared" ref="J692" si="3650">J691</f>
        <v>"/&gt;</v>
      </c>
      <c r="K692" t="str">
        <f t="shared" ref="K692" si="3651">F692&amp;A692&amp;G692&amp;C692&amp;H692&amp;D692&amp;I692&amp;E692&amp;J692</f>
        <v>&lt;record id="180637" posx="0" posy="0" dir="0"/&gt;</v>
      </c>
    </row>
    <row r="693" spans="1:11">
      <c r="A693">
        <f>Sheet1!A836</f>
        <v>180638</v>
      </c>
      <c r="B693" t="str">
        <f>Sheet1!B836</f>
        <v>要拉唯握</v>
      </c>
      <c r="C693">
        <f>Sheet1!Q836</f>
        <v>0</v>
      </c>
      <c r="D693">
        <f>Sheet1!R836</f>
        <v>0</v>
      </c>
      <c r="E693">
        <f>Sheet1!U836</f>
        <v>0</v>
      </c>
      <c r="F693" t="str">
        <f t="shared" ref="F693" si="3652">F692</f>
        <v>&lt;record id="</v>
      </c>
      <c r="G693" t="str">
        <f t="shared" ref="G693" si="3653">G692</f>
        <v>" posx="</v>
      </c>
      <c r="H693" t="str">
        <f t="shared" ref="H693" si="3654">H692</f>
        <v>" posy="</v>
      </c>
      <c r="I693" t="str">
        <f t="shared" ref="I693" si="3655">I692</f>
        <v>" dir="</v>
      </c>
      <c r="J693" t="str">
        <f t="shared" ref="J693" si="3656">J692</f>
        <v>"/&gt;</v>
      </c>
      <c r="K693" t="str">
        <f t="shared" ref="K693" si="3657">F693&amp;A693&amp;G693&amp;C693&amp;H693&amp;D693&amp;I693&amp;E693&amp;J693</f>
        <v>&lt;record id="180638" posx="0" posy="0" dir="0"/&gt;</v>
      </c>
    </row>
    <row r="694" spans="1:11">
      <c r="A694">
        <f>Sheet1!A837</f>
        <v>180639</v>
      </c>
      <c r="B694" t="str">
        <f>Sheet1!B837</f>
        <v>要塞卡耳</v>
      </c>
      <c r="C694">
        <f>Sheet1!Q837</f>
        <v>0</v>
      </c>
      <c r="D694">
        <f>Sheet1!R837</f>
        <v>0</v>
      </c>
      <c r="E694">
        <f>Sheet1!U837</f>
        <v>0</v>
      </c>
      <c r="F694" t="str">
        <f t="shared" ref="F694" si="3658">F693</f>
        <v>&lt;record id="</v>
      </c>
      <c r="G694" t="str">
        <f t="shared" ref="G694" si="3659">G693</f>
        <v>" posx="</v>
      </c>
      <c r="H694" t="str">
        <f t="shared" ref="H694" si="3660">H693</f>
        <v>" posy="</v>
      </c>
      <c r="I694" t="str">
        <f t="shared" ref="I694" si="3661">I693</f>
        <v>" dir="</v>
      </c>
      <c r="J694" t="str">
        <f t="shared" ref="J694" si="3662">J693</f>
        <v>"/&gt;</v>
      </c>
      <c r="K694" t="str">
        <f t="shared" ref="K694" si="3663">F694&amp;A694&amp;G694&amp;C694&amp;H694&amp;D694&amp;I694&amp;E694&amp;J694</f>
        <v>&lt;record id="180639" posx="0" posy="0" dir="0"/&gt;</v>
      </c>
    </row>
    <row r="695" spans="1:11">
      <c r="A695">
        <f>Sheet1!A838</f>
        <v>180640</v>
      </c>
      <c r="B695" t="str">
        <f>Sheet1!B838</f>
        <v>依兰内裤斯</v>
      </c>
      <c r="C695">
        <f>Sheet1!Q838</f>
        <v>0</v>
      </c>
      <c r="D695">
        <f>Sheet1!R838</f>
        <v>0</v>
      </c>
      <c r="E695">
        <f>Sheet1!U838</f>
        <v>0</v>
      </c>
      <c r="F695" t="str">
        <f t="shared" ref="F695" si="3664">F694</f>
        <v>&lt;record id="</v>
      </c>
      <c r="G695" t="str">
        <f t="shared" ref="G695" si="3665">G694</f>
        <v>" posx="</v>
      </c>
      <c r="H695" t="str">
        <f t="shared" ref="H695" si="3666">H694</f>
        <v>" posy="</v>
      </c>
      <c r="I695" t="str">
        <f t="shared" ref="I695" si="3667">I694</f>
        <v>" dir="</v>
      </c>
      <c r="J695" t="str">
        <f t="shared" ref="J695" si="3668">J694</f>
        <v>"/&gt;</v>
      </c>
      <c r="K695" t="str">
        <f t="shared" ref="K695" si="3669">F695&amp;A695&amp;G695&amp;C695&amp;H695&amp;D695&amp;I695&amp;E695&amp;J695</f>
        <v>&lt;record id="180640" posx="0" posy="0" dir="0"/&gt;</v>
      </c>
    </row>
    <row r="696" spans="1:11">
      <c r="A696">
        <f>Sheet1!A839</f>
        <v>180641</v>
      </c>
      <c r="B696" t="str">
        <f>Sheet1!B839</f>
        <v>俺哥是将军</v>
      </c>
      <c r="C696">
        <f>Sheet1!Q839</f>
        <v>0</v>
      </c>
      <c r="D696">
        <f>Sheet1!R839</f>
        <v>0</v>
      </c>
      <c r="E696">
        <f>Sheet1!U839</f>
        <v>0</v>
      </c>
      <c r="F696" t="str">
        <f t="shared" ref="F696" si="3670">F695</f>
        <v>&lt;record id="</v>
      </c>
      <c r="G696" t="str">
        <f t="shared" ref="G696" si="3671">G695</f>
        <v>" posx="</v>
      </c>
      <c r="H696" t="str">
        <f t="shared" ref="H696" si="3672">H695</f>
        <v>" posy="</v>
      </c>
      <c r="I696" t="str">
        <f t="shared" ref="I696" si="3673">I695</f>
        <v>" dir="</v>
      </c>
      <c r="J696" t="str">
        <f t="shared" ref="J696" si="3674">J695</f>
        <v>"/&gt;</v>
      </c>
      <c r="K696" t="str">
        <f t="shared" ref="K696" si="3675">F696&amp;A696&amp;G696&amp;C696&amp;H696&amp;D696&amp;I696&amp;E696&amp;J696</f>
        <v>&lt;record id="180641" posx="0" posy="0" dir="0"/&gt;</v>
      </c>
    </row>
    <row r="697" spans="1:11">
      <c r="A697">
        <f>Sheet1!A840</f>
        <v>180642</v>
      </c>
      <c r="B697" t="str">
        <f>Sheet1!B840</f>
        <v>酒保</v>
      </c>
      <c r="C697">
        <f>Sheet1!Q840</f>
        <v>0</v>
      </c>
      <c r="D697">
        <f>Sheet1!R840</f>
        <v>0</v>
      </c>
      <c r="E697">
        <f>Sheet1!U840</f>
        <v>0</v>
      </c>
      <c r="F697" t="str">
        <f t="shared" ref="F697" si="3676">F696</f>
        <v>&lt;record id="</v>
      </c>
      <c r="G697" t="str">
        <f t="shared" ref="G697" si="3677">G696</f>
        <v>" posx="</v>
      </c>
      <c r="H697" t="str">
        <f t="shared" ref="H697" si="3678">H696</f>
        <v>" posy="</v>
      </c>
      <c r="I697" t="str">
        <f t="shared" ref="I697" si="3679">I696</f>
        <v>" dir="</v>
      </c>
      <c r="J697" t="str">
        <f t="shared" ref="J697" si="3680">J696</f>
        <v>"/&gt;</v>
      </c>
      <c r="K697" t="str">
        <f t="shared" ref="K697" si="3681">F697&amp;A697&amp;G697&amp;C697&amp;H697&amp;D697&amp;I697&amp;E697&amp;J697</f>
        <v>&lt;record id="180642" posx="0" posy="0" dir="0"/&gt;</v>
      </c>
    </row>
    <row r="698" spans="1:11">
      <c r="A698">
        <f>Sheet1!A841</f>
        <v>180643</v>
      </c>
      <c r="B698" t="str">
        <f>Sheet1!B841</f>
        <v>大使</v>
      </c>
      <c r="C698">
        <f>Sheet1!Q841</f>
        <v>0</v>
      </c>
      <c r="D698">
        <f>Sheet1!R841</f>
        <v>0</v>
      </c>
      <c r="E698">
        <f>Sheet1!U841</f>
        <v>0</v>
      </c>
      <c r="F698" t="str">
        <f t="shared" ref="F698" si="3682">F697</f>
        <v>&lt;record id="</v>
      </c>
      <c r="G698" t="str">
        <f t="shared" ref="G698" si="3683">G697</f>
        <v>" posx="</v>
      </c>
      <c r="H698" t="str">
        <f t="shared" ref="H698" si="3684">H697</f>
        <v>" posy="</v>
      </c>
      <c r="I698" t="str">
        <f t="shared" ref="I698" si="3685">I697</f>
        <v>" dir="</v>
      </c>
      <c r="J698" t="str">
        <f t="shared" ref="J698" si="3686">J697</f>
        <v>"/&gt;</v>
      </c>
      <c r="K698" t="str">
        <f t="shared" ref="K698" si="3687">F698&amp;A698&amp;G698&amp;C698&amp;H698&amp;D698&amp;I698&amp;E698&amp;J698</f>
        <v>&lt;record id="180643" posx="0" posy="0" dir="0"/&gt;</v>
      </c>
    </row>
    <row r="699" spans="1:11">
      <c r="A699">
        <f>Sheet1!A842</f>
        <v>180644</v>
      </c>
      <c r="B699" t="str">
        <f>Sheet1!B842</f>
        <v>大奶同需</v>
      </c>
      <c r="C699">
        <f>Sheet1!Q842</f>
        <v>0</v>
      </c>
      <c r="D699">
        <f>Sheet1!R842</f>
        <v>0</v>
      </c>
      <c r="E699">
        <f>Sheet1!U842</f>
        <v>0</v>
      </c>
      <c r="F699" t="str">
        <f t="shared" ref="F699" si="3688">F698</f>
        <v>&lt;record id="</v>
      </c>
      <c r="G699" t="str">
        <f t="shared" ref="G699" si="3689">G698</f>
        <v>" posx="</v>
      </c>
      <c r="H699" t="str">
        <f t="shared" ref="H699" si="3690">H698</f>
        <v>" posy="</v>
      </c>
      <c r="I699" t="str">
        <f t="shared" ref="I699" si="3691">I698</f>
        <v>" dir="</v>
      </c>
      <c r="J699" t="str">
        <f t="shared" ref="J699" si="3692">J698</f>
        <v>"/&gt;</v>
      </c>
      <c r="K699" t="str">
        <f t="shared" ref="K699" si="3693">F699&amp;A699&amp;G699&amp;C699&amp;H699&amp;D699&amp;I699&amp;E699&amp;J699</f>
        <v>&lt;record id="180644" posx="0" posy="0" dir="0"/&gt;</v>
      </c>
    </row>
    <row r="700" spans="1:11">
      <c r="A700">
        <f>Sheet1!A843</f>
        <v>180645</v>
      </c>
      <c r="B700" t="str">
        <f>Sheet1!B843</f>
        <v>锁惢深大帝</v>
      </c>
      <c r="C700">
        <f>Sheet1!Q843</f>
        <v>0</v>
      </c>
      <c r="D700">
        <f>Sheet1!R843</f>
        <v>0</v>
      </c>
      <c r="E700">
        <f>Sheet1!U843</f>
        <v>0</v>
      </c>
      <c r="F700" t="str">
        <f t="shared" ref="F700" si="3694">F699</f>
        <v>&lt;record id="</v>
      </c>
      <c r="G700" t="str">
        <f t="shared" ref="G700" si="3695">G699</f>
        <v>" posx="</v>
      </c>
      <c r="H700" t="str">
        <f t="shared" ref="H700" si="3696">H699</f>
        <v>" posy="</v>
      </c>
      <c r="I700" t="str">
        <f t="shared" ref="I700" si="3697">I699</f>
        <v>" dir="</v>
      </c>
      <c r="J700" t="str">
        <f t="shared" ref="J700:J705" si="3698">J699</f>
        <v>"/&gt;</v>
      </c>
      <c r="K700" t="str">
        <f t="shared" ref="K700" si="3699">F700&amp;A700&amp;G700&amp;C700&amp;H700&amp;D700&amp;I700&amp;E700&amp;J700</f>
        <v>&lt;record id="180645" posx="0" posy="0" dir="0"/&gt;</v>
      </c>
    </row>
    <row r="701" spans="1:11">
      <c r="A701">
        <f>Sheet1!A844</f>
        <v>180646</v>
      </c>
      <c r="B701" t="str">
        <f>Sheet1!B844</f>
        <v>安娜丝美丽</v>
      </c>
      <c r="C701">
        <f>Sheet1!Q844</f>
        <v>0</v>
      </c>
      <c r="D701">
        <f>Sheet1!R844</f>
        <v>0</v>
      </c>
      <c r="E701">
        <f>Sheet1!U844</f>
        <v>0</v>
      </c>
      <c r="F701" t="str">
        <f t="shared" ref="F701" si="3700">F700</f>
        <v>&lt;record id="</v>
      </c>
      <c r="G701" t="str">
        <f t="shared" ref="G701:G706" si="3701">G700</f>
        <v>" posx="</v>
      </c>
      <c r="H701" t="str">
        <f t="shared" ref="H701" si="3702">H700</f>
        <v>" posy="</v>
      </c>
      <c r="I701" t="str">
        <f t="shared" ref="I701" si="3703">I700</f>
        <v>" dir="</v>
      </c>
      <c r="J701" t="str">
        <f t="shared" si="3698"/>
        <v>"/&gt;</v>
      </c>
      <c r="K701" t="str">
        <f t="shared" ref="K701:K706" si="3704">F701&amp;A701&amp;G701&amp;C701&amp;H701&amp;D701&amp;I701&amp;E701&amp;J701</f>
        <v>&lt;record id="180646" posx="0" posy="0" dir="0"/&gt;</v>
      </c>
    </row>
    <row r="702" spans="1:11">
      <c r="A702">
        <f>Sheet1!A845</f>
        <v>180647</v>
      </c>
      <c r="B702" t="str">
        <f>Sheet1!B845</f>
        <v>苍白者</v>
      </c>
      <c r="C702">
        <f>Sheet1!Q845</f>
        <v>0</v>
      </c>
      <c r="D702">
        <f>Sheet1!R845</f>
        <v>0</v>
      </c>
      <c r="E702">
        <f>Sheet1!U845</f>
        <v>0</v>
      </c>
      <c r="F702" t="str">
        <f t="shared" ref="F702" si="3705">F701</f>
        <v>&lt;record id="</v>
      </c>
      <c r="G702" t="str">
        <f t="shared" si="3701"/>
        <v>" posx="</v>
      </c>
      <c r="H702" t="str">
        <f t="shared" ref="H702" si="3706">H701</f>
        <v>" posy="</v>
      </c>
      <c r="I702" t="str">
        <f t="shared" ref="I702:I705" si="3707">I701</f>
        <v>" dir="</v>
      </c>
      <c r="J702" t="str">
        <f t="shared" si="3698"/>
        <v>"/&gt;</v>
      </c>
      <c r="K702" t="str">
        <f t="shared" si="3704"/>
        <v>&lt;record id="180647" posx="0" posy="0" dir="0"/&gt;</v>
      </c>
    </row>
    <row r="703" spans="1:11">
      <c r="A703">
        <f>Sheet1!A846</f>
        <v>180648</v>
      </c>
      <c r="B703" t="str">
        <f>Sheet1!B846</f>
        <v>死骑瑞文</v>
      </c>
      <c r="C703">
        <f>Sheet1!Q846</f>
        <v>0</v>
      </c>
      <c r="D703">
        <f>Sheet1!R846</f>
        <v>0</v>
      </c>
      <c r="E703">
        <f>Sheet1!U846</f>
        <v>0</v>
      </c>
      <c r="F703" t="str">
        <f t="shared" ref="F703:F706" si="3708">F702</f>
        <v>&lt;record id="</v>
      </c>
      <c r="G703" t="str">
        <f t="shared" si="3701"/>
        <v>" posx="</v>
      </c>
      <c r="H703" t="str">
        <f t="shared" ref="H703:H705" si="3709">H702</f>
        <v>" posy="</v>
      </c>
      <c r="I703" t="str">
        <f t="shared" si="3707"/>
        <v>" dir="</v>
      </c>
      <c r="J703" t="str">
        <f t="shared" si="3698"/>
        <v>"/&gt;</v>
      </c>
      <c r="K703" t="str">
        <f t="shared" si="3704"/>
        <v>&lt;record id="180648" posx="0" posy="0" dir="0"/&gt;</v>
      </c>
    </row>
    <row r="704" spans="1:11">
      <c r="A704">
        <f>Sheet1!A847</f>
        <v>180649</v>
      </c>
      <c r="B704" t="str">
        <f>Sheet1!B847</f>
        <v>镇长</v>
      </c>
      <c r="C704">
        <f>Sheet1!Q847</f>
        <v>0</v>
      </c>
      <c r="D704">
        <f>Sheet1!R847</f>
        <v>0</v>
      </c>
      <c r="E704">
        <f>Sheet1!U847</f>
        <v>0</v>
      </c>
      <c r="F704" t="str">
        <f t="shared" si="3708"/>
        <v>&lt;record id="</v>
      </c>
      <c r="G704" t="str">
        <f t="shared" si="3701"/>
        <v>" posx="</v>
      </c>
      <c r="H704" t="str">
        <f t="shared" si="3709"/>
        <v>" posy="</v>
      </c>
      <c r="I704" t="str">
        <f t="shared" si="3707"/>
        <v>" dir="</v>
      </c>
      <c r="J704" t="str">
        <f t="shared" si="3698"/>
        <v>"/&gt;</v>
      </c>
      <c r="K704" t="str">
        <f t="shared" si="3704"/>
        <v>&lt;record id="180649" posx="0" posy="0" dir="0"/&gt;</v>
      </c>
    </row>
    <row r="705" spans="1:11">
      <c r="A705">
        <f>Sheet1!A848</f>
        <v>180650</v>
      </c>
      <c r="B705" t="str">
        <f>Sheet1!B848</f>
        <v>恐惧领主</v>
      </c>
      <c r="C705">
        <f>Sheet1!Q848</f>
        <v>0</v>
      </c>
      <c r="D705">
        <f>Sheet1!R848</f>
        <v>0</v>
      </c>
      <c r="E705">
        <f>Sheet1!U848</f>
        <v>0</v>
      </c>
      <c r="F705" t="str">
        <f t="shared" si="3708"/>
        <v>&lt;record id="</v>
      </c>
      <c r="G705" t="str">
        <f t="shared" si="3701"/>
        <v>" posx="</v>
      </c>
      <c r="H705" t="str">
        <f t="shared" si="3709"/>
        <v>" posy="</v>
      </c>
      <c r="I705" t="str">
        <f t="shared" si="3707"/>
        <v>" dir="</v>
      </c>
      <c r="J705" t="str">
        <f t="shared" si="3698"/>
        <v>"/&gt;</v>
      </c>
      <c r="K705" t="str">
        <f t="shared" si="3704"/>
        <v>&lt;record id="180650" posx="0" posy="0" dir="0"/&gt;</v>
      </c>
    </row>
    <row r="706" spans="1:11">
      <c r="A706">
        <f>Sheet1!A849</f>
        <v>180651</v>
      </c>
      <c r="B706" t="str">
        <f>Sheet1!B849</f>
        <v>恋宝地精</v>
      </c>
      <c r="C706">
        <f>Sheet1!Q849</f>
        <v>0</v>
      </c>
      <c r="D706">
        <f>Sheet1!R849</f>
        <v>0</v>
      </c>
      <c r="E706">
        <f>Sheet1!U849</f>
        <v>0</v>
      </c>
      <c r="F706" t="str">
        <f t="shared" si="3708"/>
        <v>&lt;record id="</v>
      </c>
      <c r="G706" t="str">
        <f t="shared" si="3701"/>
        <v>" posx="</v>
      </c>
      <c r="H706" t="str">
        <f t="shared" ref="H706" si="3710">H705</f>
        <v>" posy="</v>
      </c>
      <c r="I706" t="str">
        <f t="shared" ref="I706" si="3711">I705</f>
        <v>" dir="</v>
      </c>
      <c r="J706" t="str">
        <f t="shared" ref="J706" si="3712">J705</f>
        <v>"/&gt;</v>
      </c>
      <c r="K706" t="str">
        <f t="shared" si="3704"/>
        <v>&lt;record id="180651" posx="0" posy="0" dir="0"/&gt;</v>
      </c>
    </row>
    <row r="707" spans="1:11">
      <c r="A707">
        <f>Sheet1!A850</f>
        <v>180652</v>
      </c>
      <c r="B707" t="str">
        <f>Sheet1!B850</f>
        <v>恋宝地精</v>
      </c>
      <c r="C707">
        <f>Sheet1!Q850</f>
        <v>0</v>
      </c>
      <c r="D707">
        <f>Sheet1!R850</f>
        <v>0</v>
      </c>
      <c r="E707">
        <f>Sheet1!U850</f>
        <v>0</v>
      </c>
      <c r="F707" t="str">
        <f t="shared" ref="F707" si="3713">F706</f>
        <v>&lt;record id="</v>
      </c>
      <c r="G707" t="str">
        <f t="shared" ref="G707" si="3714">G706</f>
        <v>" posx="</v>
      </c>
      <c r="H707" t="str">
        <f t="shared" ref="H707" si="3715">H706</f>
        <v>" posy="</v>
      </c>
      <c r="I707" t="str">
        <f t="shared" ref="I707" si="3716">I706</f>
        <v>" dir="</v>
      </c>
      <c r="J707" t="str">
        <f t="shared" ref="J707" si="3717">J706</f>
        <v>"/&gt;</v>
      </c>
      <c r="K707" t="str">
        <f t="shared" ref="K707" si="3718">F707&amp;A707&amp;G707&amp;C707&amp;H707&amp;D707&amp;I707&amp;E707&amp;J707</f>
        <v>&lt;record id="180652" posx="0" posy="0" dir="0"/&gt;</v>
      </c>
    </row>
    <row r="708" spans="1:11">
      <c r="A708">
        <f>Sheet1!A851</f>
        <v>180653</v>
      </c>
      <c r="B708" t="str">
        <f>Sheet1!B851</f>
        <v>恋宝地精</v>
      </c>
      <c r="C708">
        <f>Sheet1!Q851</f>
        <v>0</v>
      </c>
      <c r="D708">
        <f>Sheet1!R851</f>
        <v>0</v>
      </c>
      <c r="E708">
        <f>Sheet1!U851</f>
        <v>0</v>
      </c>
      <c r="F708" t="str">
        <f t="shared" ref="F708" si="3719">F707</f>
        <v>&lt;record id="</v>
      </c>
      <c r="G708" t="str">
        <f t="shared" ref="G708" si="3720">G707</f>
        <v>" posx="</v>
      </c>
      <c r="H708" t="str">
        <f t="shared" ref="H708" si="3721">H707</f>
        <v>" posy="</v>
      </c>
      <c r="I708" t="str">
        <f t="shared" ref="I708" si="3722">I707</f>
        <v>" dir="</v>
      </c>
      <c r="J708" t="str">
        <f t="shared" ref="J708" si="3723">J707</f>
        <v>"/&gt;</v>
      </c>
      <c r="K708" t="str">
        <f t="shared" ref="K708" si="3724">F708&amp;A708&amp;G708&amp;C708&amp;H708&amp;D708&amp;I708&amp;E708&amp;J708</f>
        <v>&lt;record id="180653" posx="0" posy="0" dir="0"/&gt;</v>
      </c>
    </row>
    <row r="709" spans="1:11">
      <c r="A709">
        <f>Sheet1!A852</f>
        <v>180654</v>
      </c>
      <c r="B709" t="str">
        <f>Sheet1!B852</f>
        <v>贪食龙</v>
      </c>
      <c r="C709">
        <f>Sheet1!Q852</f>
        <v>0</v>
      </c>
      <c r="D709">
        <f>Sheet1!R852</f>
        <v>0</v>
      </c>
      <c r="E709">
        <f>Sheet1!U852</f>
        <v>0</v>
      </c>
      <c r="F709" t="str">
        <f t="shared" ref="F709" si="3725">F708</f>
        <v>&lt;record id="</v>
      </c>
      <c r="G709" t="str">
        <f t="shared" ref="G709" si="3726">G708</f>
        <v>" posx="</v>
      </c>
      <c r="H709" t="str">
        <f t="shared" ref="H709" si="3727">H708</f>
        <v>" posy="</v>
      </c>
      <c r="I709" t="str">
        <f t="shared" ref="I709" si="3728">I708</f>
        <v>" dir="</v>
      </c>
      <c r="J709" t="str">
        <f t="shared" ref="J709" si="3729">J708</f>
        <v>"/&gt;</v>
      </c>
      <c r="K709" t="str">
        <f t="shared" ref="K709" si="3730">F709&amp;A709&amp;G709&amp;C709&amp;H709&amp;D709&amp;I709&amp;E709&amp;J709</f>
        <v>&lt;record id="180654" posx="0" posy="0" dir="0"/&gt;</v>
      </c>
    </row>
    <row r="710" spans="1:11">
      <c r="A710">
        <f>Sheet1!A853</f>
        <v>180655</v>
      </c>
      <c r="B710" t="str">
        <f>Sheet1!B853</f>
        <v>贪食龙</v>
      </c>
      <c r="C710">
        <f>Sheet1!Q853</f>
        <v>0</v>
      </c>
      <c r="D710">
        <f>Sheet1!R853</f>
        <v>0</v>
      </c>
      <c r="E710">
        <f>Sheet1!U853</f>
        <v>0</v>
      </c>
      <c r="F710" t="str">
        <f t="shared" ref="F710" si="3731">F709</f>
        <v>&lt;record id="</v>
      </c>
      <c r="G710" t="str">
        <f t="shared" ref="G710" si="3732">G709</f>
        <v>" posx="</v>
      </c>
      <c r="H710" t="str">
        <f t="shared" ref="H710" si="3733">H709</f>
        <v>" posy="</v>
      </c>
      <c r="I710" t="str">
        <f t="shared" ref="I710" si="3734">I709</f>
        <v>" dir="</v>
      </c>
      <c r="J710" t="str">
        <f t="shared" ref="J710" si="3735">J709</f>
        <v>"/&gt;</v>
      </c>
      <c r="K710" t="str">
        <f t="shared" ref="K710" si="3736">F710&amp;A710&amp;G710&amp;C710&amp;H710&amp;D710&amp;I710&amp;E710&amp;J710</f>
        <v>&lt;record id="180655" posx="0" posy="0" dir="0"/&gt;</v>
      </c>
    </row>
    <row r="711" spans="1:11">
      <c r="A711">
        <f>Sheet1!A854</f>
        <v>180656</v>
      </c>
      <c r="B711" t="str">
        <f>Sheet1!B854</f>
        <v>贪食龙</v>
      </c>
      <c r="C711">
        <f>Sheet1!Q854</f>
        <v>0</v>
      </c>
      <c r="D711">
        <f>Sheet1!R854</f>
        <v>0</v>
      </c>
      <c r="E711">
        <f>Sheet1!U854</f>
        <v>0</v>
      </c>
      <c r="F711" t="str">
        <f t="shared" ref="F711" si="3737">F710</f>
        <v>&lt;record id="</v>
      </c>
      <c r="G711" t="str">
        <f t="shared" ref="G711" si="3738">G710</f>
        <v>" posx="</v>
      </c>
      <c r="H711" t="str">
        <f t="shared" ref="H711" si="3739">H710</f>
        <v>" posy="</v>
      </c>
      <c r="I711" t="str">
        <f t="shared" ref="I711" si="3740">I710</f>
        <v>" dir="</v>
      </c>
      <c r="J711" t="str">
        <f t="shared" ref="J711" si="3741">J710</f>
        <v>"/&gt;</v>
      </c>
      <c r="K711" t="str">
        <f t="shared" ref="K711" si="3742">F711&amp;A711&amp;G711&amp;C711&amp;H711&amp;D711&amp;I711&amp;E711&amp;J711</f>
        <v>&lt;record id="180656" posx="0" posy="0" dir="0"/&gt;</v>
      </c>
    </row>
    <row r="712" spans="1:11">
      <c r="A712">
        <f>Sheet1!A855</f>
        <v>180657</v>
      </c>
      <c r="B712" t="str">
        <f>Sheet1!B855</f>
        <v>鱼人问答</v>
      </c>
      <c r="C712">
        <f>Sheet1!Q855</f>
        <v>0</v>
      </c>
      <c r="D712">
        <f>Sheet1!R855</f>
        <v>0</v>
      </c>
      <c r="E712">
        <f>Sheet1!U855</f>
        <v>0</v>
      </c>
      <c r="F712" t="str">
        <f t="shared" ref="F712" si="3743">F711</f>
        <v>&lt;record id="</v>
      </c>
      <c r="G712" t="str">
        <f t="shared" ref="G712" si="3744">G711</f>
        <v>" posx="</v>
      </c>
      <c r="H712" t="str">
        <f t="shared" ref="H712" si="3745">H711</f>
        <v>" posy="</v>
      </c>
      <c r="I712" t="str">
        <f t="shared" ref="I712" si="3746">I711</f>
        <v>" dir="</v>
      </c>
      <c r="J712" t="str">
        <f t="shared" ref="J712" si="3747">J711</f>
        <v>"/&gt;</v>
      </c>
      <c r="K712" t="str">
        <f t="shared" ref="K712" si="3748">F712&amp;A712&amp;G712&amp;C712&amp;H712&amp;D712&amp;I712&amp;E712&amp;J712</f>
        <v>&lt;record id="180657" posx="0" posy="0" dir="0"/&gt;</v>
      </c>
    </row>
    <row r="713" spans="1:11">
      <c r="A713">
        <f>Sheet1!A856</f>
        <v>180658</v>
      </c>
      <c r="B713" t="str">
        <f>Sheet1!B856</f>
        <v>宝箱</v>
      </c>
      <c r="C713">
        <f>Sheet1!Q856</f>
        <v>0</v>
      </c>
      <c r="D713">
        <f>Sheet1!R856</f>
        <v>0</v>
      </c>
      <c r="E713">
        <f>Sheet1!U856</f>
        <v>0</v>
      </c>
      <c r="F713" t="str">
        <f t="shared" ref="F713" si="3749">F712</f>
        <v>&lt;record id="</v>
      </c>
      <c r="G713" t="str">
        <f t="shared" ref="G713" si="3750">G712</f>
        <v>" posx="</v>
      </c>
      <c r="H713" t="str">
        <f t="shared" ref="H713" si="3751">H712</f>
        <v>" posy="</v>
      </c>
      <c r="I713" t="str">
        <f t="shared" ref="I713" si="3752">I712</f>
        <v>" dir="</v>
      </c>
      <c r="J713" t="str">
        <f t="shared" ref="J713" si="3753">J712</f>
        <v>"/&gt;</v>
      </c>
      <c r="K713" t="str">
        <f t="shared" ref="K713" si="3754">F713&amp;A713&amp;G713&amp;C713&amp;H713&amp;D713&amp;I713&amp;E713&amp;J713</f>
        <v>&lt;record id="180658" posx="0" posy="0" dir="0"/&gt;</v>
      </c>
    </row>
    <row r="714" spans="1:11">
      <c r="A714">
        <f>Sheet1!A857</f>
        <v>180659</v>
      </c>
      <c r="B714" t="str">
        <f>Sheet1!B857</f>
        <v>惧控普通主怪</v>
      </c>
      <c r="C714">
        <f>Sheet1!Q857</f>
        <v>0</v>
      </c>
      <c r="D714">
        <f>Sheet1!R857</f>
        <v>0</v>
      </c>
      <c r="E714">
        <f>Sheet1!U857</f>
        <v>0</v>
      </c>
      <c r="F714" t="str">
        <f t="shared" ref="F714" si="3755">F713</f>
        <v>&lt;record id="</v>
      </c>
      <c r="G714" t="str">
        <f t="shared" ref="G714" si="3756">G713</f>
        <v>" posx="</v>
      </c>
      <c r="H714" t="str">
        <f t="shared" ref="H714" si="3757">H713</f>
        <v>" posy="</v>
      </c>
      <c r="I714" t="str">
        <f t="shared" ref="I714" si="3758">I713</f>
        <v>" dir="</v>
      </c>
      <c r="J714" t="str">
        <f t="shared" ref="J714" si="3759">J713</f>
        <v>"/&gt;</v>
      </c>
      <c r="K714" t="str">
        <f t="shared" ref="K714" si="3760">F714&amp;A714&amp;G714&amp;C714&amp;H714&amp;D714&amp;I714&amp;E714&amp;J714</f>
        <v>&lt;record id="180659" posx="0" posy="0" dir="0"/&gt;</v>
      </c>
    </row>
    <row r="715" spans="1:11">
      <c r="A715">
        <f>Sheet1!A858</f>
        <v>180660</v>
      </c>
      <c r="B715" t="str">
        <f>Sheet1!B858</f>
        <v>铁甲普通主怪</v>
      </c>
      <c r="C715">
        <f>Sheet1!Q858</f>
        <v>0</v>
      </c>
      <c r="D715">
        <f>Sheet1!R858</f>
        <v>0</v>
      </c>
      <c r="E715">
        <f>Sheet1!U858</f>
        <v>0</v>
      </c>
      <c r="F715" t="str">
        <f t="shared" ref="F715" si="3761">F714</f>
        <v>&lt;record id="</v>
      </c>
      <c r="G715" t="str">
        <f t="shared" ref="G715" si="3762">G714</f>
        <v>" posx="</v>
      </c>
      <c r="H715" t="str">
        <f t="shared" ref="H715" si="3763">H714</f>
        <v>" posy="</v>
      </c>
      <c r="I715" t="str">
        <f t="shared" ref="I715" si="3764">I714</f>
        <v>" dir="</v>
      </c>
      <c r="J715" t="str">
        <f t="shared" ref="J715" si="3765">J714</f>
        <v>"/&gt;</v>
      </c>
      <c r="K715" t="str">
        <f t="shared" ref="K715" si="3766">F715&amp;A715&amp;G715&amp;C715&amp;H715&amp;D715&amp;I715&amp;E715&amp;J715</f>
        <v>&lt;record id="180660" posx="0" posy="0" dir="0"/&gt;</v>
      </c>
    </row>
    <row r="716" spans="1:11">
      <c r="A716">
        <f>Sheet1!A859</f>
        <v>180661</v>
      </c>
      <c r="B716" t="str">
        <f>Sheet1!B859</f>
        <v>敌法普通主怪</v>
      </c>
      <c r="C716">
        <f>Sheet1!Q859</f>
        <v>0</v>
      </c>
      <c r="D716">
        <f>Sheet1!R859</f>
        <v>0</v>
      </c>
      <c r="E716">
        <f>Sheet1!U859</f>
        <v>0</v>
      </c>
      <c r="F716" t="str">
        <f t="shared" ref="F716" si="3767">F715</f>
        <v>&lt;record id="</v>
      </c>
      <c r="G716" t="str">
        <f t="shared" ref="G716" si="3768">G715</f>
        <v>" posx="</v>
      </c>
      <c r="H716" t="str">
        <f t="shared" ref="H716" si="3769">H715</f>
        <v>" posy="</v>
      </c>
      <c r="I716" t="str">
        <f t="shared" ref="I716" si="3770">I715</f>
        <v>" dir="</v>
      </c>
      <c r="J716" t="str">
        <f t="shared" ref="J716" si="3771">J715</f>
        <v>"/&gt;</v>
      </c>
      <c r="K716" t="str">
        <f t="shared" ref="K716" si="3772">F716&amp;A716&amp;G716&amp;C716&amp;H716&amp;D716&amp;I716&amp;E716&amp;J716</f>
        <v>&lt;record id="180661" posx="0" posy="0" dir="0"/&gt;</v>
      </c>
    </row>
    <row r="717" spans="1:11">
      <c r="A717">
        <f>Sheet1!A860</f>
        <v>180662</v>
      </c>
      <c r="B717" t="str">
        <f>Sheet1!B860</f>
        <v>惧控普通主怪</v>
      </c>
      <c r="C717">
        <f>Sheet1!Q860</f>
        <v>0</v>
      </c>
      <c r="D717">
        <f>Sheet1!R860</f>
        <v>0</v>
      </c>
      <c r="E717">
        <f>Sheet1!U860</f>
        <v>0</v>
      </c>
      <c r="F717" t="str">
        <f t="shared" ref="F717" si="3773">F716</f>
        <v>&lt;record id="</v>
      </c>
      <c r="G717" t="str">
        <f t="shared" ref="G717" si="3774">G716</f>
        <v>" posx="</v>
      </c>
      <c r="H717" t="str">
        <f t="shared" ref="H717" si="3775">H716</f>
        <v>" posy="</v>
      </c>
      <c r="I717" t="str">
        <f t="shared" ref="I717" si="3776">I716</f>
        <v>" dir="</v>
      </c>
      <c r="J717" t="str">
        <f t="shared" ref="J717" si="3777">J716</f>
        <v>"/&gt;</v>
      </c>
      <c r="K717" t="str">
        <f t="shared" ref="K717" si="3778">F717&amp;A717&amp;G717&amp;C717&amp;H717&amp;D717&amp;I717&amp;E717&amp;J717</f>
        <v>&lt;record id="180662" posx="0" posy="0" dir="0"/&gt;</v>
      </c>
    </row>
    <row r="718" spans="1:11">
      <c r="A718">
        <f>Sheet1!A861</f>
        <v>180663</v>
      </c>
      <c r="B718" t="str">
        <f>Sheet1!B861</f>
        <v>铁甲普通主怪</v>
      </c>
      <c r="C718">
        <f>Sheet1!Q861</f>
        <v>0</v>
      </c>
      <c r="D718">
        <f>Sheet1!R861</f>
        <v>0</v>
      </c>
      <c r="E718">
        <f>Sheet1!U861</f>
        <v>0</v>
      </c>
      <c r="F718" t="str">
        <f t="shared" ref="F718" si="3779">F717</f>
        <v>&lt;record id="</v>
      </c>
      <c r="G718" t="str">
        <f t="shared" ref="G718" si="3780">G717</f>
        <v>" posx="</v>
      </c>
      <c r="H718" t="str">
        <f t="shared" ref="H718" si="3781">H717</f>
        <v>" posy="</v>
      </c>
      <c r="I718" t="str">
        <f t="shared" ref="I718" si="3782">I717</f>
        <v>" dir="</v>
      </c>
      <c r="J718" t="str">
        <f t="shared" ref="J718" si="3783">J717</f>
        <v>"/&gt;</v>
      </c>
      <c r="K718" t="str">
        <f t="shared" ref="K718" si="3784">F718&amp;A718&amp;G718&amp;C718&amp;H718&amp;D718&amp;I718&amp;E718&amp;J718</f>
        <v>&lt;record id="180663" posx="0" posy="0" dir="0"/&gt;</v>
      </c>
    </row>
    <row r="719" spans="1:11">
      <c r="A719">
        <f>Sheet1!A862</f>
        <v>180664</v>
      </c>
      <c r="B719" t="str">
        <f>Sheet1!B862</f>
        <v>敌法普通主怪</v>
      </c>
      <c r="C719">
        <f>Sheet1!Q862</f>
        <v>0</v>
      </c>
      <c r="D719">
        <f>Sheet1!R862</f>
        <v>0</v>
      </c>
      <c r="E719">
        <f>Sheet1!U862</f>
        <v>0</v>
      </c>
      <c r="F719" t="str">
        <f t="shared" ref="F719" si="3785">F718</f>
        <v>&lt;record id="</v>
      </c>
      <c r="G719" t="str">
        <f t="shared" ref="G719" si="3786">G718</f>
        <v>" posx="</v>
      </c>
      <c r="H719" t="str">
        <f t="shared" ref="H719" si="3787">H718</f>
        <v>" posy="</v>
      </c>
      <c r="I719" t="str">
        <f t="shared" ref="I719" si="3788">I718</f>
        <v>" dir="</v>
      </c>
      <c r="J719" t="str">
        <f t="shared" ref="J719" si="3789">J718</f>
        <v>"/&gt;</v>
      </c>
      <c r="K719" t="str">
        <f t="shared" ref="K719" si="3790">F719&amp;A719&amp;G719&amp;C719&amp;H719&amp;D719&amp;I719&amp;E719&amp;J719</f>
        <v>&lt;record id="180664" posx="0" posy="0" dir="0"/&gt;</v>
      </c>
    </row>
    <row r="720" spans="1:11">
      <c r="A720">
        <f>Sheet1!A863</f>
        <v>180665</v>
      </c>
      <c r="B720" t="str">
        <f>Sheet1!B863</f>
        <v>惧控普通主怪</v>
      </c>
      <c r="C720">
        <f>Sheet1!Q863</f>
        <v>0</v>
      </c>
      <c r="D720">
        <f>Sheet1!R863</f>
        <v>0</v>
      </c>
      <c r="E720">
        <f>Sheet1!U863</f>
        <v>0</v>
      </c>
      <c r="F720" t="str">
        <f t="shared" ref="F720" si="3791">F719</f>
        <v>&lt;record id="</v>
      </c>
      <c r="G720" t="str">
        <f t="shared" ref="G720" si="3792">G719</f>
        <v>" posx="</v>
      </c>
      <c r="H720" t="str">
        <f t="shared" ref="H720" si="3793">H719</f>
        <v>" posy="</v>
      </c>
      <c r="I720" t="str">
        <f t="shared" ref="I720" si="3794">I719</f>
        <v>" dir="</v>
      </c>
      <c r="J720" t="str">
        <f t="shared" ref="J720" si="3795">J719</f>
        <v>"/&gt;</v>
      </c>
      <c r="K720" t="str">
        <f t="shared" ref="K720" si="3796">F720&amp;A720&amp;G720&amp;C720&amp;H720&amp;D720&amp;I720&amp;E720&amp;J720</f>
        <v>&lt;record id="180665" posx="0" posy="0" dir="0"/&gt;</v>
      </c>
    </row>
    <row r="721" spans="1:11">
      <c r="A721">
        <f>Sheet1!A864</f>
        <v>180666</v>
      </c>
      <c r="B721" t="str">
        <f>Sheet1!B864</f>
        <v>铁甲普通主怪</v>
      </c>
      <c r="C721">
        <f>Sheet1!Q864</f>
        <v>0</v>
      </c>
      <c r="D721">
        <f>Sheet1!R864</f>
        <v>0</v>
      </c>
      <c r="E721">
        <f>Sheet1!U864</f>
        <v>0</v>
      </c>
      <c r="F721" t="str">
        <f t="shared" ref="F721" si="3797">F720</f>
        <v>&lt;record id="</v>
      </c>
      <c r="G721" t="str">
        <f t="shared" ref="G721" si="3798">G720</f>
        <v>" posx="</v>
      </c>
      <c r="H721" t="str">
        <f t="shared" ref="H721" si="3799">H720</f>
        <v>" posy="</v>
      </c>
      <c r="I721" t="str">
        <f t="shared" ref="I721" si="3800">I720</f>
        <v>" dir="</v>
      </c>
      <c r="J721" t="str">
        <f t="shared" ref="J721" si="3801">J720</f>
        <v>"/&gt;</v>
      </c>
      <c r="K721" t="str">
        <f t="shared" ref="K721" si="3802">F721&amp;A721&amp;G721&amp;C721&amp;H721&amp;D721&amp;I721&amp;E721&amp;J721</f>
        <v>&lt;record id="180666" posx="0" posy="0" dir="0"/&gt;</v>
      </c>
    </row>
    <row r="722" spans="1:11">
      <c r="A722">
        <f>Sheet1!A865</f>
        <v>180667</v>
      </c>
      <c r="B722" t="str">
        <f>Sheet1!B865</f>
        <v>敌法普通主怪</v>
      </c>
      <c r="C722">
        <f>Sheet1!Q865</f>
        <v>0</v>
      </c>
      <c r="D722">
        <f>Sheet1!R865</f>
        <v>0</v>
      </c>
      <c r="E722">
        <f>Sheet1!U865</f>
        <v>0</v>
      </c>
      <c r="F722" t="str">
        <f t="shared" ref="F722" si="3803">F721</f>
        <v>&lt;record id="</v>
      </c>
      <c r="G722" t="str">
        <f t="shared" ref="G722" si="3804">G721</f>
        <v>" posx="</v>
      </c>
      <c r="H722" t="str">
        <f t="shared" ref="H722" si="3805">H721</f>
        <v>" posy="</v>
      </c>
      <c r="I722" t="str">
        <f t="shared" ref="I722" si="3806">I721</f>
        <v>" dir="</v>
      </c>
      <c r="J722" t="str">
        <f t="shared" ref="J722" si="3807">J721</f>
        <v>"/&gt;</v>
      </c>
      <c r="K722" t="str">
        <f t="shared" ref="K722" si="3808">F722&amp;A722&amp;G722&amp;C722&amp;H722&amp;D722&amp;I722&amp;E722&amp;J722</f>
        <v>&lt;record id="180667" posx="0" posy="0" dir="0"/&gt;</v>
      </c>
    </row>
    <row r="723" spans="1:11">
      <c r="A723">
        <f>Sheet1!A866</f>
        <v>180668</v>
      </c>
      <c r="B723" t="str">
        <f>Sheet1!B866</f>
        <v>惧控普通主怪</v>
      </c>
      <c r="C723">
        <f>Sheet1!Q866</f>
        <v>0</v>
      </c>
      <c r="D723">
        <f>Sheet1!R866</f>
        <v>0</v>
      </c>
      <c r="E723">
        <f>Sheet1!U866</f>
        <v>0</v>
      </c>
      <c r="F723" t="str">
        <f t="shared" ref="F723" si="3809">F722</f>
        <v>&lt;record id="</v>
      </c>
      <c r="G723" t="str">
        <f t="shared" ref="G723" si="3810">G722</f>
        <v>" posx="</v>
      </c>
      <c r="H723" t="str">
        <f t="shared" ref="H723" si="3811">H722</f>
        <v>" posy="</v>
      </c>
      <c r="I723" t="str">
        <f t="shared" ref="I723" si="3812">I722</f>
        <v>" dir="</v>
      </c>
      <c r="J723" t="str">
        <f t="shared" ref="J723" si="3813">J722</f>
        <v>"/&gt;</v>
      </c>
      <c r="K723" t="str">
        <f t="shared" ref="K723" si="3814">F723&amp;A723&amp;G723&amp;C723&amp;H723&amp;D723&amp;I723&amp;E723&amp;J723</f>
        <v>&lt;record id="180668" posx="0" posy="0" dir="0"/&gt;</v>
      </c>
    </row>
    <row r="724" spans="1:11">
      <c r="A724">
        <f>Sheet1!A867</f>
        <v>180669</v>
      </c>
      <c r="B724" t="str">
        <f>Sheet1!B867</f>
        <v>铁甲普通主怪</v>
      </c>
      <c r="C724">
        <f>Sheet1!Q867</f>
        <v>0</v>
      </c>
      <c r="D724">
        <f>Sheet1!R867</f>
        <v>0</v>
      </c>
      <c r="E724">
        <f>Sheet1!U867</f>
        <v>0</v>
      </c>
      <c r="F724" t="str">
        <f t="shared" ref="F724" si="3815">F723</f>
        <v>&lt;record id="</v>
      </c>
      <c r="G724" t="str">
        <f t="shared" ref="G724" si="3816">G723</f>
        <v>" posx="</v>
      </c>
      <c r="H724" t="str">
        <f t="shared" ref="H724" si="3817">H723</f>
        <v>" posy="</v>
      </c>
      <c r="I724" t="str">
        <f t="shared" ref="I724" si="3818">I723</f>
        <v>" dir="</v>
      </c>
      <c r="J724" t="str">
        <f t="shared" ref="J724" si="3819">J723</f>
        <v>"/&gt;</v>
      </c>
      <c r="K724" t="str">
        <f t="shared" ref="K724" si="3820">F724&amp;A724&amp;G724&amp;C724&amp;H724&amp;D724&amp;I724&amp;E724&amp;J724</f>
        <v>&lt;record id="180669" posx="0" posy="0" dir="0"/&gt;</v>
      </c>
    </row>
    <row r="725" spans="1:11">
      <c r="A725">
        <f>Sheet1!A868</f>
        <v>180670</v>
      </c>
      <c r="B725" t="str">
        <f>Sheet1!B868</f>
        <v>敌法普通主怪</v>
      </c>
      <c r="C725">
        <f>Sheet1!Q868</f>
        <v>0</v>
      </c>
      <c r="D725">
        <f>Sheet1!R868</f>
        <v>0</v>
      </c>
      <c r="E725">
        <f>Sheet1!U868</f>
        <v>0</v>
      </c>
      <c r="F725" t="str">
        <f t="shared" ref="F725" si="3821">F724</f>
        <v>&lt;record id="</v>
      </c>
      <c r="G725" t="str">
        <f t="shared" ref="G725" si="3822">G724</f>
        <v>" posx="</v>
      </c>
      <c r="H725" t="str">
        <f t="shared" ref="H725" si="3823">H724</f>
        <v>" posy="</v>
      </c>
      <c r="I725" t="str">
        <f t="shared" ref="I725" si="3824">I724</f>
        <v>" dir="</v>
      </c>
      <c r="J725" t="str">
        <f t="shared" ref="J725" si="3825">J724</f>
        <v>"/&gt;</v>
      </c>
      <c r="K725" t="str">
        <f t="shared" ref="K725" si="3826">F725&amp;A725&amp;G725&amp;C725&amp;H725&amp;D725&amp;I725&amp;E725&amp;J725</f>
        <v>&lt;record id="180670" posx="0" posy="0" dir="0"/&gt;</v>
      </c>
    </row>
    <row r="726" spans="1:11">
      <c r="A726">
        <f>Sheet1!A869</f>
        <v>180671</v>
      </c>
      <c r="B726" t="str">
        <f>Sheet1!B869</f>
        <v>惧控普通主怪</v>
      </c>
      <c r="C726">
        <f>Sheet1!Q869</f>
        <v>0</v>
      </c>
      <c r="D726">
        <f>Sheet1!R869</f>
        <v>0</v>
      </c>
      <c r="E726">
        <f>Sheet1!U869</f>
        <v>0</v>
      </c>
      <c r="F726" t="str">
        <f t="shared" ref="F726" si="3827">F725</f>
        <v>&lt;record id="</v>
      </c>
      <c r="G726" t="str">
        <f t="shared" ref="G726" si="3828">G725</f>
        <v>" posx="</v>
      </c>
      <c r="H726" t="str">
        <f t="shared" ref="H726" si="3829">H725</f>
        <v>" posy="</v>
      </c>
      <c r="I726" t="str">
        <f t="shared" ref="I726" si="3830">I725</f>
        <v>" dir="</v>
      </c>
      <c r="J726" t="str">
        <f t="shared" ref="J726" si="3831">J725</f>
        <v>"/&gt;</v>
      </c>
      <c r="K726" t="str">
        <f t="shared" ref="K726" si="3832">F726&amp;A726&amp;G726&amp;C726&amp;H726&amp;D726&amp;I726&amp;E726&amp;J726</f>
        <v>&lt;record id="180671" posx="0" posy="0" dir="0"/&gt;</v>
      </c>
    </row>
    <row r="727" spans="1:11">
      <c r="A727">
        <f>Sheet1!A870</f>
        <v>180672</v>
      </c>
      <c r="B727" t="str">
        <f>Sheet1!B870</f>
        <v>铁甲普通主怪</v>
      </c>
      <c r="C727">
        <f>Sheet1!Q870</f>
        <v>0</v>
      </c>
      <c r="D727">
        <f>Sheet1!R870</f>
        <v>0</v>
      </c>
      <c r="E727">
        <f>Sheet1!U870</f>
        <v>0</v>
      </c>
      <c r="F727" t="str">
        <f t="shared" ref="F727" si="3833">F726</f>
        <v>&lt;record id="</v>
      </c>
      <c r="G727" t="str">
        <f t="shared" ref="G727" si="3834">G726</f>
        <v>" posx="</v>
      </c>
      <c r="H727" t="str">
        <f t="shared" ref="H727" si="3835">H726</f>
        <v>" posy="</v>
      </c>
      <c r="I727" t="str">
        <f t="shared" ref="I727" si="3836">I726</f>
        <v>" dir="</v>
      </c>
      <c r="J727" t="str">
        <f t="shared" ref="J727" si="3837">J726</f>
        <v>"/&gt;</v>
      </c>
      <c r="K727" t="str">
        <f t="shared" ref="K727" si="3838">F727&amp;A727&amp;G727&amp;C727&amp;H727&amp;D727&amp;I727&amp;E727&amp;J727</f>
        <v>&lt;record id="180672" posx="0" posy="0" dir="0"/&gt;</v>
      </c>
    </row>
    <row r="728" spans="1:11">
      <c r="A728">
        <f>Sheet1!A871</f>
        <v>180673</v>
      </c>
      <c r="B728" t="str">
        <f>Sheet1!B871</f>
        <v>敌法普通主怪</v>
      </c>
      <c r="C728">
        <f>Sheet1!Q871</f>
        <v>0</v>
      </c>
      <c r="D728">
        <f>Sheet1!R871</f>
        <v>0</v>
      </c>
      <c r="E728">
        <f>Sheet1!U871</f>
        <v>0</v>
      </c>
      <c r="F728" t="str">
        <f t="shared" ref="F728" si="3839">F727</f>
        <v>&lt;record id="</v>
      </c>
      <c r="G728" t="str">
        <f t="shared" ref="G728" si="3840">G727</f>
        <v>" posx="</v>
      </c>
      <c r="H728" t="str">
        <f t="shared" ref="H728" si="3841">H727</f>
        <v>" posy="</v>
      </c>
      <c r="I728" t="str">
        <f t="shared" ref="I728" si="3842">I727</f>
        <v>" dir="</v>
      </c>
      <c r="J728" t="str">
        <f t="shared" ref="J728" si="3843">J727</f>
        <v>"/&gt;</v>
      </c>
      <c r="K728" t="str">
        <f t="shared" ref="K728" si="3844">F728&amp;A728&amp;G728&amp;C728&amp;H728&amp;D728&amp;I728&amp;E728&amp;J728</f>
        <v>&lt;record id="180673" posx="0" posy="0" dir="0"/&gt;</v>
      </c>
    </row>
    <row r="729" spans="1:11">
      <c r="A729">
        <f>Sheet1!A872</f>
        <v>180674</v>
      </c>
      <c r="B729" t="str">
        <f>Sheet1!B872</f>
        <v>惧控精英主怪</v>
      </c>
      <c r="C729">
        <f>Sheet1!Q872</f>
        <v>0</v>
      </c>
      <c r="D729">
        <f>Sheet1!R872</f>
        <v>0</v>
      </c>
      <c r="E729">
        <f>Sheet1!U872</f>
        <v>0</v>
      </c>
      <c r="F729" t="str">
        <f t="shared" ref="F729" si="3845">F728</f>
        <v>&lt;record id="</v>
      </c>
      <c r="G729" t="str">
        <f t="shared" ref="G729" si="3846">G728</f>
        <v>" posx="</v>
      </c>
      <c r="H729" t="str">
        <f t="shared" ref="H729" si="3847">H728</f>
        <v>" posy="</v>
      </c>
      <c r="I729" t="str">
        <f t="shared" ref="I729" si="3848">I728</f>
        <v>" dir="</v>
      </c>
      <c r="J729" t="str">
        <f t="shared" ref="J729" si="3849">J728</f>
        <v>"/&gt;</v>
      </c>
      <c r="K729" t="str">
        <f t="shared" ref="K729" si="3850">F729&amp;A729&amp;G729&amp;C729&amp;H729&amp;D729&amp;I729&amp;E729&amp;J729</f>
        <v>&lt;record id="180674" posx="0" posy="0" dir="0"/&gt;</v>
      </c>
    </row>
    <row r="730" spans="1:11">
      <c r="A730">
        <f>Sheet1!A873</f>
        <v>180675</v>
      </c>
      <c r="B730" t="str">
        <f>Sheet1!B873</f>
        <v>铁甲精英主怪</v>
      </c>
      <c r="C730">
        <f>Sheet1!Q873</f>
        <v>0</v>
      </c>
      <c r="D730">
        <f>Sheet1!R873</f>
        <v>0</v>
      </c>
      <c r="E730">
        <f>Sheet1!U873</f>
        <v>0</v>
      </c>
      <c r="F730" t="str">
        <f t="shared" ref="F730" si="3851">F729</f>
        <v>&lt;record id="</v>
      </c>
      <c r="G730" t="str">
        <f t="shared" ref="G730" si="3852">G729</f>
        <v>" posx="</v>
      </c>
      <c r="H730" t="str">
        <f t="shared" ref="H730" si="3853">H729</f>
        <v>" posy="</v>
      </c>
      <c r="I730" t="str">
        <f t="shared" ref="I730" si="3854">I729</f>
        <v>" dir="</v>
      </c>
      <c r="J730" t="str">
        <f t="shared" ref="J730" si="3855">J729</f>
        <v>"/&gt;</v>
      </c>
      <c r="K730" t="str">
        <f t="shared" ref="K730" si="3856">F730&amp;A730&amp;G730&amp;C730&amp;H730&amp;D730&amp;I730&amp;E730&amp;J730</f>
        <v>&lt;record id="180675" posx="0" posy="0" dir="0"/&gt;</v>
      </c>
    </row>
    <row r="731" spans="1:11">
      <c r="A731">
        <f>Sheet1!A874</f>
        <v>180676</v>
      </c>
      <c r="B731" t="str">
        <f>Sheet1!B874</f>
        <v>敌法精英主怪</v>
      </c>
      <c r="C731">
        <f>Sheet1!Q874</f>
        <v>0</v>
      </c>
      <c r="D731">
        <f>Sheet1!R874</f>
        <v>0</v>
      </c>
      <c r="E731">
        <f>Sheet1!U874</f>
        <v>0</v>
      </c>
      <c r="F731" t="str">
        <f t="shared" ref="F731" si="3857">F730</f>
        <v>&lt;record id="</v>
      </c>
      <c r="G731" t="str">
        <f t="shared" ref="G731" si="3858">G730</f>
        <v>" posx="</v>
      </c>
      <c r="H731" t="str">
        <f t="shared" ref="H731" si="3859">H730</f>
        <v>" posy="</v>
      </c>
      <c r="I731" t="str">
        <f t="shared" ref="I731" si="3860">I730</f>
        <v>" dir="</v>
      </c>
      <c r="J731" t="str">
        <f t="shared" ref="J731" si="3861">J730</f>
        <v>"/&gt;</v>
      </c>
      <c r="K731" t="str">
        <f t="shared" ref="K731" si="3862">F731&amp;A731&amp;G731&amp;C731&amp;H731&amp;D731&amp;I731&amp;E731&amp;J731</f>
        <v>&lt;record id="180676" posx="0" posy="0" dir="0"/&gt;</v>
      </c>
    </row>
    <row r="732" spans="1:11">
      <c r="A732">
        <f>Sheet1!A875</f>
        <v>180677</v>
      </c>
      <c r="B732" t="str">
        <f>Sheet1!B875</f>
        <v>惧控精英主怪</v>
      </c>
      <c r="C732">
        <f>Sheet1!Q875</f>
        <v>0</v>
      </c>
      <c r="D732">
        <f>Sheet1!R875</f>
        <v>0</v>
      </c>
      <c r="E732">
        <f>Sheet1!U875</f>
        <v>0</v>
      </c>
      <c r="F732" t="str">
        <f t="shared" ref="F732" si="3863">F731</f>
        <v>&lt;record id="</v>
      </c>
      <c r="G732" t="str">
        <f t="shared" ref="G732" si="3864">G731</f>
        <v>" posx="</v>
      </c>
      <c r="H732" t="str">
        <f t="shared" ref="H732" si="3865">H731</f>
        <v>" posy="</v>
      </c>
      <c r="I732" t="str">
        <f t="shared" ref="I732" si="3866">I731</f>
        <v>" dir="</v>
      </c>
      <c r="J732" t="str">
        <f t="shared" ref="J732" si="3867">J731</f>
        <v>"/&gt;</v>
      </c>
      <c r="K732" t="str">
        <f t="shared" ref="K732" si="3868">F732&amp;A732&amp;G732&amp;C732&amp;H732&amp;D732&amp;I732&amp;E732&amp;J732</f>
        <v>&lt;record id="180677" posx="0" posy="0" dir="0"/&gt;</v>
      </c>
    </row>
    <row r="733" spans="1:11">
      <c r="A733">
        <f>Sheet1!A876</f>
        <v>180678</v>
      </c>
      <c r="B733" t="str">
        <f>Sheet1!B876</f>
        <v>铁甲精英主怪</v>
      </c>
      <c r="C733">
        <f>Sheet1!Q876</f>
        <v>0</v>
      </c>
      <c r="D733">
        <f>Sheet1!R876</f>
        <v>0</v>
      </c>
      <c r="E733">
        <f>Sheet1!U876</f>
        <v>0</v>
      </c>
      <c r="F733" t="str">
        <f t="shared" ref="F733" si="3869">F732</f>
        <v>&lt;record id="</v>
      </c>
      <c r="G733" t="str">
        <f t="shared" ref="G733" si="3870">G732</f>
        <v>" posx="</v>
      </c>
      <c r="H733" t="str">
        <f t="shared" ref="H733" si="3871">H732</f>
        <v>" posy="</v>
      </c>
      <c r="I733" t="str">
        <f t="shared" ref="I733" si="3872">I732</f>
        <v>" dir="</v>
      </c>
      <c r="J733" t="str">
        <f t="shared" ref="J733:J738" si="3873">J732</f>
        <v>"/&gt;</v>
      </c>
      <c r="K733" t="str">
        <f t="shared" ref="K733" si="3874">F733&amp;A733&amp;G733&amp;C733&amp;H733&amp;D733&amp;I733&amp;E733&amp;J733</f>
        <v>&lt;record id="180678" posx="0" posy="0" dir="0"/&gt;</v>
      </c>
    </row>
    <row r="734" spans="1:11">
      <c r="A734">
        <f>Sheet1!A877</f>
        <v>180679</v>
      </c>
      <c r="B734" t="str">
        <f>Sheet1!B877</f>
        <v>敌法精英主怪</v>
      </c>
      <c r="C734">
        <f>Sheet1!Q877</f>
        <v>0</v>
      </c>
      <c r="D734">
        <f>Sheet1!R877</f>
        <v>0</v>
      </c>
      <c r="E734">
        <f>Sheet1!U877</f>
        <v>0</v>
      </c>
      <c r="F734" t="str">
        <f t="shared" ref="F734:F739" si="3875">F733</f>
        <v>&lt;record id="</v>
      </c>
      <c r="G734" t="str">
        <f t="shared" ref="G734" si="3876">G733</f>
        <v>" posx="</v>
      </c>
      <c r="H734" t="str">
        <f t="shared" ref="H734" si="3877">H733</f>
        <v>" posy="</v>
      </c>
      <c r="I734" t="str">
        <f t="shared" ref="I734:I738" si="3878">I733</f>
        <v>" dir="</v>
      </c>
      <c r="J734" t="str">
        <f t="shared" si="3873"/>
        <v>"/&gt;</v>
      </c>
      <c r="K734" t="str">
        <f t="shared" ref="K734:K739" si="3879">F734&amp;A734&amp;G734&amp;C734&amp;H734&amp;D734&amp;I734&amp;E734&amp;J734</f>
        <v>&lt;record id="180679" posx="0" posy="0" dir="0"/&gt;</v>
      </c>
    </row>
    <row r="735" spans="1:11">
      <c r="A735">
        <f>Sheet1!A878</f>
        <v>180680</v>
      </c>
      <c r="B735" t="str">
        <f>Sheet1!B878</f>
        <v>惧控精英主怪</v>
      </c>
      <c r="C735">
        <f>Sheet1!Q878</f>
        <v>0</v>
      </c>
      <c r="D735">
        <f>Sheet1!R878</f>
        <v>0</v>
      </c>
      <c r="E735">
        <f>Sheet1!U878</f>
        <v>0</v>
      </c>
      <c r="F735" t="str">
        <f t="shared" si="3875"/>
        <v>&lt;record id="</v>
      </c>
      <c r="G735" t="str">
        <f t="shared" ref="G735" si="3880">G734</f>
        <v>" posx="</v>
      </c>
      <c r="H735" t="str">
        <f t="shared" ref="H735:H738" si="3881">H734</f>
        <v>" posy="</v>
      </c>
      <c r="I735" t="str">
        <f t="shared" si="3878"/>
        <v>" dir="</v>
      </c>
      <c r="J735" t="str">
        <f t="shared" si="3873"/>
        <v>"/&gt;</v>
      </c>
      <c r="K735" t="str">
        <f t="shared" si="3879"/>
        <v>&lt;record id="180680" posx="0" posy="0" dir="0"/&gt;</v>
      </c>
    </row>
    <row r="736" spans="1:11">
      <c r="A736">
        <f>Sheet1!A879</f>
        <v>180681</v>
      </c>
      <c r="B736" t="str">
        <f>Sheet1!B879</f>
        <v>铁甲精英主怪</v>
      </c>
      <c r="C736">
        <f>Sheet1!Q879</f>
        <v>0</v>
      </c>
      <c r="D736">
        <f>Sheet1!R879</f>
        <v>0</v>
      </c>
      <c r="E736">
        <f>Sheet1!U879</f>
        <v>0</v>
      </c>
      <c r="F736" t="str">
        <f t="shared" si="3875"/>
        <v>&lt;record id="</v>
      </c>
      <c r="G736" t="str">
        <f t="shared" ref="G736:G738" si="3882">G735</f>
        <v>" posx="</v>
      </c>
      <c r="H736" t="str">
        <f t="shared" si="3881"/>
        <v>" posy="</v>
      </c>
      <c r="I736" t="str">
        <f t="shared" si="3878"/>
        <v>" dir="</v>
      </c>
      <c r="J736" t="str">
        <f t="shared" si="3873"/>
        <v>"/&gt;</v>
      </c>
      <c r="K736" t="str">
        <f t="shared" si="3879"/>
        <v>&lt;record id="180681" posx="0" posy="0" dir="0"/&gt;</v>
      </c>
    </row>
    <row r="737" spans="1:11">
      <c r="A737">
        <f>Sheet1!A880</f>
        <v>180682</v>
      </c>
      <c r="B737" t="str">
        <f>Sheet1!B880</f>
        <v>敌法精英主怪</v>
      </c>
      <c r="C737">
        <f>Sheet1!Q880</f>
        <v>0</v>
      </c>
      <c r="D737">
        <f>Sheet1!R880</f>
        <v>0</v>
      </c>
      <c r="E737">
        <f>Sheet1!U880</f>
        <v>0</v>
      </c>
      <c r="F737" t="str">
        <f t="shared" si="3875"/>
        <v>&lt;record id="</v>
      </c>
      <c r="G737" t="str">
        <f t="shared" si="3882"/>
        <v>" posx="</v>
      </c>
      <c r="H737" t="str">
        <f t="shared" si="3881"/>
        <v>" posy="</v>
      </c>
      <c r="I737" t="str">
        <f t="shared" si="3878"/>
        <v>" dir="</v>
      </c>
      <c r="J737" t="str">
        <f t="shared" si="3873"/>
        <v>"/&gt;</v>
      </c>
      <c r="K737" t="str">
        <f t="shared" si="3879"/>
        <v>&lt;record id="180682" posx="0" posy="0" dir="0"/&gt;</v>
      </c>
    </row>
    <row r="738" spans="1:11">
      <c r="A738">
        <f>Sheet1!A881</f>
        <v>180683</v>
      </c>
      <c r="B738" t="str">
        <f>Sheet1!B881</f>
        <v>刀锋之王</v>
      </c>
      <c r="C738">
        <f>Sheet1!Q881</f>
        <v>0</v>
      </c>
      <c r="D738">
        <f>Sheet1!R881</f>
        <v>0</v>
      </c>
      <c r="E738">
        <f>Sheet1!U881</f>
        <v>0</v>
      </c>
      <c r="F738" t="str">
        <f t="shared" si="3875"/>
        <v>&lt;record id="</v>
      </c>
      <c r="G738" t="str">
        <f t="shared" si="3882"/>
        <v>" posx="</v>
      </c>
      <c r="H738" t="str">
        <f t="shared" si="3881"/>
        <v>" posy="</v>
      </c>
      <c r="I738" t="str">
        <f t="shared" si="3878"/>
        <v>" dir="</v>
      </c>
      <c r="J738" t="str">
        <f t="shared" si="3873"/>
        <v>"/&gt;</v>
      </c>
      <c r="K738" t="str">
        <f t="shared" si="3879"/>
        <v>&lt;record id="180683" posx="0" posy="0" dir="0"/&gt;</v>
      </c>
    </row>
    <row r="739" spans="1:11">
      <c r="A739">
        <f>Sheet1!A882</f>
        <v>180684</v>
      </c>
      <c r="B739" t="str">
        <f>Sheet1!B882</f>
        <v>死亡之歌</v>
      </c>
      <c r="C739">
        <f>Sheet1!Q882</f>
        <v>0</v>
      </c>
      <c r="D739">
        <f>Sheet1!R882</f>
        <v>0</v>
      </c>
      <c r="E739">
        <f>Sheet1!U882</f>
        <v>0</v>
      </c>
      <c r="F739" t="str">
        <f t="shared" si="3875"/>
        <v>&lt;record id="</v>
      </c>
      <c r="G739" t="str">
        <f t="shared" ref="G739" si="3883">G738</f>
        <v>" posx="</v>
      </c>
      <c r="H739" t="str">
        <f t="shared" ref="H739" si="3884">H738</f>
        <v>" posy="</v>
      </c>
      <c r="I739" t="str">
        <f t="shared" ref="I739" si="3885">I738</f>
        <v>" dir="</v>
      </c>
      <c r="J739" t="str">
        <f t="shared" ref="J739" si="3886">J738</f>
        <v>"/&gt;</v>
      </c>
      <c r="K739" t="str">
        <f t="shared" si="3879"/>
        <v>&lt;record id="180684" posx="0" posy="0" dir="0"/&gt;</v>
      </c>
    </row>
    <row r="740" spans="1:11">
      <c r="A740">
        <f>Sheet1!A883</f>
        <v>180685</v>
      </c>
      <c r="B740" t="str">
        <f>Sheet1!B883</f>
        <v>死亡之歌</v>
      </c>
      <c r="C740">
        <f>Sheet1!Q883</f>
        <v>0</v>
      </c>
      <c r="D740">
        <f>Sheet1!R883</f>
        <v>0</v>
      </c>
      <c r="E740">
        <f>Sheet1!U883</f>
        <v>0</v>
      </c>
      <c r="F740" t="str">
        <f t="shared" ref="F740" si="3887">F739</f>
        <v>&lt;record id="</v>
      </c>
      <c r="G740" t="str">
        <f t="shared" ref="G740" si="3888">G739</f>
        <v>" posx="</v>
      </c>
      <c r="H740" t="str">
        <f t="shared" ref="H740" si="3889">H739</f>
        <v>" posy="</v>
      </c>
      <c r="I740" t="str">
        <f t="shared" ref="I740" si="3890">I739</f>
        <v>" dir="</v>
      </c>
      <c r="J740" t="str">
        <f t="shared" ref="J740" si="3891">J739</f>
        <v>"/&gt;</v>
      </c>
      <c r="K740" t="str">
        <f t="shared" ref="K740" si="3892">F740&amp;A740&amp;G740&amp;C740&amp;H740&amp;D740&amp;I740&amp;E740&amp;J740</f>
        <v>&lt;record id="180685" posx="0" posy="0" dir="0"/&gt;</v>
      </c>
    </row>
    <row r="741" spans="1:11">
      <c r="A741">
        <f>Sheet1!A884</f>
        <v>180686</v>
      </c>
      <c r="B741" t="str">
        <f>Sheet1!B884</f>
        <v>粉碎阴谋</v>
      </c>
      <c r="C741">
        <f>Sheet1!Q884</f>
        <v>0</v>
      </c>
      <c r="D741">
        <f>Sheet1!R884</f>
        <v>0</v>
      </c>
      <c r="E741">
        <f>Sheet1!U884</f>
        <v>0</v>
      </c>
      <c r="F741" t="str">
        <f t="shared" ref="F741" si="3893">F740</f>
        <v>&lt;record id="</v>
      </c>
      <c r="G741" t="str">
        <f t="shared" ref="G741" si="3894">G740</f>
        <v>" posx="</v>
      </c>
      <c r="H741" t="str">
        <f t="shared" ref="H741" si="3895">H740</f>
        <v>" posy="</v>
      </c>
      <c r="I741" t="str">
        <f t="shared" ref="I741" si="3896">I740</f>
        <v>" dir="</v>
      </c>
      <c r="J741" t="str">
        <f t="shared" ref="J741" si="3897">J740</f>
        <v>"/&gt;</v>
      </c>
      <c r="K741" t="str">
        <f t="shared" ref="K741" si="3898">F741&amp;A741&amp;G741&amp;C741&amp;H741&amp;D741&amp;I741&amp;E741&amp;J741</f>
        <v>&lt;record id="180686" posx="0" posy="0" dir="0"/&gt;</v>
      </c>
    </row>
    <row r="742" spans="1:11">
      <c r="A742">
        <f>Sheet1!A885</f>
        <v>180687</v>
      </c>
      <c r="B742" t="str">
        <f>Sheet1!B885</f>
        <v>粉碎阴谋</v>
      </c>
      <c r="C742">
        <f>Sheet1!Q885</f>
        <v>0</v>
      </c>
      <c r="D742">
        <f>Sheet1!R885</f>
        <v>0</v>
      </c>
      <c r="E742">
        <f>Sheet1!U885</f>
        <v>0</v>
      </c>
      <c r="F742" t="str">
        <f t="shared" ref="F742" si="3899">F741</f>
        <v>&lt;record id="</v>
      </c>
      <c r="G742" t="str">
        <f t="shared" ref="G742" si="3900">G741</f>
        <v>" posx="</v>
      </c>
      <c r="H742" t="str">
        <f t="shared" ref="H742" si="3901">H741</f>
        <v>" posy="</v>
      </c>
      <c r="I742" t="str">
        <f t="shared" ref="I742" si="3902">I741</f>
        <v>" dir="</v>
      </c>
      <c r="J742" t="str">
        <f t="shared" ref="J742" si="3903">J741</f>
        <v>"/&gt;</v>
      </c>
      <c r="K742" t="str">
        <f t="shared" ref="K742" si="3904">F742&amp;A742&amp;G742&amp;C742&amp;H742&amp;D742&amp;I742&amp;E742&amp;J742</f>
        <v>&lt;record id="180687" posx="0" posy="0" dir="0"/&gt;</v>
      </c>
    </row>
    <row r="743" spans="1:11">
      <c r="A743">
        <f>Sheet1!A886</f>
        <v>180688</v>
      </c>
      <c r="B743" t="str">
        <f>Sheet1!B886</f>
        <v>粉碎阴谋</v>
      </c>
      <c r="C743">
        <f>Sheet1!Q886</f>
        <v>0</v>
      </c>
      <c r="D743">
        <f>Sheet1!R886</f>
        <v>0</v>
      </c>
      <c r="E743">
        <f>Sheet1!U886</f>
        <v>0</v>
      </c>
      <c r="F743" t="str">
        <f t="shared" ref="F743" si="3905">F742</f>
        <v>&lt;record id="</v>
      </c>
      <c r="G743" t="str">
        <f t="shared" ref="G743" si="3906">G742</f>
        <v>" posx="</v>
      </c>
      <c r="H743" t="str">
        <f t="shared" ref="H743" si="3907">H742</f>
        <v>" posy="</v>
      </c>
      <c r="I743" t="str">
        <f t="shared" ref="I743" si="3908">I742</f>
        <v>" dir="</v>
      </c>
      <c r="J743" t="str">
        <f t="shared" ref="J743" si="3909">J742</f>
        <v>"/&gt;</v>
      </c>
      <c r="K743" t="str">
        <f t="shared" ref="K743" si="3910">F743&amp;A743&amp;G743&amp;C743&amp;H743&amp;D743&amp;I743&amp;E743&amp;J743</f>
        <v>&lt;record id="180688" posx="0" posy="0" dir="0"/&gt;</v>
      </c>
    </row>
    <row r="744" spans="1:11">
      <c r="A744">
        <f>Sheet1!A887</f>
        <v>180689</v>
      </c>
      <c r="B744" t="str">
        <f>Sheet1!B887</f>
        <v>粉碎阴谋</v>
      </c>
      <c r="C744">
        <f>Sheet1!Q887</f>
        <v>0</v>
      </c>
      <c r="D744">
        <f>Sheet1!R887</f>
        <v>0</v>
      </c>
      <c r="E744">
        <f>Sheet1!U887</f>
        <v>0</v>
      </c>
      <c r="F744" t="str">
        <f t="shared" ref="F744" si="3911">F743</f>
        <v>&lt;record id="</v>
      </c>
      <c r="G744" t="str">
        <f t="shared" ref="G744" si="3912">G743</f>
        <v>" posx="</v>
      </c>
      <c r="H744" t="str">
        <f t="shared" ref="H744" si="3913">H743</f>
        <v>" posy="</v>
      </c>
      <c r="I744" t="str">
        <f t="shared" ref="I744" si="3914">I743</f>
        <v>" dir="</v>
      </c>
      <c r="J744" t="str">
        <f t="shared" ref="J744" si="3915">J743</f>
        <v>"/&gt;</v>
      </c>
      <c r="K744" t="str">
        <f t="shared" ref="K744" si="3916">F744&amp;A744&amp;G744&amp;C744&amp;H744&amp;D744&amp;I744&amp;E744&amp;J744</f>
        <v>&lt;record id="180689" posx="0" posy="0" dir="0"/&gt;</v>
      </c>
    </row>
    <row r="745" spans="1:11">
      <c r="A745">
        <f>Sheet1!A888</f>
        <v>180690</v>
      </c>
      <c r="B745" t="str">
        <f>Sheet1!B888</f>
        <v>粉碎阴谋</v>
      </c>
      <c r="C745">
        <f>Sheet1!Q888</f>
        <v>0</v>
      </c>
      <c r="D745">
        <f>Sheet1!R888</f>
        <v>0</v>
      </c>
      <c r="E745">
        <f>Sheet1!U888</f>
        <v>0</v>
      </c>
      <c r="F745" t="str">
        <f t="shared" ref="F745" si="3917">F744</f>
        <v>&lt;record id="</v>
      </c>
      <c r="G745" t="str">
        <f t="shared" ref="G745" si="3918">G744</f>
        <v>" posx="</v>
      </c>
      <c r="H745" t="str">
        <f t="shared" ref="H745" si="3919">H744</f>
        <v>" posy="</v>
      </c>
      <c r="I745" t="str">
        <f t="shared" ref="I745" si="3920">I744</f>
        <v>" dir="</v>
      </c>
      <c r="J745" t="str">
        <f t="shared" ref="J745" si="3921">J744</f>
        <v>"/&gt;</v>
      </c>
      <c r="K745" t="str">
        <f t="shared" ref="K745" si="3922">F745&amp;A745&amp;G745&amp;C745&amp;H745&amp;D745&amp;I745&amp;E745&amp;J745</f>
        <v>&lt;record id="180690" posx="0" posy="0" dir="0"/&gt;</v>
      </c>
    </row>
    <row r="746" spans="1:11">
      <c r="A746">
        <f>Sheet1!A889</f>
        <v>180691</v>
      </c>
      <c r="B746" t="str">
        <f>Sheet1!B889</f>
        <v>时空之路</v>
      </c>
      <c r="C746">
        <f>Sheet1!Q889</f>
        <v>0</v>
      </c>
      <c r="D746">
        <f>Sheet1!R889</f>
        <v>0</v>
      </c>
      <c r="E746">
        <f>Sheet1!U889</f>
        <v>0</v>
      </c>
      <c r="F746" t="str">
        <f t="shared" ref="F746" si="3923">F745</f>
        <v>&lt;record id="</v>
      </c>
      <c r="G746" t="str">
        <f t="shared" ref="G746" si="3924">G745</f>
        <v>" posx="</v>
      </c>
      <c r="H746" t="str">
        <f t="shared" ref="H746" si="3925">H745</f>
        <v>" posy="</v>
      </c>
      <c r="I746" t="str">
        <f t="shared" ref="I746" si="3926">I745</f>
        <v>" dir="</v>
      </c>
      <c r="J746" t="str">
        <f t="shared" ref="J746" si="3927">J745</f>
        <v>"/&gt;</v>
      </c>
      <c r="K746" t="str">
        <f t="shared" ref="K746" si="3928">F746&amp;A746&amp;G746&amp;C746&amp;H746&amp;D746&amp;I746&amp;E746&amp;J746</f>
        <v>&lt;record id="180691" posx="0" posy="0" dir="0"/&gt;</v>
      </c>
    </row>
    <row r="747" spans="1:11">
      <c r="A747">
        <f>Sheet1!A890</f>
        <v>180692</v>
      </c>
      <c r="B747" t="str">
        <f>Sheet1!B890</f>
        <v>时空之路</v>
      </c>
      <c r="C747">
        <f>Sheet1!Q890</f>
        <v>0</v>
      </c>
      <c r="D747">
        <f>Sheet1!R890</f>
        <v>0</v>
      </c>
      <c r="E747">
        <f>Sheet1!U890</f>
        <v>0</v>
      </c>
      <c r="F747" t="str">
        <f t="shared" ref="F747" si="3929">F746</f>
        <v>&lt;record id="</v>
      </c>
      <c r="G747" t="str">
        <f t="shared" ref="G747" si="3930">G746</f>
        <v>" posx="</v>
      </c>
      <c r="H747" t="str">
        <f t="shared" ref="H747" si="3931">H746</f>
        <v>" posy="</v>
      </c>
      <c r="I747" t="str">
        <f t="shared" ref="I747" si="3932">I746</f>
        <v>" dir="</v>
      </c>
      <c r="J747" t="str">
        <f t="shared" ref="J747" si="3933">J746</f>
        <v>"/&gt;</v>
      </c>
      <c r="K747" t="str">
        <f t="shared" ref="K747" si="3934">F747&amp;A747&amp;G747&amp;C747&amp;H747&amp;D747&amp;I747&amp;E747&amp;J747</f>
        <v>&lt;record id="180692" posx="0" posy="0" dir="0"/&gt;</v>
      </c>
    </row>
    <row r="748" spans="1:11">
      <c r="A748">
        <f>Sheet1!A891</f>
        <v>180693</v>
      </c>
      <c r="B748" t="str">
        <f>Sheet1!B891</f>
        <v>时空之路</v>
      </c>
      <c r="C748">
        <f>Sheet1!Q891</f>
        <v>0</v>
      </c>
      <c r="D748">
        <f>Sheet1!R891</f>
        <v>0</v>
      </c>
      <c r="E748">
        <f>Sheet1!U891</f>
        <v>0</v>
      </c>
      <c r="F748" t="str">
        <f t="shared" ref="F748" si="3935">F747</f>
        <v>&lt;record id="</v>
      </c>
      <c r="G748" t="str">
        <f t="shared" ref="G748" si="3936">G747</f>
        <v>" posx="</v>
      </c>
      <c r="H748" t="str">
        <f t="shared" ref="H748" si="3937">H747</f>
        <v>" posy="</v>
      </c>
      <c r="I748" t="str">
        <f t="shared" ref="I748" si="3938">I747</f>
        <v>" dir="</v>
      </c>
      <c r="J748" t="str">
        <f t="shared" ref="J748" si="3939">J747</f>
        <v>"/&gt;</v>
      </c>
      <c r="K748" t="str">
        <f t="shared" ref="K748" si="3940">F748&amp;A748&amp;G748&amp;C748&amp;H748&amp;D748&amp;I748&amp;E748&amp;J748</f>
        <v>&lt;record id="180693" posx="0" posy="0" dir="0"/&gt;</v>
      </c>
    </row>
    <row r="749" spans="1:11">
      <c r="A749">
        <f>Sheet1!A892</f>
        <v>180694</v>
      </c>
      <c r="B749" t="str">
        <f>Sheet1!B892</f>
        <v>时空之路</v>
      </c>
      <c r="C749">
        <f>Sheet1!Q892</f>
        <v>0</v>
      </c>
      <c r="D749">
        <f>Sheet1!R892</f>
        <v>0</v>
      </c>
      <c r="E749">
        <f>Sheet1!U892</f>
        <v>0</v>
      </c>
      <c r="F749" t="str">
        <f t="shared" ref="F749" si="3941">F748</f>
        <v>&lt;record id="</v>
      </c>
      <c r="G749" t="str">
        <f t="shared" ref="G749" si="3942">G748</f>
        <v>" posx="</v>
      </c>
      <c r="H749" t="str">
        <f t="shared" ref="H749" si="3943">H748</f>
        <v>" posy="</v>
      </c>
      <c r="I749" t="str">
        <f t="shared" ref="I749" si="3944">I748</f>
        <v>" dir="</v>
      </c>
      <c r="J749" t="str">
        <f t="shared" ref="J749" si="3945">J748</f>
        <v>"/&gt;</v>
      </c>
      <c r="K749" t="str">
        <f t="shared" ref="K749" si="3946">F749&amp;A749&amp;G749&amp;C749&amp;H749&amp;D749&amp;I749&amp;E749&amp;J749</f>
        <v>&lt;record id="180694" posx="0" posy="0" dir="0"/&gt;</v>
      </c>
    </row>
    <row r="750" spans="1:11">
      <c r="A750">
        <f>Sheet1!A893</f>
        <v>180695</v>
      </c>
      <c r="B750" t="str">
        <f>Sheet1!B893</f>
        <v>时空之路</v>
      </c>
      <c r="C750">
        <f>Sheet1!Q893</f>
        <v>0</v>
      </c>
      <c r="D750">
        <f>Sheet1!R893</f>
        <v>0</v>
      </c>
      <c r="E750">
        <f>Sheet1!U893</f>
        <v>0</v>
      </c>
      <c r="F750" t="str">
        <f t="shared" ref="F750" si="3947">F749</f>
        <v>&lt;record id="</v>
      </c>
      <c r="G750" t="str">
        <f t="shared" ref="G750" si="3948">G749</f>
        <v>" posx="</v>
      </c>
      <c r="H750" t="str">
        <f t="shared" ref="H750" si="3949">H749</f>
        <v>" posy="</v>
      </c>
      <c r="I750" t="str">
        <f t="shared" ref="I750" si="3950">I749</f>
        <v>" dir="</v>
      </c>
      <c r="J750" t="str">
        <f t="shared" ref="J750" si="3951">J749</f>
        <v>"/&gt;</v>
      </c>
      <c r="K750" t="str">
        <f t="shared" ref="K750" si="3952">F750&amp;A750&amp;G750&amp;C750&amp;H750&amp;D750&amp;I750&amp;E750&amp;J750</f>
        <v>&lt;record id="180695" posx="0" posy="0" dir="0"/&gt;</v>
      </c>
    </row>
    <row r="751" spans="1:11">
      <c r="A751">
        <f>Sheet1!A894</f>
        <v>180696</v>
      </c>
      <c r="B751" t="str">
        <f>Sheet1!B894</f>
        <v>英雄平台</v>
      </c>
      <c r="C751">
        <f>Sheet1!Q894</f>
        <v>0</v>
      </c>
      <c r="D751">
        <f>Sheet1!R894</f>
        <v>0</v>
      </c>
      <c r="E751">
        <f>Sheet1!U894</f>
        <v>0</v>
      </c>
      <c r="F751" t="str">
        <f t="shared" ref="F751" si="3953">F750</f>
        <v>&lt;record id="</v>
      </c>
      <c r="G751" t="str">
        <f t="shared" ref="G751" si="3954">G750</f>
        <v>" posx="</v>
      </c>
      <c r="H751" t="str">
        <f t="shared" ref="H751" si="3955">H750</f>
        <v>" posy="</v>
      </c>
      <c r="I751" t="str">
        <f t="shared" ref="I751" si="3956">I750</f>
        <v>" dir="</v>
      </c>
      <c r="J751" t="str">
        <f t="shared" ref="J751" si="3957">J750</f>
        <v>"/&gt;</v>
      </c>
      <c r="K751" t="str">
        <f t="shared" ref="K751" si="3958">F751&amp;A751&amp;G751&amp;C751&amp;H751&amp;D751&amp;I751&amp;E751&amp;J751</f>
        <v>&lt;record id="180696" posx="0" posy="0" dir="0"/&gt;</v>
      </c>
    </row>
    <row r="752" spans="1:11">
      <c r="A752">
        <f>Sheet1!A895</f>
        <v>180697</v>
      </c>
      <c r="B752" t="str">
        <f>Sheet1!B895</f>
        <v>英雄平台</v>
      </c>
      <c r="C752">
        <f>Sheet1!Q895</f>
        <v>0</v>
      </c>
      <c r="D752">
        <f>Sheet1!R895</f>
        <v>0</v>
      </c>
      <c r="E752">
        <f>Sheet1!U895</f>
        <v>0</v>
      </c>
      <c r="F752" t="str">
        <f t="shared" ref="F752" si="3959">F751</f>
        <v>&lt;record id="</v>
      </c>
      <c r="G752" t="str">
        <f t="shared" ref="G752" si="3960">G751</f>
        <v>" posx="</v>
      </c>
      <c r="H752" t="str">
        <f t="shared" ref="H752" si="3961">H751</f>
        <v>" posy="</v>
      </c>
      <c r="I752" t="str">
        <f t="shared" ref="I752" si="3962">I751</f>
        <v>" dir="</v>
      </c>
      <c r="J752" t="str">
        <f t="shared" ref="J752" si="3963">J751</f>
        <v>"/&gt;</v>
      </c>
      <c r="K752" t="str">
        <f t="shared" ref="K752" si="3964">F752&amp;A752&amp;G752&amp;C752&amp;H752&amp;D752&amp;I752&amp;E752&amp;J752</f>
        <v>&lt;record id="180697" posx="0" posy="0" dir="0"/&gt;</v>
      </c>
    </row>
    <row r="753" spans="1:11">
      <c r="A753">
        <f>Sheet1!A896</f>
        <v>180698</v>
      </c>
      <c r="B753" t="str">
        <f>Sheet1!B896</f>
        <v>英雄平台</v>
      </c>
      <c r="C753">
        <f>Sheet1!Q896</f>
        <v>0</v>
      </c>
      <c r="D753">
        <f>Sheet1!R896</f>
        <v>0</v>
      </c>
      <c r="E753">
        <f>Sheet1!U896</f>
        <v>0</v>
      </c>
      <c r="F753" t="str">
        <f t="shared" ref="F753" si="3965">F752</f>
        <v>&lt;record id="</v>
      </c>
      <c r="G753" t="str">
        <f t="shared" ref="G753" si="3966">G752</f>
        <v>" posx="</v>
      </c>
      <c r="H753" t="str">
        <f t="shared" ref="H753" si="3967">H752</f>
        <v>" posy="</v>
      </c>
      <c r="I753" t="str">
        <f t="shared" ref="I753" si="3968">I752</f>
        <v>" dir="</v>
      </c>
      <c r="J753" t="str">
        <f t="shared" ref="J753" si="3969">J752</f>
        <v>"/&gt;</v>
      </c>
      <c r="K753" t="str">
        <f t="shared" ref="K753" si="3970">F753&amp;A753&amp;G753&amp;C753&amp;H753&amp;D753&amp;I753&amp;E753&amp;J753</f>
        <v>&lt;record id="180698" posx="0" posy="0" dir="0"/&gt;</v>
      </c>
    </row>
    <row r="754" spans="1:11">
      <c r="A754">
        <f>Sheet1!A897</f>
        <v>180699</v>
      </c>
      <c r="B754" t="str">
        <f>Sheet1!B897</f>
        <v>英雄平台</v>
      </c>
      <c r="C754">
        <f>Sheet1!Q897</f>
        <v>0</v>
      </c>
      <c r="D754">
        <f>Sheet1!R897</f>
        <v>0</v>
      </c>
      <c r="E754">
        <f>Sheet1!U897</f>
        <v>0</v>
      </c>
      <c r="F754" t="str">
        <f t="shared" ref="F754" si="3971">F753</f>
        <v>&lt;record id="</v>
      </c>
      <c r="G754" t="str">
        <f t="shared" ref="G754" si="3972">G753</f>
        <v>" posx="</v>
      </c>
      <c r="H754" t="str">
        <f t="shared" ref="H754" si="3973">H753</f>
        <v>" posy="</v>
      </c>
      <c r="I754" t="str">
        <f t="shared" ref="I754" si="3974">I753</f>
        <v>" dir="</v>
      </c>
      <c r="J754" t="str">
        <f t="shared" ref="J754" si="3975">J753</f>
        <v>"/&gt;</v>
      </c>
      <c r="K754" t="str">
        <f t="shared" ref="K754" si="3976">F754&amp;A754&amp;G754&amp;C754&amp;H754&amp;D754&amp;I754&amp;E754&amp;J754</f>
        <v>&lt;record id="180699" posx="0" posy="0" dir="0"/&gt;</v>
      </c>
    </row>
    <row r="755" spans="1:11">
      <c r="A755">
        <f>Sheet1!A898</f>
        <v>180700</v>
      </c>
      <c r="B755" t="str">
        <f>Sheet1!B898</f>
        <v>英雄平台</v>
      </c>
      <c r="C755">
        <f>Sheet1!Q898</f>
        <v>0</v>
      </c>
      <c r="D755">
        <f>Sheet1!R898</f>
        <v>0</v>
      </c>
      <c r="E755">
        <f>Sheet1!U898</f>
        <v>0</v>
      </c>
      <c r="F755" t="str">
        <f t="shared" ref="F755" si="3977">F754</f>
        <v>&lt;record id="</v>
      </c>
      <c r="G755" t="str">
        <f t="shared" ref="G755" si="3978">G754</f>
        <v>" posx="</v>
      </c>
      <c r="H755" t="str">
        <f t="shared" ref="H755" si="3979">H754</f>
        <v>" posy="</v>
      </c>
      <c r="I755" t="str">
        <f t="shared" ref="I755" si="3980">I754</f>
        <v>" dir="</v>
      </c>
      <c r="J755" t="str">
        <f t="shared" ref="J755" si="3981">J754</f>
        <v>"/&gt;</v>
      </c>
      <c r="K755" t="str">
        <f t="shared" ref="K755" si="3982">F755&amp;A755&amp;G755&amp;C755&amp;H755&amp;D755&amp;I755&amp;E755&amp;J755</f>
        <v>&lt;record id="180700" posx="0" posy="0" dir="0"/&gt;</v>
      </c>
    </row>
    <row r="756" spans="1:11">
      <c r="A756">
        <f>Sheet1!A899</f>
        <v>180701</v>
      </c>
      <c r="B756" t="str">
        <f>Sheet1!B899</f>
        <v>野猪护卫</v>
      </c>
      <c r="C756">
        <f>Sheet1!Q899</f>
        <v>0</v>
      </c>
      <c r="D756">
        <f>Sheet1!R899</f>
        <v>0</v>
      </c>
      <c r="E756">
        <f>Sheet1!U899</f>
        <v>0</v>
      </c>
      <c r="F756" t="str">
        <f t="shared" ref="F756" si="3983">F755</f>
        <v>&lt;record id="</v>
      </c>
      <c r="G756" t="str">
        <f t="shared" ref="G756" si="3984">G755</f>
        <v>" posx="</v>
      </c>
      <c r="H756" t="str">
        <f t="shared" ref="H756" si="3985">H755</f>
        <v>" posy="</v>
      </c>
      <c r="I756" t="str">
        <f t="shared" ref="I756" si="3986">I755</f>
        <v>" dir="</v>
      </c>
      <c r="J756" t="str">
        <f t="shared" ref="J756" si="3987">J755</f>
        <v>"/&gt;</v>
      </c>
      <c r="K756" t="str">
        <f t="shared" ref="K756" si="3988">F756&amp;A756&amp;G756&amp;C756&amp;H756&amp;D756&amp;I756&amp;E756&amp;J756</f>
        <v>&lt;record id="180701" posx="0" posy="0" dir="0"/&gt;</v>
      </c>
    </row>
    <row r="757" spans="1:11">
      <c r="A757">
        <f>Sheet1!A900</f>
        <v>180702</v>
      </c>
      <c r="B757" t="str">
        <f>Sheet1!B900</f>
        <v>野猪护卫</v>
      </c>
      <c r="C757">
        <f>Sheet1!Q900</f>
        <v>0</v>
      </c>
      <c r="D757">
        <f>Sheet1!R900</f>
        <v>0</v>
      </c>
      <c r="E757">
        <f>Sheet1!U900</f>
        <v>0</v>
      </c>
      <c r="F757" t="str">
        <f t="shared" ref="F757" si="3989">F756</f>
        <v>&lt;record id="</v>
      </c>
      <c r="G757" t="str">
        <f t="shared" ref="G757" si="3990">G756</f>
        <v>" posx="</v>
      </c>
      <c r="H757" t="str">
        <f t="shared" ref="H757" si="3991">H756</f>
        <v>" posy="</v>
      </c>
      <c r="I757" t="str">
        <f t="shared" ref="I757" si="3992">I756</f>
        <v>" dir="</v>
      </c>
      <c r="J757" t="str">
        <f t="shared" ref="J757" si="3993">J756</f>
        <v>"/&gt;</v>
      </c>
      <c r="K757" t="str">
        <f t="shared" ref="K757" si="3994">F757&amp;A757&amp;G757&amp;C757&amp;H757&amp;D757&amp;I757&amp;E757&amp;J757</f>
        <v>&lt;record id="180702" posx="0" posy="0" dir="0"/&gt;</v>
      </c>
    </row>
    <row r="758" spans="1:11">
      <c r="A758">
        <f>Sheet1!A901</f>
        <v>180703</v>
      </c>
      <c r="B758" t="str">
        <f>Sheet1!B901</f>
        <v>卡拉猎犬</v>
      </c>
      <c r="C758">
        <f>Sheet1!Q901</f>
        <v>0</v>
      </c>
      <c r="D758">
        <f>Sheet1!R901</f>
        <v>0</v>
      </c>
      <c r="E758">
        <f>Sheet1!U901</f>
        <v>0</v>
      </c>
      <c r="F758" t="str">
        <f t="shared" ref="F758" si="3995">F757</f>
        <v>&lt;record id="</v>
      </c>
      <c r="G758" t="str">
        <f t="shared" ref="G758" si="3996">G757</f>
        <v>" posx="</v>
      </c>
      <c r="H758" t="str">
        <f t="shared" ref="H758" si="3997">H757</f>
        <v>" posy="</v>
      </c>
      <c r="I758" t="str">
        <f t="shared" ref="I758" si="3998">I757</f>
        <v>" dir="</v>
      </c>
      <c r="J758" t="str">
        <f t="shared" ref="J758" si="3999">J757</f>
        <v>"/&gt;</v>
      </c>
      <c r="K758" t="str">
        <f t="shared" ref="K758" si="4000">F758&amp;A758&amp;G758&amp;C758&amp;H758&amp;D758&amp;I758&amp;E758&amp;J758</f>
        <v>&lt;record id="180703" posx="0" posy="0" dir="0"/&gt;</v>
      </c>
    </row>
    <row r="759" spans="1:11">
      <c r="A759">
        <f>Sheet1!A902</f>
        <v>180704</v>
      </c>
      <c r="B759" t="str">
        <f>Sheet1!B902</f>
        <v>卡拉猎犬</v>
      </c>
      <c r="C759">
        <f>Sheet1!Q902</f>
        <v>0</v>
      </c>
      <c r="D759">
        <f>Sheet1!R902</f>
        <v>0</v>
      </c>
      <c r="E759">
        <f>Sheet1!U902</f>
        <v>0</v>
      </c>
      <c r="F759" t="str">
        <f t="shared" ref="F759" si="4001">F758</f>
        <v>&lt;record id="</v>
      </c>
      <c r="G759" t="str">
        <f t="shared" ref="G759" si="4002">G758</f>
        <v>" posx="</v>
      </c>
      <c r="H759" t="str">
        <f t="shared" ref="H759" si="4003">H758</f>
        <v>" posy="</v>
      </c>
      <c r="I759" t="str">
        <f t="shared" ref="I759" si="4004">I758</f>
        <v>" dir="</v>
      </c>
      <c r="J759" t="str">
        <f t="shared" ref="J759" si="4005">J758</f>
        <v>"/&gt;</v>
      </c>
      <c r="K759" t="str">
        <f t="shared" ref="K759" si="4006">F759&amp;A759&amp;G759&amp;C759&amp;H759&amp;D759&amp;I759&amp;E759&amp;J759</f>
        <v>&lt;record id="180704" posx="0" posy="0" dir="0"/&gt;</v>
      </c>
    </row>
    <row r="760" spans="1:11">
      <c r="A760">
        <f>Sheet1!A903</f>
        <v>180705</v>
      </c>
      <c r="B760" t="str">
        <f>Sheet1!B903</f>
        <v>小冏龟</v>
      </c>
      <c r="C760">
        <f>Sheet1!Q903</f>
        <v>0</v>
      </c>
      <c r="D760">
        <f>Sheet1!R903</f>
        <v>0</v>
      </c>
      <c r="E760">
        <f>Sheet1!U903</f>
        <v>0</v>
      </c>
      <c r="F760" t="str">
        <f t="shared" ref="F760" si="4007">F759</f>
        <v>&lt;record id="</v>
      </c>
      <c r="G760" t="str">
        <f t="shared" ref="G760" si="4008">G759</f>
        <v>" posx="</v>
      </c>
      <c r="H760" t="str">
        <f t="shared" ref="H760" si="4009">H759</f>
        <v>" posy="</v>
      </c>
      <c r="I760" t="str">
        <f t="shared" ref="I760" si="4010">I759</f>
        <v>" dir="</v>
      </c>
      <c r="J760" t="str">
        <f t="shared" ref="J760" si="4011">J759</f>
        <v>"/&gt;</v>
      </c>
      <c r="K760" t="str">
        <f t="shared" ref="K760" si="4012">F760&amp;A760&amp;G760&amp;C760&amp;H760&amp;D760&amp;I760&amp;E760&amp;J760</f>
        <v>&lt;record id="180705" posx="0" posy="0" dir="0"/&gt;</v>
      </c>
    </row>
    <row r="761" spans="1:11">
      <c r="A761">
        <f>Sheet1!A904</f>
        <v>180706</v>
      </c>
      <c r="B761" t="str">
        <f>Sheet1!B904</f>
        <v>小冏龟</v>
      </c>
      <c r="C761">
        <f>Sheet1!Q904</f>
        <v>0</v>
      </c>
      <c r="D761">
        <f>Sheet1!R904</f>
        <v>0</v>
      </c>
      <c r="E761">
        <f>Sheet1!U904</f>
        <v>0</v>
      </c>
      <c r="F761" t="str">
        <f t="shared" ref="F761" si="4013">F760</f>
        <v>&lt;record id="</v>
      </c>
      <c r="G761" t="str">
        <f t="shared" ref="G761" si="4014">G760</f>
        <v>" posx="</v>
      </c>
      <c r="H761" t="str">
        <f t="shared" ref="H761" si="4015">H760</f>
        <v>" posy="</v>
      </c>
      <c r="I761" t="str">
        <f t="shared" ref="I761" si="4016">I760</f>
        <v>" dir="</v>
      </c>
      <c r="J761" t="str">
        <f t="shared" ref="J761" si="4017">J760</f>
        <v>"/&gt;</v>
      </c>
      <c r="K761" t="str">
        <f t="shared" ref="K761" si="4018">F761&amp;A761&amp;G761&amp;C761&amp;H761&amp;D761&amp;I761&amp;E761&amp;J761</f>
        <v>&lt;record id="180706" posx="0" posy="0" dir="0"/&gt;</v>
      </c>
    </row>
    <row r="762" spans="1:11">
      <c r="A762">
        <f>Sheet1!A905</f>
        <v>180707</v>
      </c>
      <c r="B762" t="str">
        <f>Sheet1!B905</f>
        <v>猎龙守卫</v>
      </c>
      <c r="C762">
        <f>Sheet1!Q905</f>
        <v>0</v>
      </c>
      <c r="D762">
        <f>Sheet1!R905</f>
        <v>0</v>
      </c>
      <c r="E762">
        <f>Sheet1!U905</f>
        <v>0</v>
      </c>
      <c r="F762" t="str">
        <f t="shared" ref="F762" si="4019">F761</f>
        <v>&lt;record id="</v>
      </c>
      <c r="G762" t="str">
        <f t="shared" ref="G762" si="4020">G761</f>
        <v>" posx="</v>
      </c>
      <c r="H762" t="str">
        <f t="shared" ref="H762" si="4021">H761</f>
        <v>" posy="</v>
      </c>
      <c r="I762" t="str">
        <f t="shared" ref="I762" si="4022">I761</f>
        <v>" dir="</v>
      </c>
      <c r="J762" t="str">
        <f t="shared" ref="J762" si="4023">J761</f>
        <v>"/&gt;</v>
      </c>
      <c r="K762" t="str">
        <f t="shared" ref="K762" si="4024">F762&amp;A762&amp;G762&amp;C762&amp;H762&amp;D762&amp;I762&amp;E762&amp;J762</f>
        <v>&lt;record id="180707" posx="0" posy="0" dir="0"/&gt;</v>
      </c>
    </row>
    <row r="763" spans="1:11">
      <c r="A763">
        <f>Sheet1!A906</f>
        <v>180708</v>
      </c>
      <c r="B763" t="str">
        <f>Sheet1!B906</f>
        <v>猎龙守卫</v>
      </c>
      <c r="C763">
        <f>Sheet1!Q906</f>
        <v>0</v>
      </c>
      <c r="D763">
        <f>Sheet1!R906</f>
        <v>0</v>
      </c>
      <c r="E763">
        <f>Sheet1!U906</f>
        <v>0</v>
      </c>
      <c r="F763" t="str">
        <f t="shared" ref="F763" si="4025">F762</f>
        <v>&lt;record id="</v>
      </c>
      <c r="G763" t="str">
        <f t="shared" ref="G763" si="4026">G762</f>
        <v>" posx="</v>
      </c>
      <c r="H763" t="str">
        <f t="shared" ref="H763" si="4027">H762</f>
        <v>" posy="</v>
      </c>
      <c r="I763" t="str">
        <f t="shared" ref="I763" si="4028">I762</f>
        <v>" dir="</v>
      </c>
      <c r="J763" t="str">
        <f t="shared" ref="J763" si="4029">J762</f>
        <v>"/&gt;</v>
      </c>
      <c r="K763" t="str">
        <f t="shared" ref="K763" si="4030">F763&amp;A763&amp;G763&amp;C763&amp;H763&amp;D763&amp;I763&amp;E763&amp;J763</f>
        <v>&lt;record id="180708" posx="0" posy="0" dir="0"/&gt;</v>
      </c>
    </row>
    <row r="764" spans="1:11">
      <c r="A764">
        <f>Sheet1!A907</f>
        <v>180709</v>
      </c>
      <c r="B764" t="str">
        <f>Sheet1!B907</f>
        <v>德鲁伊追随者</v>
      </c>
      <c r="C764">
        <f>Sheet1!Q907</f>
        <v>0</v>
      </c>
      <c r="D764">
        <f>Sheet1!R907</f>
        <v>0</v>
      </c>
      <c r="E764">
        <f>Sheet1!U907</f>
        <v>0</v>
      </c>
      <c r="F764" t="str">
        <f t="shared" ref="F764" si="4031">F763</f>
        <v>&lt;record id="</v>
      </c>
      <c r="G764" t="str">
        <f t="shared" ref="G764" si="4032">G763</f>
        <v>" posx="</v>
      </c>
      <c r="H764" t="str">
        <f t="shared" ref="H764" si="4033">H763</f>
        <v>" posy="</v>
      </c>
      <c r="I764" t="str">
        <f t="shared" ref="I764" si="4034">I763</f>
        <v>" dir="</v>
      </c>
      <c r="J764" t="str">
        <f t="shared" ref="J764:J769" si="4035">J763</f>
        <v>"/&gt;</v>
      </c>
      <c r="K764" t="str">
        <f t="shared" ref="K764" si="4036">F764&amp;A764&amp;G764&amp;C764&amp;H764&amp;D764&amp;I764&amp;E764&amp;J764</f>
        <v>&lt;record id="180709" posx="0" posy="0" dir="0"/&gt;</v>
      </c>
    </row>
    <row r="765" spans="1:11">
      <c r="A765">
        <f>Sheet1!A908</f>
        <v>180710</v>
      </c>
      <c r="B765" t="str">
        <f>Sheet1!B908</f>
        <v>德鲁伊追随者</v>
      </c>
      <c r="C765">
        <f>Sheet1!Q908</f>
        <v>0</v>
      </c>
      <c r="D765">
        <f>Sheet1!R908</f>
        <v>0</v>
      </c>
      <c r="E765">
        <f>Sheet1!U908</f>
        <v>0</v>
      </c>
      <c r="F765" t="str">
        <f t="shared" ref="F765" si="4037">F764</f>
        <v>&lt;record id="</v>
      </c>
      <c r="G765" t="str">
        <f t="shared" ref="G765:G770" si="4038">G764</f>
        <v>" posx="</v>
      </c>
      <c r="H765" t="str">
        <f t="shared" ref="H765" si="4039">H764</f>
        <v>" posy="</v>
      </c>
      <c r="I765" t="str">
        <f t="shared" ref="I765" si="4040">I764</f>
        <v>" dir="</v>
      </c>
      <c r="J765" t="str">
        <f t="shared" si="4035"/>
        <v>"/&gt;</v>
      </c>
      <c r="K765" t="str">
        <f t="shared" ref="K765:K770" si="4041">F765&amp;A765&amp;G765&amp;C765&amp;H765&amp;D765&amp;I765&amp;E765&amp;J765</f>
        <v>&lt;record id="180710" posx="0" posy="0" dir="0"/&gt;</v>
      </c>
    </row>
    <row r="766" spans="1:11">
      <c r="A766">
        <f>Sheet1!A909</f>
        <v>181000</v>
      </c>
      <c r="B766" t="str">
        <f>Sheet1!B909</f>
        <v>心魔</v>
      </c>
      <c r="C766">
        <f>Sheet1!Q909</f>
        <v>0</v>
      </c>
      <c r="D766">
        <f>Sheet1!R909</f>
        <v>0</v>
      </c>
      <c r="E766">
        <f>Sheet1!U909</f>
        <v>0</v>
      </c>
      <c r="F766" t="str">
        <f t="shared" ref="F766" si="4042">F765</f>
        <v>&lt;record id="</v>
      </c>
      <c r="G766" t="str">
        <f t="shared" si="4038"/>
        <v>" posx="</v>
      </c>
      <c r="H766" t="str">
        <f t="shared" ref="H766" si="4043">H765</f>
        <v>" posy="</v>
      </c>
      <c r="I766" t="str">
        <f t="shared" ref="I766:I769" si="4044">I765</f>
        <v>" dir="</v>
      </c>
      <c r="J766" t="str">
        <f t="shared" si="4035"/>
        <v>"/&gt;</v>
      </c>
      <c r="K766" t="str">
        <f t="shared" si="4041"/>
        <v>&lt;record id="181000" posx="0" posy="0" dir="0"/&gt;</v>
      </c>
    </row>
    <row r="767" spans="1:11">
      <c r="A767">
        <f>Sheet1!A910</f>
        <v>182101</v>
      </c>
      <c r="B767" t="str">
        <f>Sheet1!B910</f>
        <v>海底猪妖</v>
      </c>
      <c r="C767">
        <f>Sheet1!Q910</f>
        <v>540</v>
      </c>
      <c r="D767">
        <f>Sheet1!R910</f>
        <v>766</v>
      </c>
      <c r="E767">
        <f>Sheet1!U910</f>
        <v>3</v>
      </c>
      <c r="F767" t="str">
        <f t="shared" ref="F767:F770" si="4045">F766</f>
        <v>&lt;record id="</v>
      </c>
      <c r="G767" t="str">
        <f t="shared" si="4038"/>
        <v>" posx="</v>
      </c>
      <c r="H767" t="str">
        <f t="shared" ref="H767:H769" si="4046">H766</f>
        <v>" posy="</v>
      </c>
      <c r="I767" t="str">
        <f t="shared" si="4044"/>
        <v>" dir="</v>
      </c>
      <c r="J767" t="str">
        <f t="shared" si="4035"/>
        <v>"/&gt;</v>
      </c>
      <c r="K767" t="str">
        <f t="shared" si="4041"/>
        <v>&lt;record id="182101" posx="540" posy="766" dir="3"/&gt;</v>
      </c>
    </row>
    <row r="768" spans="1:11">
      <c r="A768">
        <f>Sheet1!A911</f>
        <v>182102</v>
      </c>
      <c r="B768" t="str">
        <f>Sheet1!B911</f>
        <v>海底虎怪</v>
      </c>
      <c r="C768">
        <f>Sheet1!Q911</f>
        <v>129</v>
      </c>
      <c r="D768">
        <f>Sheet1!R911</f>
        <v>1290</v>
      </c>
      <c r="E768">
        <f>Sheet1!U911</f>
        <v>5</v>
      </c>
      <c r="F768" t="str">
        <f t="shared" si="4045"/>
        <v>&lt;record id="</v>
      </c>
      <c r="G768" t="str">
        <f t="shared" si="4038"/>
        <v>" posx="</v>
      </c>
      <c r="H768" t="str">
        <f t="shared" si="4046"/>
        <v>" posy="</v>
      </c>
      <c r="I768" t="str">
        <f t="shared" si="4044"/>
        <v>" dir="</v>
      </c>
      <c r="J768" t="str">
        <f t="shared" si="4035"/>
        <v>"/&gt;</v>
      </c>
      <c r="K768" t="str">
        <f t="shared" si="4041"/>
        <v>&lt;record id="182102" posx="129" posy="1290" dir="5"/&gt;</v>
      </c>
    </row>
    <row r="769" spans="1:11">
      <c r="A769">
        <f>Sheet1!A912</f>
        <v>182103</v>
      </c>
      <c r="B769" t="str">
        <f>Sheet1!B912</f>
        <v>羊怪冤魂</v>
      </c>
      <c r="C769">
        <f>Sheet1!Q912</f>
        <v>1138</v>
      </c>
      <c r="D769">
        <f>Sheet1!R912</f>
        <v>1435</v>
      </c>
      <c r="E769">
        <f>Sheet1!U912</f>
        <v>1</v>
      </c>
      <c r="F769" t="str">
        <f t="shared" si="4045"/>
        <v>&lt;record id="</v>
      </c>
      <c r="G769" t="str">
        <f t="shared" si="4038"/>
        <v>" posx="</v>
      </c>
      <c r="H769" t="str">
        <f t="shared" si="4046"/>
        <v>" posy="</v>
      </c>
      <c r="I769" t="str">
        <f t="shared" si="4044"/>
        <v>" dir="</v>
      </c>
      <c r="J769" t="str">
        <f t="shared" si="4035"/>
        <v>"/&gt;</v>
      </c>
      <c r="K769" t="str">
        <f t="shared" si="4041"/>
        <v>&lt;record id="182103" posx="1138" posy="1435" dir="1"/&gt;</v>
      </c>
    </row>
    <row r="770" spans="1:11">
      <c r="A770">
        <f>Sheet1!A913</f>
        <v>182104</v>
      </c>
      <c r="B770" t="str">
        <f>Sheet1!B913</f>
        <v>花妖冤魂</v>
      </c>
      <c r="C770">
        <f>Sheet1!Q913</f>
        <v>1435</v>
      </c>
      <c r="D770">
        <f>Sheet1!R913</f>
        <v>601</v>
      </c>
      <c r="E770">
        <f>Sheet1!U913</f>
        <v>7</v>
      </c>
      <c r="F770" t="str">
        <f t="shared" si="4045"/>
        <v>&lt;record id="</v>
      </c>
      <c r="G770" t="str">
        <f t="shared" si="4038"/>
        <v>" posx="</v>
      </c>
      <c r="H770" t="str">
        <f t="shared" ref="H770" si="4047">H769</f>
        <v>" posy="</v>
      </c>
      <c r="I770" t="str">
        <f t="shared" ref="I770" si="4048">I769</f>
        <v>" dir="</v>
      </c>
      <c r="J770" t="str">
        <f t="shared" ref="J770" si="4049">J769</f>
        <v>"/&gt;</v>
      </c>
      <c r="K770" t="str">
        <f t="shared" si="4041"/>
        <v>&lt;record id="182104" posx="1435" posy="601" dir="7"/&gt;</v>
      </c>
    </row>
    <row r="771" spans="1:11">
      <c r="A771">
        <f>Sheet1!A914</f>
        <v>182105</v>
      </c>
      <c r="B771" t="str">
        <f>Sheet1!B914</f>
        <v>猴精冤魂</v>
      </c>
      <c r="C771">
        <f>Sheet1!Q914</f>
        <v>703</v>
      </c>
      <c r="D771">
        <f>Sheet1!R914</f>
        <v>211</v>
      </c>
      <c r="E771">
        <f>Sheet1!U914</f>
        <v>5</v>
      </c>
      <c r="F771" t="str">
        <f t="shared" ref="F771" si="4050">F770</f>
        <v>&lt;record id="</v>
      </c>
      <c r="G771" t="str">
        <f t="shared" ref="G771" si="4051">G770</f>
        <v>" posx="</v>
      </c>
      <c r="H771" t="str">
        <f t="shared" ref="H771" si="4052">H770</f>
        <v>" posy="</v>
      </c>
      <c r="I771" t="str">
        <f t="shared" ref="I771" si="4053">I770</f>
        <v>" dir="</v>
      </c>
      <c r="J771" t="str">
        <f t="shared" ref="J771" si="4054">J770</f>
        <v>"/&gt;</v>
      </c>
      <c r="K771" t="str">
        <f t="shared" ref="K771" si="4055">F771&amp;A771&amp;G771&amp;C771&amp;H771&amp;D771&amp;I771&amp;E771&amp;J771</f>
        <v>&lt;record id="182105" posx="703" posy="211" dir="5"/&gt;</v>
      </c>
    </row>
    <row r="772" spans="1:11">
      <c r="A772">
        <f>Sheet1!A915</f>
        <v>182201</v>
      </c>
      <c r="B772" t="str">
        <f>Sheet1!B915</f>
        <v>锢魂精怪</v>
      </c>
      <c r="C772">
        <f>Sheet1!Q915</f>
        <v>236</v>
      </c>
      <c r="D772">
        <f>Sheet1!R915</f>
        <v>610</v>
      </c>
      <c r="E772">
        <f>Sheet1!U915</f>
        <v>1</v>
      </c>
      <c r="F772" t="str">
        <f t="shared" ref="F772" si="4056">F771</f>
        <v>&lt;record id="</v>
      </c>
      <c r="G772" t="str">
        <f t="shared" ref="G772" si="4057">G771</f>
        <v>" posx="</v>
      </c>
      <c r="H772" t="str">
        <f t="shared" ref="H772" si="4058">H771</f>
        <v>" posy="</v>
      </c>
      <c r="I772" t="str">
        <f t="shared" ref="I772" si="4059">I771</f>
        <v>" dir="</v>
      </c>
      <c r="J772" t="str">
        <f t="shared" ref="J772" si="4060">J771</f>
        <v>"/&gt;</v>
      </c>
      <c r="K772" t="str">
        <f t="shared" ref="K772" si="4061">F772&amp;A772&amp;G772&amp;C772&amp;H772&amp;D772&amp;I772&amp;E772&amp;J772</f>
        <v>&lt;record id="182201" posx="236" posy="610" dir="1"/&gt;</v>
      </c>
    </row>
    <row r="773" spans="1:11">
      <c r="A773">
        <f>Sheet1!A916</f>
        <v>182202</v>
      </c>
      <c r="B773" t="str">
        <f>Sheet1!B916</f>
        <v>巡逻虾兵</v>
      </c>
      <c r="C773">
        <f>Sheet1!Q916</f>
        <v>251</v>
      </c>
      <c r="D773">
        <f>Sheet1!R916</f>
        <v>1456</v>
      </c>
      <c r="E773">
        <f>Sheet1!U916</f>
        <v>5</v>
      </c>
      <c r="F773" t="str">
        <f t="shared" ref="F773" si="4062">F772</f>
        <v>&lt;record id="</v>
      </c>
      <c r="G773" t="str">
        <f t="shared" ref="G773" si="4063">G772</f>
        <v>" posx="</v>
      </c>
      <c r="H773" t="str">
        <f t="shared" ref="H773" si="4064">H772</f>
        <v>" posy="</v>
      </c>
      <c r="I773" t="str">
        <f t="shared" ref="I773" si="4065">I772</f>
        <v>" dir="</v>
      </c>
      <c r="J773" t="str">
        <f t="shared" ref="J773" si="4066">J772</f>
        <v>"/&gt;</v>
      </c>
      <c r="K773" t="str">
        <f t="shared" ref="K773" si="4067">F773&amp;A773&amp;G773&amp;C773&amp;H773&amp;D773&amp;I773&amp;E773&amp;J773</f>
        <v>&lt;record id="182202" posx="251" posy="1456" dir="5"/&gt;</v>
      </c>
    </row>
    <row r="774" spans="1:11">
      <c r="A774">
        <f>Sheet1!A917</f>
        <v>182203</v>
      </c>
      <c r="B774" t="str">
        <f>Sheet1!B917</f>
        <v>巡逻蟹怪</v>
      </c>
      <c r="C774">
        <f>Sheet1!Q917</f>
        <v>1140</v>
      </c>
      <c r="D774">
        <f>Sheet1!R917</f>
        <v>889</v>
      </c>
      <c r="E774">
        <f>Sheet1!U917</f>
        <v>5</v>
      </c>
      <c r="F774" t="str">
        <f t="shared" ref="F774" si="4068">F773</f>
        <v>&lt;record id="</v>
      </c>
      <c r="G774" t="str">
        <f t="shared" ref="G774" si="4069">G773</f>
        <v>" posx="</v>
      </c>
      <c r="H774" t="str">
        <f t="shared" ref="H774" si="4070">H773</f>
        <v>" posy="</v>
      </c>
      <c r="I774" t="str">
        <f t="shared" ref="I774" si="4071">I773</f>
        <v>" dir="</v>
      </c>
      <c r="J774" t="str">
        <f t="shared" ref="J774" si="4072">J773</f>
        <v>"/&gt;</v>
      </c>
      <c r="K774" t="str">
        <f t="shared" ref="K774" si="4073">F774&amp;A774&amp;G774&amp;C774&amp;H774&amp;D774&amp;I774&amp;E774&amp;J774</f>
        <v>&lt;record id="182203" posx="1140" posy="889" dir="5"/&gt;</v>
      </c>
    </row>
    <row r="775" spans="1:11">
      <c r="A775">
        <f>Sheet1!A918</f>
        <v>182204</v>
      </c>
      <c r="B775" t="str">
        <f>Sheet1!B918</f>
        <v>巡逻海龟</v>
      </c>
      <c r="C775">
        <f>Sheet1!Q918</f>
        <v>1460</v>
      </c>
      <c r="D775">
        <f>Sheet1!R918</f>
        <v>1630</v>
      </c>
      <c r="E775">
        <f>Sheet1!U918</f>
        <v>3</v>
      </c>
      <c r="F775" t="str">
        <f t="shared" ref="F775" si="4074">F774</f>
        <v>&lt;record id="</v>
      </c>
      <c r="G775" t="str">
        <f t="shared" ref="G775" si="4075">G774</f>
        <v>" posx="</v>
      </c>
      <c r="H775" t="str">
        <f t="shared" ref="H775" si="4076">H774</f>
        <v>" posy="</v>
      </c>
      <c r="I775" t="str">
        <f t="shared" ref="I775" si="4077">I774</f>
        <v>" dir="</v>
      </c>
      <c r="J775" t="str">
        <f t="shared" ref="J775" si="4078">J774</f>
        <v>"/&gt;</v>
      </c>
      <c r="K775" t="str">
        <f t="shared" ref="K775" si="4079">F775&amp;A775&amp;G775&amp;C775&amp;H775&amp;D775&amp;I775&amp;E775&amp;J775</f>
        <v>&lt;record id="182204" posx="1460" posy="1630" dir="3"/&gt;</v>
      </c>
    </row>
    <row r="776" spans="1:11">
      <c r="A776">
        <f>Sheet1!A919</f>
        <v>182205</v>
      </c>
      <c r="B776" t="str">
        <f>Sheet1!B919</f>
        <v>蚌精守卫</v>
      </c>
      <c r="C776">
        <f>Sheet1!Q919</f>
        <v>2016</v>
      </c>
      <c r="D776">
        <f>Sheet1!R919</f>
        <v>874</v>
      </c>
      <c r="E776">
        <f>Sheet1!U919</f>
        <v>3</v>
      </c>
      <c r="F776" t="str">
        <f t="shared" ref="F776" si="4080">F775</f>
        <v>&lt;record id="</v>
      </c>
      <c r="G776" t="str">
        <f t="shared" ref="G776" si="4081">G775</f>
        <v>" posx="</v>
      </c>
      <c r="H776" t="str">
        <f t="shared" ref="H776" si="4082">H775</f>
        <v>" posy="</v>
      </c>
      <c r="I776" t="str">
        <f t="shared" ref="I776" si="4083">I775</f>
        <v>" dir="</v>
      </c>
      <c r="J776" t="str">
        <f t="shared" ref="J776" si="4084">J775</f>
        <v>"/&gt;</v>
      </c>
      <c r="K776" t="str">
        <f t="shared" ref="K776" si="4085">F776&amp;A776&amp;G776&amp;C776&amp;H776&amp;D776&amp;I776&amp;E776&amp;J776</f>
        <v>&lt;record id="182205" posx="2016" posy="874" dir="3"/&gt;</v>
      </c>
    </row>
    <row r="777" spans="1:11">
      <c r="A777">
        <f>Sheet1!A920</f>
        <v>182301</v>
      </c>
      <c r="B777" t="str">
        <f>Sheet1!B920</f>
        <v>鲛人守卫</v>
      </c>
      <c r="C777">
        <f>Sheet1!Q920</f>
        <v>563</v>
      </c>
      <c r="D777">
        <f>Sheet1!R920</f>
        <v>789</v>
      </c>
      <c r="E777">
        <f>Sheet1!U920</f>
        <v>3</v>
      </c>
      <c r="F777" t="str">
        <f t="shared" ref="F777" si="4086">F776</f>
        <v>&lt;record id="</v>
      </c>
      <c r="G777" t="str">
        <f t="shared" ref="G777" si="4087">G776</f>
        <v>" posx="</v>
      </c>
      <c r="H777" t="str">
        <f t="shared" ref="H777" si="4088">H776</f>
        <v>" posy="</v>
      </c>
      <c r="I777" t="str">
        <f t="shared" ref="I777" si="4089">I776</f>
        <v>" dir="</v>
      </c>
      <c r="J777" t="str">
        <f t="shared" ref="J777" si="4090">J776</f>
        <v>"/&gt;</v>
      </c>
      <c r="K777" t="str">
        <f t="shared" ref="K777" si="4091">F777&amp;A777&amp;G777&amp;C777&amp;H777&amp;D777&amp;I777&amp;E777&amp;J777</f>
        <v>&lt;record id="182301" posx="563" posy="789" dir="3"/&gt;</v>
      </c>
    </row>
    <row r="778" spans="1:11">
      <c r="A778">
        <f>Sheet1!A921</f>
        <v>182302</v>
      </c>
      <c r="B778" t="str">
        <f>Sheet1!B921</f>
        <v>龙女守将</v>
      </c>
      <c r="C778">
        <f>Sheet1!Q921</f>
        <v>130</v>
      </c>
      <c r="D778">
        <f>Sheet1!R921</f>
        <v>1237</v>
      </c>
      <c r="E778">
        <f>Sheet1!U921</f>
        <v>5</v>
      </c>
      <c r="F778" t="str">
        <f t="shared" ref="F778" si="4092">F777</f>
        <v>&lt;record id="</v>
      </c>
      <c r="G778" t="str">
        <f t="shared" ref="G778" si="4093">G777</f>
        <v>" posx="</v>
      </c>
      <c r="H778" t="str">
        <f t="shared" ref="H778" si="4094">H777</f>
        <v>" posy="</v>
      </c>
      <c r="I778" t="str">
        <f t="shared" ref="I778" si="4095">I777</f>
        <v>" dir="</v>
      </c>
      <c r="J778" t="str">
        <f t="shared" ref="J778" si="4096">J777</f>
        <v>"/&gt;</v>
      </c>
      <c r="K778" t="str">
        <f t="shared" ref="K778" si="4097">F778&amp;A778&amp;G778&amp;C778&amp;H778&amp;D778&amp;I778&amp;E778&amp;J778</f>
        <v>&lt;record id="182302" posx="130" posy="1237" dir="5"/&gt;</v>
      </c>
    </row>
    <row r="779" spans="1:11">
      <c r="A779">
        <f>Sheet1!A922</f>
        <v>182303</v>
      </c>
      <c r="B779" t="str">
        <f>Sheet1!B922</f>
        <v>水族精兵</v>
      </c>
      <c r="C779">
        <f>Sheet1!Q922</f>
        <v>1138</v>
      </c>
      <c r="D779">
        <f>Sheet1!R922</f>
        <v>1441</v>
      </c>
      <c r="E779">
        <f>Sheet1!U922</f>
        <v>1</v>
      </c>
      <c r="F779" t="str">
        <f t="shared" ref="F779" si="4098">F778</f>
        <v>&lt;record id="</v>
      </c>
      <c r="G779" t="str">
        <f t="shared" ref="G779" si="4099">G778</f>
        <v>" posx="</v>
      </c>
      <c r="H779" t="str">
        <f t="shared" ref="H779" si="4100">H778</f>
        <v>" posy="</v>
      </c>
      <c r="I779" t="str">
        <f t="shared" ref="I779" si="4101">I778</f>
        <v>" dir="</v>
      </c>
      <c r="J779" t="str">
        <f t="shared" ref="J779" si="4102">J778</f>
        <v>"/&gt;</v>
      </c>
      <c r="K779" t="str">
        <f t="shared" ref="K779" si="4103">F779&amp;A779&amp;G779&amp;C779&amp;H779&amp;D779&amp;I779&amp;E779&amp;J779</f>
        <v>&lt;record id="182303" posx="1138" posy="1441" dir="1"/&gt;</v>
      </c>
    </row>
    <row r="780" spans="1:11">
      <c r="A780">
        <f>Sheet1!A923</f>
        <v>182304</v>
      </c>
      <c r="B780" t="str">
        <f>Sheet1!B923</f>
        <v>东海校尉</v>
      </c>
      <c r="C780">
        <f>Sheet1!Q923</f>
        <v>1364</v>
      </c>
      <c r="D780">
        <f>Sheet1!R923</f>
        <v>621</v>
      </c>
      <c r="E780">
        <f>Sheet1!U923</f>
        <v>7</v>
      </c>
      <c r="F780" t="str">
        <f t="shared" ref="F780" si="4104">F779</f>
        <v>&lt;record id="</v>
      </c>
      <c r="G780" t="str">
        <f t="shared" ref="G780" si="4105">G779</f>
        <v>" posx="</v>
      </c>
      <c r="H780" t="str">
        <f t="shared" ref="H780" si="4106">H779</f>
        <v>" posy="</v>
      </c>
      <c r="I780" t="str">
        <f t="shared" ref="I780" si="4107">I779</f>
        <v>" dir="</v>
      </c>
      <c r="J780" t="str">
        <f t="shared" ref="J780" si="4108">J779</f>
        <v>"/&gt;</v>
      </c>
      <c r="K780" t="str">
        <f t="shared" ref="K780" si="4109">F780&amp;A780&amp;G780&amp;C780&amp;H780&amp;D780&amp;I780&amp;E780&amp;J780</f>
        <v>&lt;record id="182304" posx="1364" posy="621" dir="7"/&gt;</v>
      </c>
    </row>
    <row r="781" spans="1:11">
      <c r="A781">
        <f>Sheet1!A924</f>
        <v>182305</v>
      </c>
      <c r="B781" t="str">
        <f>Sheet1!B924</f>
        <v>龙宫督军</v>
      </c>
      <c r="C781">
        <f>Sheet1!Q924</f>
        <v>755</v>
      </c>
      <c r="D781">
        <f>Sheet1!R924</f>
        <v>207</v>
      </c>
      <c r="E781">
        <f>Sheet1!U924</f>
        <v>5</v>
      </c>
      <c r="F781" t="str">
        <f t="shared" ref="F781" si="4110">F780</f>
        <v>&lt;record id="</v>
      </c>
      <c r="G781" t="str">
        <f t="shared" ref="G781" si="4111">G780</f>
        <v>" posx="</v>
      </c>
      <c r="H781" t="str">
        <f t="shared" ref="H781" si="4112">H780</f>
        <v>" posy="</v>
      </c>
      <c r="I781" t="str">
        <f t="shared" ref="I781" si="4113">I780</f>
        <v>" dir="</v>
      </c>
      <c r="J781" t="str">
        <f t="shared" ref="J781" si="4114">J780</f>
        <v>"/&gt;</v>
      </c>
      <c r="K781" t="str">
        <f t="shared" ref="K781" si="4115">F781&amp;A781&amp;G781&amp;C781&amp;H781&amp;D781&amp;I781&amp;E781&amp;J781</f>
        <v>&lt;record id="182305" posx="755" posy="207" dir="5"/&gt;</v>
      </c>
    </row>
    <row r="782" spans="1:11">
      <c r="A782">
        <f>Sheet1!A925</f>
        <v>182401</v>
      </c>
      <c r="B782" t="str">
        <f>Sheet1!B925</f>
        <v>伏波将军</v>
      </c>
      <c r="C782">
        <f>Sheet1!Q925</f>
        <v>230</v>
      </c>
      <c r="D782">
        <f>Sheet1!R925</f>
        <v>636</v>
      </c>
      <c r="E782">
        <f>Sheet1!U925</f>
        <v>1</v>
      </c>
      <c r="F782" t="str">
        <f t="shared" ref="F782" si="4116">F781</f>
        <v>&lt;record id="</v>
      </c>
      <c r="G782" t="str">
        <f t="shared" ref="G782" si="4117">G781</f>
        <v>" posx="</v>
      </c>
      <c r="H782" t="str">
        <f t="shared" ref="H782" si="4118">H781</f>
        <v>" posy="</v>
      </c>
      <c r="I782" t="str">
        <f t="shared" ref="I782" si="4119">I781</f>
        <v>" dir="</v>
      </c>
      <c r="J782" t="str">
        <f t="shared" ref="J782" si="4120">J781</f>
        <v>"/&gt;</v>
      </c>
      <c r="K782" t="str">
        <f t="shared" ref="K782" si="4121">F782&amp;A782&amp;G782&amp;C782&amp;H782&amp;D782&amp;I782&amp;E782&amp;J782</f>
        <v>&lt;record id="182401" posx="230" posy="636" dir="1"/&gt;</v>
      </c>
    </row>
    <row r="783" spans="1:11">
      <c r="A783">
        <f>Sheet1!A926</f>
        <v>182402</v>
      </c>
      <c r="B783" t="str">
        <f>Sheet1!B926</f>
        <v>踏浪元帅</v>
      </c>
      <c r="C783">
        <f>Sheet1!Q926</f>
        <v>158</v>
      </c>
      <c r="D783">
        <f>Sheet1!R926</f>
        <v>1168</v>
      </c>
      <c r="E783">
        <f>Sheet1!U926</f>
        <v>5</v>
      </c>
      <c r="F783" t="str">
        <f t="shared" ref="F783" si="4122">F782</f>
        <v>&lt;record id="</v>
      </c>
      <c r="G783" t="str">
        <f t="shared" ref="G783" si="4123">G782</f>
        <v>" posx="</v>
      </c>
      <c r="H783" t="str">
        <f t="shared" ref="H783" si="4124">H782</f>
        <v>" posy="</v>
      </c>
      <c r="I783" t="str">
        <f t="shared" ref="I783" si="4125">I782</f>
        <v>" dir="</v>
      </c>
      <c r="J783" t="str">
        <f t="shared" ref="J783" si="4126">J782</f>
        <v>"/&gt;</v>
      </c>
      <c r="K783" t="str">
        <f t="shared" ref="K783" si="4127">F783&amp;A783&amp;G783&amp;C783&amp;H783&amp;D783&amp;I783&amp;E783&amp;J783</f>
        <v>&lt;record id="182402" posx="158" posy="1168" dir="5"/&gt;</v>
      </c>
    </row>
    <row r="784" spans="1:11">
      <c r="A784">
        <f>Sheet1!A927</f>
        <v>182403</v>
      </c>
      <c r="B784" t="str">
        <f>Sheet1!B927</f>
        <v>龙卫军头领</v>
      </c>
      <c r="C784">
        <f>Sheet1!Q927</f>
        <v>1194</v>
      </c>
      <c r="D784">
        <f>Sheet1!R927</f>
        <v>943</v>
      </c>
      <c r="E784">
        <f>Sheet1!U927</f>
        <v>5</v>
      </c>
      <c r="F784" t="str">
        <f t="shared" ref="F784" si="4128">F783</f>
        <v>&lt;record id="</v>
      </c>
      <c r="G784" t="str">
        <f t="shared" ref="G784" si="4129">G783</f>
        <v>" posx="</v>
      </c>
      <c r="H784" t="str">
        <f t="shared" ref="H784" si="4130">H783</f>
        <v>" posy="</v>
      </c>
      <c r="I784" t="str">
        <f t="shared" ref="I784" si="4131">I783</f>
        <v>" dir="</v>
      </c>
      <c r="J784" t="str">
        <f t="shared" ref="J784" si="4132">J783</f>
        <v>"/&gt;</v>
      </c>
      <c r="K784" t="str">
        <f t="shared" ref="K784" si="4133">F784&amp;A784&amp;G784&amp;C784&amp;H784&amp;D784&amp;I784&amp;E784&amp;J784</f>
        <v>&lt;record id="182403" posx="1194" posy="943" dir="5"/&gt;</v>
      </c>
    </row>
    <row r="785" spans="1:11">
      <c r="A785">
        <f>Sheet1!A928</f>
        <v>182404</v>
      </c>
      <c r="B785" t="str">
        <f>Sheet1!B928</f>
        <v>龙宫公主</v>
      </c>
      <c r="C785">
        <f>Sheet1!Q928</f>
        <v>1599</v>
      </c>
      <c r="D785">
        <f>Sheet1!R928</f>
        <v>1642</v>
      </c>
      <c r="E785">
        <f>Sheet1!U928</f>
        <v>3</v>
      </c>
      <c r="F785" t="str">
        <f t="shared" ref="F785" si="4134">F784</f>
        <v>&lt;record id="</v>
      </c>
      <c r="G785" t="str">
        <f t="shared" ref="G785" si="4135">G784</f>
        <v>" posx="</v>
      </c>
      <c r="H785" t="str">
        <f t="shared" ref="H785" si="4136">H784</f>
        <v>" posy="</v>
      </c>
      <c r="I785" t="str">
        <f t="shared" ref="I785" si="4137">I784</f>
        <v>" dir="</v>
      </c>
      <c r="J785" t="str">
        <f t="shared" ref="J785" si="4138">J784</f>
        <v>"/&gt;</v>
      </c>
      <c r="K785" t="str">
        <f t="shared" ref="K785" si="4139">F785&amp;A785&amp;G785&amp;C785&amp;H785&amp;D785&amp;I785&amp;E785&amp;J785</f>
        <v>&lt;record id="182404" posx="1599" posy="1642" dir="3"/&gt;</v>
      </c>
    </row>
    <row r="786" spans="1:11">
      <c r="A786">
        <f>Sheet1!A929</f>
        <v>182405</v>
      </c>
      <c r="B786" t="str">
        <f>Sheet1!B929</f>
        <v>龙宫驸马</v>
      </c>
      <c r="C786">
        <f>Sheet1!Q929</f>
        <v>1148</v>
      </c>
      <c r="D786">
        <f>Sheet1!R929</f>
        <v>1157</v>
      </c>
      <c r="E786">
        <f>Sheet1!U929</f>
        <v>3</v>
      </c>
      <c r="F786" t="str">
        <f t="shared" ref="F786" si="4140">F785</f>
        <v>&lt;record id="</v>
      </c>
      <c r="G786" t="str">
        <f t="shared" ref="G786" si="4141">G785</f>
        <v>" posx="</v>
      </c>
      <c r="H786" t="str">
        <f t="shared" ref="H786" si="4142">H785</f>
        <v>" posy="</v>
      </c>
      <c r="I786" t="str">
        <f t="shared" ref="I786" si="4143">I785</f>
        <v>" dir="</v>
      </c>
      <c r="J786" t="str">
        <f t="shared" ref="J786" si="4144">J785</f>
        <v>"/&gt;</v>
      </c>
      <c r="K786" t="str">
        <f t="shared" ref="K786" si="4145">F786&amp;A786&amp;G786&amp;C786&amp;H786&amp;D786&amp;I786&amp;E786&amp;J786</f>
        <v>&lt;record id="182405" posx="1148" posy="1157" dir="3"/&gt;</v>
      </c>
    </row>
    <row r="787" spans="1:11">
      <c r="A787">
        <f>Sheet1!A930</f>
        <v>183901</v>
      </c>
      <c r="B787" t="str">
        <f>Sheet1!B930</f>
        <v>勇武龙子</v>
      </c>
      <c r="C787">
        <f>Sheet1!Q930</f>
        <v>544</v>
      </c>
      <c r="D787">
        <f>Sheet1!R930</f>
        <v>769</v>
      </c>
      <c r="E787">
        <f>Sheet1!U930</f>
        <v>3</v>
      </c>
      <c r="F787" t="str">
        <f t="shared" ref="F787" si="4146">F786</f>
        <v>&lt;record id="</v>
      </c>
      <c r="G787" t="str">
        <f t="shared" ref="G787" si="4147">G786</f>
        <v>" posx="</v>
      </c>
      <c r="H787" t="str">
        <f t="shared" ref="H787" si="4148">H786</f>
        <v>" posy="</v>
      </c>
      <c r="I787" t="str">
        <f t="shared" ref="I787" si="4149">I786</f>
        <v>" dir="</v>
      </c>
      <c r="J787" t="str">
        <f t="shared" ref="J787" si="4150">J786</f>
        <v>"/&gt;</v>
      </c>
      <c r="K787" t="str">
        <f t="shared" ref="K787" si="4151">F787&amp;A787&amp;G787&amp;C787&amp;H787&amp;D787&amp;I787&amp;E787&amp;J787</f>
        <v>&lt;record id="183901" posx="544" posy="769" dir="3"/&gt;</v>
      </c>
    </row>
    <row r="788" spans="1:11">
      <c r="A788">
        <f>Sheet1!A931</f>
        <v>183902</v>
      </c>
      <c r="B788" t="str">
        <f>Sheet1!B931</f>
        <v>多谋龙孙</v>
      </c>
      <c r="C788">
        <f>Sheet1!Q931</f>
        <v>125</v>
      </c>
      <c r="D788">
        <f>Sheet1!R931</f>
        <v>1224</v>
      </c>
      <c r="E788">
        <f>Sheet1!U931</f>
        <v>5</v>
      </c>
      <c r="F788" t="str">
        <f t="shared" ref="F788" si="4152">F787</f>
        <v>&lt;record id="</v>
      </c>
      <c r="G788" t="str">
        <f t="shared" ref="G788" si="4153">G787</f>
        <v>" posx="</v>
      </c>
      <c r="H788" t="str">
        <f t="shared" ref="H788" si="4154">H787</f>
        <v>" posy="</v>
      </c>
      <c r="I788" t="str">
        <f t="shared" ref="I788" si="4155">I787</f>
        <v>" dir="</v>
      </c>
      <c r="J788" t="str">
        <f t="shared" ref="J788" si="4156">J787</f>
        <v>"/&gt;</v>
      </c>
      <c r="K788" t="str">
        <f t="shared" ref="K788" si="4157">F788&amp;A788&amp;G788&amp;C788&amp;H788&amp;D788&amp;I788&amp;E788&amp;J788</f>
        <v>&lt;record id="183902" posx="125" posy="1224" dir="5"/&gt;</v>
      </c>
    </row>
    <row r="789" spans="1:11">
      <c r="A789">
        <f>Sheet1!A932</f>
        <v>183903</v>
      </c>
      <c r="B789" t="str">
        <f>Sheet1!B932</f>
        <v>龙宫龙王</v>
      </c>
      <c r="C789">
        <f>Sheet1!Q932</f>
        <v>1139</v>
      </c>
      <c r="D789">
        <f>Sheet1!R932</f>
        <v>1423</v>
      </c>
      <c r="E789">
        <f>Sheet1!U932</f>
        <v>1</v>
      </c>
      <c r="F789" t="str">
        <f t="shared" ref="F789" si="4158">F788</f>
        <v>&lt;record id="</v>
      </c>
      <c r="G789" t="str">
        <f t="shared" ref="G789" si="4159">G788</f>
        <v>" posx="</v>
      </c>
      <c r="H789" t="str">
        <f t="shared" ref="H789" si="4160">H788</f>
        <v>" posy="</v>
      </c>
      <c r="I789" t="str">
        <f t="shared" ref="I789" si="4161">I788</f>
        <v>" dir="</v>
      </c>
      <c r="J789" t="str">
        <f t="shared" ref="J789" si="4162">J788</f>
        <v>"/&gt;</v>
      </c>
      <c r="K789" t="str">
        <f t="shared" ref="K789" si="4163">F789&amp;A789&amp;G789&amp;C789&amp;H789&amp;D789&amp;I789&amp;E789&amp;J789</f>
        <v>&lt;record id="183903" posx="1139" posy="1423" dir="1"/&gt;</v>
      </c>
    </row>
    <row r="790" spans="1:11">
      <c r="A790">
        <f>Sheet1!A933</f>
        <v>183904</v>
      </c>
      <c r="B790" t="str">
        <f>Sheet1!B933</f>
        <v>灵感大王</v>
      </c>
      <c r="C790">
        <f>Sheet1!Q933</f>
        <v>1301</v>
      </c>
      <c r="D790">
        <f>Sheet1!R933</f>
        <v>607</v>
      </c>
      <c r="E790">
        <f>Sheet1!U933</f>
        <v>7</v>
      </c>
      <c r="F790" t="str">
        <f t="shared" ref="F790" si="4164">F789</f>
        <v>&lt;record id="</v>
      </c>
      <c r="G790" t="str">
        <f t="shared" ref="G790" si="4165">G789</f>
        <v>" posx="</v>
      </c>
      <c r="H790" t="str">
        <f t="shared" ref="H790" si="4166">H789</f>
        <v>" posy="</v>
      </c>
      <c r="I790" t="str">
        <f t="shared" ref="I790" si="4167">I789</f>
        <v>" dir="</v>
      </c>
      <c r="J790" t="str">
        <f t="shared" ref="J790" si="4168">J789</f>
        <v>"/&gt;</v>
      </c>
      <c r="K790" t="str">
        <f t="shared" ref="K790" si="4169">F790&amp;A790&amp;G790&amp;C790&amp;H790&amp;D790&amp;I790&amp;E790&amp;J790</f>
        <v>&lt;record id="183904" posx="1301" posy="607" dir="7"/&gt;</v>
      </c>
    </row>
    <row r="791" spans="1:11">
      <c r="A791">
        <f>Sheet1!A934</f>
        <v>183905</v>
      </c>
      <c r="B791" t="str">
        <f>Sheet1!B934</f>
        <v>蜃气妖分身</v>
      </c>
      <c r="C791">
        <f>Sheet1!Q934</f>
        <v>696</v>
      </c>
      <c r="D791">
        <f>Sheet1!R934</f>
        <v>217</v>
      </c>
      <c r="E791">
        <f>Sheet1!U934</f>
        <v>5</v>
      </c>
      <c r="F791" t="str">
        <f t="shared" ref="F791" si="4170">F790</f>
        <v>&lt;record id="</v>
      </c>
      <c r="G791" t="str">
        <f t="shared" ref="G791" si="4171">G790</f>
        <v>" posx="</v>
      </c>
      <c r="H791" t="str">
        <f t="shared" ref="H791" si="4172">H790</f>
        <v>" posy="</v>
      </c>
      <c r="I791" t="str">
        <f t="shared" ref="I791" si="4173">I790</f>
        <v>" dir="</v>
      </c>
      <c r="J791" t="str">
        <f t="shared" ref="J791" si="4174">J790</f>
        <v>"/&gt;</v>
      </c>
      <c r="K791" t="str">
        <f t="shared" ref="K791" si="4175">F791&amp;A791&amp;G791&amp;C791&amp;H791&amp;D791&amp;I791&amp;E791&amp;J791</f>
        <v>&lt;record id="183905" posx="696" posy="217" dir="5"/&gt;</v>
      </c>
    </row>
    <row r="792" spans="1:11">
      <c r="A792">
        <f>Sheet1!A935</f>
        <v>182501</v>
      </c>
      <c r="B792" t="str">
        <f>Sheet1!B935</f>
        <v>饿死鬼</v>
      </c>
      <c r="C792">
        <f>Sheet1!Q935</f>
        <v>376</v>
      </c>
      <c r="D792">
        <f>Sheet1!R935</f>
        <v>415</v>
      </c>
      <c r="E792">
        <f>Sheet1!U935</f>
        <v>3</v>
      </c>
      <c r="F792" t="str">
        <f t="shared" ref="F792" si="4176">F791</f>
        <v>&lt;record id="</v>
      </c>
      <c r="G792" t="str">
        <f t="shared" ref="G792" si="4177">G791</f>
        <v>" posx="</v>
      </c>
      <c r="H792" t="str">
        <f t="shared" ref="H792" si="4178">H791</f>
        <v>" posy="</v>
      </c>
      <c r="I792" t="str">
        <f t="shared" ref="I792" si="4179">I791</f>
        <v>" dir="</v>
      </c>
      <c r="J792" t="str">
        <f t="shared" ref="J792" si="4180">J791</f>
        <v>"/&gt;</v>
      </c>
      <c r="K792" t="str">
        <f t="shared" ref="K792" si="4181">F792&amp;A792&amp;G792&amp;C792&amp;H792&amp;D792&amp;I792&amp;E792&amp;J792</f>
        <v>&lt;record id="182501" posx="376" posy="415" dir="3"/&gt;</v>
      </c>
    </row>
    <row r="793" spans="1:11">
      <c r="A793">
        <f>Sheet1!A936</f>
        <v>182502</v>
      </c>
      <c r="B793" t="str">
        <f>Sheet1!B936</f>
        <v>吊死鬼</v>
      </c>
      <c r="C793">
        <f>Sheet1!Q936</f>
        <v>242</v>
      </c>
      <c r="D793">
        <f>Sheet1!R936</f>
        <v>817</v>
      </c>
      <c r="E793">
        <f>Sheet1!U936</f>
        <v>5</v>
      </c>
      <c r="F793" t="str">
        <f t="shared" ref="F793" si="4182">F792</f>
        <v>&lt;record id="</v>
      </c>
      <c r="G793" t="str">
        <f t="shared" ref="G793" si="4183">G792</f>
        <v>" posx="</v>
      </c>
      <c r="H793" t="str">
        <f t="shared" ref="H793" si="4184">H792</f>
        <v>" posy="</v>
      </c>
      <c r="I793" t="str">
        <f t="shared" ref="I793" si="4185">I792</f>
        <v>" dir="</v>
      </c>
      <c r="J793" t="str">
        <f t="shared" ref="J793" si="4186">J792</f>
        <v>"/&gt;</v>
      </c>
      <c r="K793" t="str">
        <f t="shared" ref="K793" si="4187">F793&amp;A793&amp;G793&amp;C793&amp;H793&amp;D793&amp;I793&amp;E793&amp;J793</f>
        <v>&lt;record id="182502" posx="242" posy="817" dir="5"/&gt;</v>
      </c>
    </row>
    <row r="794" spans="1:11">
      <c r="A794">
        <f>Sheet1!A937</f>
        <v>182503</v>
      </c>
      <c r="B794" t="str">
        <f>Sheet1!B937</f>
        <v>血糊鬼</v>
      </c>
      <c r="C794">
        <f>Sheet1!Q937</f>
        <v>621</v>
      </c>
      <c r="D794">
        <f>Sheet1!R937</f>
        <v>1065</v>
      </c>
      <c r="E794">
        <f>Sheet1!U937</f>
        <v>1</v>
      </c>
      <c r="F794" t="str">
        <f t="shared" ref="F794" si="4188">F793</f>
        <v>&lt;record id="</v>
      </c>
      <c r="G794" t="str">
        <f t="shared" ref="G794" si="4189">G793</f>
        <v>" posx="</v>
      </c>
      <c r="H794" t="str">
        <f t="shared" ref="H794" si="4190">H793</f>
        <v>" posy="</v>
      </c>
      <c r="I794" t="str">
        <f t="shared" ref="I794" si="4191">I793</f>
        <v>" dir="</v>
      </c>
      <c r="J794" t="str">
        <f t="shared" ref="J794" si="4192">J793</f>
        <v>"/&gt;</v>
      </c>
      <c r="K794" t="str">
        <f t="shared" ref="K794" si="4193">F794&amp;A794&amp;G794&amp;C794&amp;H794&amp;D794&amp;I794&amp;E794&amp;J794</f>
        <v>&lt;record id="182503" posx="621" posy="1065" dir="1"/&gt;</v>
      </c>
    </row>
    <row r="795" spans="1:11">
      <c r="A795">
        <f>Sheet1!A938</f>
        <v>182504</v>
      </c>
      <c r="B795" t="str">
        <f>Sheet1!B938</f>
        <v>落尸鬼</v>
      </c>
      <c r="C795">
        <f>Sheet1!Q938</f>
        <v>994</v>
      </c>
      <c r="D795">
        <f>Sheet1!R938</f>
        <v>869</v>
      </c>
      <c r="E795">
        <f>Sheet1!U938</f>
        <v>7</v>
      </c>
      <c r="F795" t="str">
        <f t="shared" ref="F795" si="4194">F794</f>
        <v>&lt;record id="</v>
      </c>
      <c r="G795" t="str">
        <f t="shared" ref="G795" si="4195">G794</f>
        <v>" posx="</v>
      </c>
      <c r="H795" t="str">
        <f t="shared" ref="H795" si="4196">H794</f>
        <v>" posy="</v>
      </c>
      <c r="I795" t="str">
        <f t="shared" ref="I795" si="4197">I794</f>
        <v>" dir="</v>
      </c>
      <c r="J795" t="str">
        <f t="shared" ref="J795" si="4198">J794</f>
        <v>"/&gt;</v>
      </c>
      <c r="K795" t="str">
        <f t="shared" ref="K795" si="4199">F795&amp;A795&amp;G795&amp;C795&amp;H795&amp;D795&amp;I795&amp;E795&amp;J795</f>
        <v>&lt;record id="182504" posx="994" posy="869" dir="7"/&gt;</v>
      </c>
    </row>
    <row r="796" spans="1:11">
      <c r="A796">
        <f>Sheet1!A939</f>
        <v>182505</v>
      </c>
      <c r="B796" t="str">
        <f>Sheet1!B939</f>
        <v>哨声鬼</v>
      </c>
      <c r="C796">
        <f>Sheet1!Q939</f>
        <v>1386</v>
      </c>
      <c r="D796">
        <f>Sheet1!R939</f>
        <v>1258</v>
      </c>
      <c r="E796">
        <f>Sheet1!U939</f>
        <v>5</v>
      </c>
      <c r="F796" t="str">
        <f t="shared" ref="F796" si="4200">F795</f>
        <v>&lt;record id="</v>
      </c>
      <c r="G796" t="str">
        <f t="shared" ref="G796" si="4201">G795</f>
        <v>" posx="</v>
      </c>
      <c r="H796" t="str">
        <f t="shared" ref="H796" si="4202">H795</f>
        <v>" posy="</v>
      </c>
      <c r="I796" t="str">
        <f t="shared" ref="I796" si="4203">I795</f>
        <v>" dir="</v>
      </c>
      <c r="J796" t="str">
        <f t="shared" ref="J796" si="4204">J795</f>
        <v>"/&gt;</v>
      </c>
      <c r="K796" t="str">
        <f t="shared" ref="K796" si="4205">F796&amp;A796&amp;G796&amp;C796&amp;H796&amp;D796&amp;I796&amp;E796&amp;J796</f>
        <v>&lt;record id="182505" posx="1386" posy="1258" dir="5"/&gt;</v>
      </c>
    </row>
    <row r="797" spans="1:11">
      <c r="A797">
        <f>Sheet1!A940</f>
        <v>182601</v>
      </c>
      <c r="B797" t="str">
        <f>Sheet1!B940</f>
        <v>无头鬼</v>
      </c>
      <c r="C797">
        <f>Sheet1!Q940</f>
        <v>1534</v>
      </c>
      <c r="D797">
        <f>Sheet1!R940</f>
        <v>930</v>
      </c>
      <c r="E797">
        <f>Sheet1!U940</f>
        <v>1</v>
      </c>
      <c r="F797" t="str">
        <f t="shared" ref="F797" si="4206">F796</f>
        <v>&lt;record id="</v>
      </c>
      <c r="G797" t="str">
        <f t="shared" ref="G797" si="4207">G796</f>
        <v>" posx="</v>
      </c>
      <c r="H797" t="str">
        <f t="shared" ref="H797" si="4208">H796</f>
        <v>" posy="</v>
      </c>
      <c r="I797" t="str">
        <f t="shared" ref="I797" si="4209">I796</f>
        <v>" dir="</v>
      </c>
      <c r="J797" t="str">
        <f t="shared" ref="J797:J802" si="4210">J796</f>
        <v>"/&gt;</v>
      </c>
      <c r="K797" t="str">
        <f t="shared" ref="K797" si="4211">F797&amp;A797&amp;G797&amp;C797&amp;H797&amp;D797&amp;I797&amp;E797&amp;J797</f>
        <v>&lt;record id="182601" posx="1534" posy="930" dir="1"/&gt;</v>
      </c>
    </row>
    <row r="798" spans="1:11">
      <c r="A798">
        <f>Sheet1!A941</f>
        <v>182602</v>
      </c>
      <c r="B798" t="str">
        <f>Sheet1!B941</f>
        <v>话痨鬼</v>
      </c>
      <c r="C798">
        <f>Sheet1!Q941</f>
        <v>1217</v>
      </c>
      <c r="D798">
        <f>Sheet1!R941</f>
        <v>475</v>
      </c>
      <c r="E798">
        <f>Sheet1!U941</f>
        <v>5</v>
      </c>
      <c r="F798" t="str">
        <f t="shared" ref="F798:F803" si="4212">F797</f>
        <v>&lt;record id="</v>
      </c>
      <c r="G798" t="str">
        <f t="shared" ref="G798" si="4213">G797</f>
        <v>" posx="</v>
      </c>
      <c r="H798" t="str">
        <f t="shared" ref="H798" si="4214">H797</f>
        <v>" posy="</v>
      </c>
      <c r="I798" t="str">
        <f t="shared" ref="I798:I802" si="4215">I797</f>
        <v>" dir="</v>
      </c>
      <c r="J798" t="str">
        <f t="shared" si="4210"/>
        <v>"/&gt;</v>
      </c>
      <c r="K798" t="str">
        <f t="shared" ref="K798:K803" si="4216">F798&amp;A798&amp;G798&amp;C798&amp;H798&amp;D798&amp;I798&amp;E798&amp;J798</f>
        <v>&lt;record id="182602" posx="1217" posy="475" dir="5"/&gt;</v>
      </c>
    </row>
    <row r="799" spans="1:11">
      <c r="A799">
        <f>Sheet1!A942</f>
        <v>182603</v>
      </c>
      <c r="B799" t="str">
        <f>Sheet1!B942</f>
        <v>欠债鬼</v>
      </c>
      <c r="C799">
        <f>Sheet1!Q942</f>
        <v>1002</v>
      </c>
      <c r="D799">
        <f>Sheet1!R942</f>
        <v>949</v>
      </c>
      <c r="E799">
        <f>Sheet1!U942</f>
        <v>5</v>
      </c>
      <c r="F799" t="str">
        <f t="shared" si="4212"/>
        <v>&lt;record id="</v>
      </c>
      <c r="G799" t="str">
        <f t="shared" ref="G799" si="4217">G798</f>
        <v>" posx="</v>
      </c>
      <c r="H799" t="str">
        <f t="shared" ref="H799:H802" si="4218">H798</f>
        <v>" posy="</v>
      </c>
      <c r="I799" t="str">
        <f t="shared" si="4215"/>
        <v>" dir="</v>
      </c>
      <c r="J799" t="str">
        <f t="shared" si="4210"/>
        <v>"/&gt;</v>
      </c>
      <c r="K799" t="str">
        <f t="shared" si="4216"/>
        <v>&lt;record id="182603" posx="1002" posy="949" dir="5"/&gt;</v>
      </c>
    </row>
    <row r="800" spans="1:11">
      <c r="A800">
        <f>Sheet1!A943</f>
        <v>182604</v>
      </c>
      <c r="B800" t="str">
        <f>Sheet1!B943</f>
        <v>落水鬼</v>
      </c>
      <c r="C800">
        <f>Sheet1!Q943</f>
        <v>694</v>
      </c>
      <c r="D800">
        <f>Sheet1!R943</f>
        <v>1286</v>
      </c>
      <c r="E800">
        <f>Sheet1!U943</f>
        <v>3</v>
      </c>
      <c r="F800" t="str">
        <f t="shared" si="4212"/>
        <v>&lt;record id="</v>
      </c>
      <c r="G800" t="str">
        <f t="shared" ref="G800:G802" si="4219">G799</f>
        <v>" posx="</v>
      </c>
      <c r="H800" t="str">
        <f t="shared" si="4218"/>
        <v>" posy="</v>
      </c>
      <c r="I800" t="str">
        <f t="shared" si="4215"/>
        <v>" dir="</v>
      </c>
      <c r="J800" t="str">
        <f t="shared" si="4210"/>
        <v>"/&gt;</v>
      </c>
      <c r="K800" t="str">
        <f t="shared" si="4216"/>
        <v>&lt;record id="182604" posx="694" posy="1286" dir="3"/&gt;</v>
      </c>
    </row>
    <row r="801" spans="1:11">
      <c r="A801">
        <f>Sheet1!A944</f>
        <v>182605</v>
      </c>
      <c r="B801" t="str">
        <f>Sheet1!B944</f>
        <v>还情鬼</v>
      </c>
      <c r="C801">
        <f>Sheet1!Q944</f>
        <v>212</v>
      </c>
      <c r="D801">
        <f>Sheet1!R944</f>
        <v>1031</v>
      </c>
      <c r="E801">
        <f>Sheet1!U944</f>
        <v>3</v>
      </c>
      <c r="F801" t="str">
        <f t="shared" si="4212"/>
        <v>&lt;record id="</v>
      </c>
      <c r="G801" t="str">
        <f t="shared" si="4219"/>
        <v>" posx="</v>
      </c>
      <c r="H801" t="str">
        <f t="shared" si="4218"/>
        <v>" posy="</v>
      </c>
      <c r="I801" t="str">
        <f t="shared" si="4215"/>
        <v>" dir="</v>
      </c>
      <c r="J801" t="str">
        <f t="shared" si="4210"/>
        <v>"/&gt;</v>
      </c>
      <c r="K801" t="str">
        <f t="shared" si="4216"/>
        <v>&lt;record id="182605" posx="212" posy="1031" dir="3"/&gt;</v>
      </c>
    </row>
    <row r="802" spans="1:11">
      <c r="A802">
        <f>Sheet1!A945</f>
        <v>182701</v>
      </c>
      <c r="B802" t="str">
        <f>Sheet1!B945</f>
        <v>迷魂鬼</v>
      </c>
      <c r="C802">
        <f>Sheet1!Q945</f>
        <v>376</v>
      </c>
      <c r="D802">
        <f>Sheet1!R945</f>
        <v>415</v>
      </c>
      <c r="E802">
        <f>Sheet1!U945</f>
        <v>3</v>
      </c>
      <c r="F802" t="str">
        <f t="shared" si="4212"/>
        <v>&lt;record id="</v>
      </c>
      <c r="G802" t="str">
        <f t="shared" si="4219"/>
        <v>" posx="</v>
      </c>
      <c r="H802" t="str">
        <f t="shared" si="4218"/>
        <v>" posy="</v>
      </c>
      <c r="I802" t="str">
        <f t="shared" si="4215"/>
        <v>" dir="</v>
      </c>
      <c r="J802" t="str">
        <f t="shared" si="4210"/>
        <v>"/&gt;</v>
      </c>
      <c r="K802" t="str">
        <f t="shared" si="4216"/>
        <v>&lt;record id="182701" posx="376" posy="415" dir="3"/&gt;</v>
      </c>
    </row>
    <row r="803" spans="1:11">
      <c r="A803">
        <f>Sheet1!A946</f>
        <v>182702</v>
      </c>
      <c r="B803" t="str">
        <f>Sheet1!B946</f>
        <v>还魂鬼</v>
      </c>
      <c r="C803">
        <f>Sheet1!Q946</f>
        <v>242</v>
      </c>
      <c r="D803">
        <f>Sheet1!R946</f>
        <v>817</v>
      </c>
      <c r="E803">
        <f>Sheet1!U946</f>
        <v>5</v>
      </c>
      <c r="F803" t="str">
        <f t="shared" si="4212"/>
        <v>&lt;record id="</v>
      </c>
      <c r="G803" t="str">
        <f t="shared" ref="G803" si="4220">G802</f>
        <v>" posx="</v>
      </c>
      <c r="H803" t="str">
        <f t="shared" ref="H803" si="4221">H802</f>
        <v>" posy="</v>
      </c>
      <c r="I803" t="str">
        <f t="shared" ref="I803" si="4222">I802</f>
        <v>" dir="</v>
      </c>
      <c r="J803" t="str">
        <f t="shared" ref="J803" si="4223">J802</f>
        <v>"/&gt;</v>
      </c>
      <c r="K803" t="str">
        <f t="shared" si="4216"/>
        <v>&lt;record id="182702" posx="242" posy="817" dir="5"/&gt;</v>
      </c>
    </row>
    <row r="804" spans="1:11">
      <c r="A804">
        <f>Sheet1!A947</f>
        <v>182703</v>
      </c>
      <c r="B804" t="str">
        <f>Sheet1!B947</f>
        <v>撞死鬼</v>
      </c>
      <c r="C804">
        <f>Sheet1!Q947</f>
        <v>621</v>
      </c>
      <c r="D804">
        <f>Sheet1!R947</f>
        <v>1065</v>
      </c>
      <c r="E804">
        <f>Sheet1!U947</f>
        <v>1</v>
      </c>
      <c r="F804" t="str">
        <f t="shared" ref="F804" si="4224">F803</f>
        <v>&lt;record id="</v>
      </c>
      <c r="G804" t="str">
        <f t="shared" ref="G804" si="4225">G803</f>
        <v>" posx="</v>
      </c>
      <c r="H804" t="str">
        <f t="shared" ref="H804" si="4226">H803</f>
        <v>" posy="</v>
      </c>
      <c r="I804" t="str">
        <f t="shared" ref="I804" si="4227">I803</f>
        <v>" dir="</v>
      </c>
      <c r="J804" t="str">
        <f t="shared" ref="J804" si="4228">J803</f>
        <v>"/&gt;</v>
      </c>
      <c r="K804" t="str">
        <f t="shared" ref="K804" si="4229">F804&amp;A804&amp;G804&amp;C804&amp;H804&amp;D804&amp;I804&amp;E804&amp;J804</f>
        <v>&lt;record id="182703" posx="621" posy="1065" dir="1"/&gt;</v>
      </c>
    </row>
    <row r="805" spans="1:11">
      <c r="A805">
        <f>Sheet1!A948</f>
        <v>182704</v>
      </c>
      <c r="B805" t="str">
        <f>Sheet1!B948</f>
        <v>影子鬼</v>
      </c>
      <c r="C805">
        <f>Sheet1!Q948</f>
        <v>994</v>
      </c>
      <c r="D805">
        <f>Sheet1!R948</f>
        <v>869</v>
      </c>
      <c r="E805">
        <f>Sheet1!U948</f>
        <v>7</v>
      </c>
      <c r="F805" t="str">
        <f t="shared" ref="F805" si="4230">F804</f>
        <v>&lt;record id="</v>
      </c>
      <c r="G805" t="str">
        <f t="shared" ref="G805" si="4231">G804</f>
        <v>" posx="</v>
      </c>
      <c r="H805" t="str">
        <f t="shared" ref="H805" si="4232">H804</f>
        <v>" posy="</v>
      </c>
      <c r="I805" t="str">
        <f t="shared" ref="I805" si="4233">I804</f>
        <v>" dir="</v>
      </c>
      <c r="J805" t="str">
        <f t="shared" ref="J805" si="4234">J804</f>
        <v>"/&gt;</v>
      </c>
      <c r="K805" t="str">
        <f t="shared" ref="K805" si="4235">F805&amp;A805&amp;G805&amp;C805&amp;H805&amp;D805&amp;I805&amp;E805&amp;J805</f>
        <v>&lt;record id="182704" posx="994" posy="869" dir="7"/&gt;</v>
      </c>
    </row>
    <row r="806" spans="1:11">
      <c r="A806">
        <f>Sheet1!A949</f>
        <v>182705</v>
      </c>
      <c r="B806" t="str">
        <f>Sheet1!B949</f>
        <v>追梦鬼</v>
      </c>
      <c r="C806">
        <f>Sheet1!Q949</f>
        <v>1386</v>
      </c>
      <c r="D806">
        <f>Sheet1!R949</f>
        <v>1258</v>
      </c>
      <c r="E806">
        <f>Sheet1!U949</f>
        <v>5</v>
      </c>
      <c r="F806" t="str">
        <f t="shared" ref="F806" si="4236">F805</f>
        <v>&lt;record id="</v>
      </c>
      <c r="G806" t="str">
        <f t="shared" ref="G806" si="4237">G805</f>
        <v>" posx="</v>
      </c>
      <c r="H806" t="str">
        <f t="shared" ref="H806" si="4238">H805</f>
        <v>" posy="</v>
      </c>
      <c r="I806" t="str">
        <f t="shared" ref="I806" si="4239">I805</f>
        <v>" dir="</v>
      </c>
      <c r="J806" t="str">
        <f t="shared" ref="J806" si="4240">J805</f>
        <v>"/&gt;</v>
      </c>
      <c r="K806" t="str">
        <f t="shared" ref="K806" si="4241">F806&amp;A806&amp;G806&amp;C806&amp;H806&amp;D806&amp;I806&amp;E806&amp;J806</f>
        <v>&lt;record id="182705" posx="1386" posy="1258" dir="5"/&gt;</v>
      </c>
    </row>
    <row r="807" spans="1:11">
      <c r="A807">
        <f>Sheet1!A950</f>
        <v>182801</v>
      </c>
      <c r="B807" t="str">
        <f>Sheet1!B950</f>
        <v>晦气鬼</v>
      </c>
      <c r="C807">
        <f>Sheet1!Q950</f>
        <v>1534</v>
      </c>
      <c r="D807">
        <f>Sheet1!R950</f>
        <v>930</v>
      </c>
      <c r="E807">
        <f>Sheet1!U950</f>
        <v>1</v>
      </c>
      <c r="F807" t="str">
        <f t="shared" ref="F807" si="4242">F806</f>
        <v>&lt;record id="</v>
      </c>
      <c r="G807" t="str">
        <f t="shared" ref="G807" si="4243">G806</f>
        <v>" posx="</v>
      </c>
      <c r="H807" t="str">
        <f t="shared" ref="H807" si="4244">H806</f>
        <v>" posy="</v>
      </c>
      <c r="I807" t="str">
        <f t="shared" ref="I807" si="4245">I806</f>
        <v>" dir="</v>
      </c>
      <c r="J807" t="str">
        <f t="shared" ref="J807" si="4246">J806</f>
        <v>"/&gt;</v>
      </c>
      <c r="K807" t="str">
        <f t="shared" ref="K807" si="4247">F807&amp;A807&amp;G807&amp;C807&amp;H807&amp;D807&amp;I807&amp;E807&amp;J807</f>
        <v>&lt;record id="182801" posx="1534" posy="930" dir="1"/&gt;</v>
      </c>
    </row>
    <row r="808" spans="1:11">
      <c r="A808">
        <f>Sheet1!A951</f>
        <v>182802</v>
      </c>
      <c r="B808" t="str">
        <f>Sheet1!B951</f>
        <v>喜气鬼</v>
      </c>
      <c r="C808">
        <f>Sheet1!Q951</f>
        <v>1217</v>
      </c>
      <c r="D808">
        <f>Sheet1!R951</f>
        <v>475</v>
      </c>
      <c r="E808">
        <f>Sheet1!U951</f>
        <v>5</v>
      </c>
      <c r="F808" t="str">
        <f t="shared" ref="F808" si="4248">F807</f>
        <v>&lt;record id="</v>
      </c>
      <c r="G808" t="str">
        <f t="shared" ref="G808" si="4249">G807</f>
        <v>" posx="</v>
      </c>
      <c r="H808" t="str">
        <f t="shared" ref="H808" si="4250">H807</f>
        <v>" posy="</v>
      </c>
      <c r="I808" t="str">
        <f t="shared" ref="I808" si="4251">I807</f>
        <v>" dir="</v>
      </c>
      <c r="J808" t="str">
        <f t="shared" ref="J808" si="4252">J807</f>
        <v>"/&gt;</v>
      </c>
      <c r="K808" t="str">
        <f t="shared" ref="K808" si="4253">F808&amp;A808&amp;G808&amp;C808&amp;H808&amp;D808&amp;I808&amp;E808&amp;J808</f>
        <v>&lt;record id="182802" posx="1217" posy="475" dir="5"/&gt;</v>
      </c>
    </row>
    <row r="809" spans="1:11">
      <c r="A809">
        <f>Sheet1!A952</f>
        <v>182803</v>
      </c>
      <c r="B809" t="str">
        <f>Sheet1!B952</f>
        <v>上身鬼</v>
      </c>
      <c r="C809">
        <f>Sheet1!Q952</f>
        <v>1002</v>
      </c>
      <c r="D809">
        <f>Sheet1!R952</f>
        <v>949</v>
      </c>
      <c r="E809">
        <f>Sheet1!U952</f>
        <v>5</v>
      </c>
      <c r="F809" t="str">
        <f t="shared" ref="F809" si="4254">F808</f>
        <v>&lt;record id="</v>
      </c>
      <c r="G809" t="str">
        <f t="shared" ref="G809" si="4255">G808</f>
        <v>" posx="</v>
      </c>
      <c r="H809" t="str">
        <f t="shared" ref="H809" si="4256">H808</f>
        <v>" posy="</v>
      </c>
      <c r="I809" t="str">
        <f t="shared" ref="I809" si="4257">I808</f>
        <v>" dir="</v>
      </c>
      <c r="J809" t="str">
        <f t="shared" ref="J809" si="4258">J808</f>
        <v>"/&gt;</v>
      </c>
      <c r="K809" t="str">
        <f t="shared" ref="K809" si="4259">F809&amp;A809&amp;G809&amp;C809&amp;H809&amp;D809&amp;I809&amp;E809&amp;J809</f>
        <v>&lt;record id="182803" posx="1002" posy="949" dir="5"/&gt;</v>
      </c>
    </row>
    <row r="810" spans="1:11">
      <c r="A810">
        <f>Sheet1!A953</f>
        <v>182804</v>
      </c>
      <c r="B810" t="str">
        <f>Sheet1!B953</f>
        <v>怨气鬼</v>
      </c>
      <c r="C810">
        <f>Sheet1!Q953</f>
        <v>694</v>
      </c>
      <c r="D810">
        <f>Sheet1!R953</f>
        <v>1286</v>
      </c>
      <c r="E810">
        <f>Sheet1!U953</f>
        <v>3</v>
      </c>
      <c r="F810" t="str">
        <f t="shared" ref="F810" si="4260">F809</f>
        <v>&lt;record id="</v>
      </c>
      <c r="G810" t="str">
        <f t="shared" ref="G810" si="4261">G809</f>
        <v>" posx="</v>
      </c>
      <c r="H810" t="str">
        <f t="shared" ref="H810" si="4262">H809</f>
        <v>" posy="</v>
      </c>
      <c r="I810" t="str">
        <f t="shared" ref="I810" si="4263">I809</f>
        <v>" dir="</v>
      </c>
      <c r="J810" t="str">
        <f t="shared" ref="J810" si="4264">J809</f>
        <v>"/&gt;</v>
      </c>
      <c r="K810" t="str">
        <f t="shared" ref="K810" si="4265">F810&amp;A810&amp;G810&amp;C810&amp;H810&amp;D810&amp;I810&amp;E810&amp;J810</f>
        <v>&lt;record id="182804" posx="694" posy="1286" dir="3"/&gt;</v>
      </c>
    </row>
    <row r="811" spans="1:11">
      <c r="A811">
        <f>Sheet1!A954</f>
        <v>182805</v>
      </c>
      <c r="B811" t="str">
        <f>Sheet1!B954</f>
        <v>丧气鬼</v>
      </c>
      <c r="C811">
        <f>Sheet1!Q954</f>
        <v>212</v>
      </c>
      <c r="D811">
        <f>Sheet1!R954</f>
        <v>1031</v>
      </c>
      <c r="E811">
        <f>Sheet1!U954</f>
        <v>3</v>
      </c>
      <c r="F811" t="str">
        <f t="shared" ref="F811" si="4266">F810</f>
        <v>&lt;record id="</v>
      </c>
      <c r="G811" t="str">
        <f t="shared" ref="G811" si="4267">G810</f>
        <v>" posx="</v>
      </c>
      <c r="H811" t="str">
        <f t="shared" ref="H811" si="4268">H810</f>
        <v>" posy="</v>
      </c>
      <c r="I811" t="str">
        <f t="shared" ref="I811" si="4269">I810</f>
        <v>" dir="</v>
      </c>
      <c r="J811" t="str">
        <f t="shared" ref="J811" si="4270">J810</f>
        <v>"/&gt;</v>
      </c>
      <c r="K811" t="str">
        <f t="shared" ref="K811" si="4271">F811&amp;A811&amp;G811&amp;C811&amp;H811&amp;D811&amp;I811&amp;E811&amp;J811</f>
        <v>&lt;record id="182805" posx="212" posy="1031" dir="3"/&gt;</v>
      </c>
    </row>
    <row r="812" spans="1:11">
      <c r="A812">
        <f>Sheet1!A955</f>
        <v>182901</v>
      </c>
      <c r="B812" t="str">
        <f>Sheet1!B955</f>
        <v>小僵尸</v>
      </c>
      <c r="C812">
        <f>Sheet1!Q955</f>
        <v>376</v>
      </c>
      <c r="D812">
        <f>Sheet1!R955</f>
        <v>415</v>
      </c>
      <c r="E812">
        <f>Sheet1!U955</f>
        <v>3</v>
      </c>
      <c r="F812" t="str">
        <f t="shared" ref="F812" si="4272">F811</f>
        <v>&lt;record id="</v>
      </c>
      <c r="G812" t="str">
        <f t="shared" ref="G812" si="4273">G811</f>
        <v>" posx="</v>
      </c>
      <c r="H812" t="str">
        <f t="shared" ref="H812" si="4274">H811</f>
        <v>" posy="</v>
      </c>
      <c r="I812" t="str">
        <f t="shared" ref="I812" si="4275">I811</f>
        <v>" dir="</v>
      </c>
      <c r="J812" t="str">
        <f t="shared" ref="J812" si="4276">J811</f>
        <v>"/&gt;</v>
      </c>
      <c r="K812" t="str">
        <f t="shared" ref="K812" si="4277">F812&amp;A812&amp;G812&amp;C812&amp;H812&amp;D812&amp;I812&amp;E812&amp;J812</f>
        <v>&lt;record id="182901" posx="376" posy="415" dir="3"/&gt;</v>
      </c>
    </row>
    <row r="813" spans="1:11">
      <c r="A813">
        <f>Sheet1!A956</f>
        <v>182902</v>
      </c>
      <c r="B813" t="str">
        <f>Sheet1!B956</f>
        <v>白毛僵尸</v>
      </c>
      <c r="C813">
        <f>Sheet1!Q956</f>
        <v>242</v>
      </c>
      <c r="D813">
        <f>Sheet1!R956</f>
        <v>817</v>
      </c>
      <c r="E813">
        <f>Sheet1!U956</f>
        <v>5</v>
      </c>
      <c r="F813" t="str">
        <f t="shared" ref="F813" si="4278">F812</f>
        <v>&lt;record id="</v>
      </c>
      <c r="G813" t="str">
        <f t="shared" ref="G813" si="4279">G812</f>
        <v>" posx="</v>
      </c>
      <c r="H813" t="str">
        <f t="shared" ref="H813" si="4280">H812</f>
        <v>" posy="</v>
      </c>
      <c r="I813" t="str">
        <f t="shared" ref="I813" si="4281">I812</f>
        <v>" dir="</v>
      </c>
      <c r="J813" t="str">
        <f t="shared" ref="J813" si="4282">J812</f>
        <v>"/&gt;</v>
      </c>
      <c r="K813" t="str">
        <f t="shared" ref="K813" si="4283">F813&amp;A813&amp;G813&amp;C813&amp;H813&amp;D813&amp;I813&amp;E813&amp;J813</f>
        <v>&lt;record id="182902" posx="242" posy="817" dir="5"/&gt;</v>
      </c>
    </row>
    <row r="814" spans="1:11">
      <c r="A814">
        <f>Sheet1!A957</f>
        <v>182903</v>
      </c>
      <c r="B814" t="str">
        <f>Sheet1!B957</f>
        <v>吸血黑僵</v>
      </c>
      <c r="C814">
        <f>Sheet1!Q957</f>
        <v>621</v>
      </c>
      <c r="D814">
        <f>Sheet1!R957</f>
        <v>1065</v>
      </c>
      <c r="E814">
        <f>Sheet1!U957</f>
        <v>1</v>
      </c>
      <c r="F814" t="str">
        <f t="shared" ref="F814" si="4284">F813</f>
        <v>&lt;record id="</v>
      </c>
      <c r="G814" t="str">
        <f t="shared" ref="G814" si="4285">G813</f>
        <v>" posx="</v>
      </c>
      <c r="H814" t="str">
        <f t="shared" ref="H814" si="4286">H813</f>
        <v>" posy="</v>
      </c>
      <c r="I814" t="str">
        <f t="shared" ref="I814" si="4287">I813</f>
        <v>" dir="</v>
      </c>
      <c r="J814" t="str">
        <f t="shared" ref="J814" si="4288">J813</f>
        <v>"/&gt;</v>
      </c>
      <c r="K814" t="str">
        <f t="shared" ref="K814" si="4289">F814&amp;A814&amp;G814&amp;C814&amp;H814&amp;D814&amp;I814&amp;E814&amp;J814</f>
        <v>&lt;record id="182903" posx="621" posy="1065" dir="1"/&gt;</v>
      </c>
    </row>
    <row r="815" spans="1:11">
      <c r="A815">
        <f>Sheet1!A958</f>
        <v>182904</v>
      </c>
      <c r="B815" t="str">
        <f>Sheet1!B958</f>
        <v>食魂跳尸</v>
      </c>
      <c r="C815">
        <f>Sheet1!Q958</f>
        <v>994</v>
      </c>
      <c r="D815">
        <f>Sheet1!R958</f>
        <v>869</v>
      </c>
      <c r="E815">
        <f>Sheet1!U958</f>
        <v>7</v>
      </c>
      <c r="F815" t="str">
        <f t="shared" ref="F815" si="4290">F814</f>
        <v>&lt;record id="</v>
      </c>
      <c r="G815" t="str">
        <f t="shared" ref="G815" si="4291">G814</f>
        <v>" posx="</v>
      </c>
      <c r="H815" t="str">
        <f t="shared" ref="H815" si="4292">H814</f>
        <v>" posy="</v>
      </c>
      <c r="I815" t="str">
        <f t="shared" ref="I815" si="4293">I814</f>
        <v>" dir="</v>
      </c>
      <c r="J815" t="str">
        <f t="shared" ref="J815" si="4294">J814</f>
        <v>"/&gt;</v>
      </c>
      <c r="K815" t="str">
        <f t="shared" ref="K815" si="4295">F815&amp;A815&amp;G815&amp;C815&amp;H815&amp;D815&amp;I815&amp;E815&amp;J815</f>
        <v>&lt;record id="182904" posx="994" posy="869" dir="7"/&gt;</v>
      </c>
    </row>
    <row r="816" spans="1:11">
      <c r="A816">
        <f>Sheet1!A959</f>
        <v>182905</v>
      </c>
      <c r="B816" t="str">
        <f>Sheet1!B959</f>
        <v>插翅飞尸</v>
      </c>
      <c r="C816">
        <f>Sheet1!Q959</f>
        <v>1386</v>
      </c>
      <c r="D816">
        <f>Sheet1!R959</f>
        <v>1258</v>
      </c>
      <c r="E816">
        <f>Sheet1!U959</f>
        <v>5</v>
      </c>
      <c r="F816" t="str">
        <f t="shared" ref="F816" si="4296">F815</f>
        <v>&lt;record id="</v>
      </c>
      <c r="G816" t="str">
        <f t="shared" ref="G816" si="4297">G815</f>
        <v>" posx="</v>
      </c>
      <c r="H816" t="str">
        <f t="shared" ref="H816" si="4298">H815</f>
        <v>" posy="</v>
      </c>
      <c r="I816" t="str">
        <f t="shared" ref="I816" si="4299">I815</f>
        <v>" dir="</v>
      </c>
      <c r="J816" t="str">
        <f t="shared" ref="J816" si="4300">J815</f>
        <v>"/&gt;</v>
      </c>
      <c r="K816" t="str">
        <f t="shared" ref="K816" si="4301">F816&amp;A816&amp;G816&amp;C816&amp;H816&amp;D816&amp;I816&amp;E816&amp;J816</f>
        <v>&lt;record id="182905" posx="1386" posy="1258" dir="5"/&gt;</v>
      </c>
    </row>
    <row r="817" spans="1:11">
      <c r="A817">
        <f>Sheet1!A960</f>
        <v>183001</v>
      </c>
      <c r="B817" t="str">
        <f>Sheet1!B960</f>
        <v>牛头</v>
      </c>
      <c r="C817">
        <f>Sheet1!Q960</f>
        <v>1534</v>
      </c>
      <c r="D817">
        <f>Sheet1!R960</f>
        <v>930</v>
      </c>
      <c r="E817">
        <f>Sheet1!U960</f>
        <v>1</v>
      </c>
      <c r="F817" t="str">
        <f t="shared" ref="F817" si="4302">F816</f>
        <v>&lt;record id="</v>
      </c>
      <c r="G817" t="str">
        <f t="shared" ref="G817" si="4303">G816</f>
        <v>" posx="</v>
      </c>
      <c r="H817" t="str">
        <f t="shared" ref="H817" si="4304">H816</f>
        <v>" posy="</v>
      </c>
      <c r="I817" t="str">
        <f t="shared" ref="I817" si="4305">I816</f>
        <v>" dir="</v>
      </c>
      <c r="J817" t="str">
        <f t="shared" ref="J817" si="4306">J816</f>
        <v>"/&gt;</v>
      </c>
      <c r="K817" t="str">
        <f t="shared" ref="K817" si="4307">F817&amp;A817&amp;G817&amp;C817&amp;H817&amp;D817&amp;I817&amp;E817&amp;J817</f>
        <v>&lt;record id="183001" posx="1534" posy="930" dir="1"/&gt;</v>
      </c>
    </row>
    <row r="818" spans="1:11">
      <c r="A818">
        <f>Sheet1!A961</f>
        <v>183002</v>
      </c>
      <c r="B818" t="str">
        <f>Sheet1!B961</f>
        <v>马面</v>
      </c>
      <c r="C818">
        <f>Sheet1!Q961</f>
        <v>1217</v>
      </c>
      <c r="D818">
        <f>Sheet1!R961</f>
        <v>475</v>
      </c>
      <c r="E818">
        <f>Sheet1!U961</f>
        <v>5</v>
      </c>
      <c r="F818" t="str">
        <f t="shared" ref="F818" si="4308">F817</f>
        <v>&lt;record id="</v>
      </c>
      <c r="G818" t="str">
        <f t="shared" ref="G818" si="4309">G817</f>
        <v>" posx="</v>
      </c>
      <c r="H818" t="str">
        <f t="shared" ref="H818" si="4310">H817</f>
        <v>" posy="</v>
      </c>
      <c r="I818" t="str">
        <f t="shared" ref="I818" si="4311">I817</f>
        <v>" dir="</v>
      </c>
      <c r="J818" t="str">
        <f t="shared" ref="J818" si="4312">J817</f>
        <v>"/&gt;</v>
      </c>
      <c r="K818" t="str">
        <f t="shared" ref="K818" si="4313">F818&amp;A818&amp;G818&amp;C818&amp;H818&amp;D818&amp;I818&amp;E818&amp;J818</f>
        <v>&lt;record id="183002" posx="1217" posy="475" dir="5"/&gt;</v>
      </c>
    </row>
    <row r="819" spans="1:11">
      <c r="A819">
        <f>Sheet1!A962</f>
        <v>183003</v>
      </c>
      <c r="B819" t="str">
        <f>Sheet1!B962</f>
        <v>黑无常</v>
      </c>
      <c r="C819">
        <f>Sheet1!Q962</f>
        <v>1002</v>
      </c>
      <c r="D819">
        <f>Sheet1!R962</f>
        <v>949</v>
      </c>
      <c r="E819">
        <f>Sheet1!U962</f>
        <v>5</v>
      </c>
      <c r="F819" t="str">
        <f t="shared" ref="F819" si="4314">F818</f>
        <v>&lt;record id="</v>
      </c>
      <c r="G819" t="str">
        <f t="shared" ref="G819" si="4315">G818</f>
        <v>" posx="</v>
      </c>
      <c r="H819" t="str">
        <f t="shared" ref="H819" si="4316">H818</f>
        <v>" posy="</v>
      </c>
      <c r="I819" t="str">
        <f t="shared" ref="I819" si="4317">I818</f>
        <v>" dir="</v>
      </c>
      <c r="J819" t="str">
        <f t="shared" ref="J819" si="4318">J818</f>
        <v>"/&gt;</v>
      </c>
      <c r="K819" t="str">
        <f t="shared" ref="K819" si="4319">F819&amp;A819&amp;G819&amp;C819&amp;H819&amp;D819&amp;I819&amp;E819&amp;J819</f>
        <v>&lt;record id="183003" posx="1002" posy="949" dir="5"/&gt;</v>
      </c>
    </row>
    <row r="820" spans="1:11">
      <c r="A820">
        <f>Sheet1!A963</f>
        <v>183004</v>
      </c>
      <c r="B820" t="str">
        <f>Sheet1!B963</f>
        <v>白无常</v>
      </c>
      <c r="C820">
        <f>Sheet1!Q963</f>
        <v>351</v>
      </c>
      <c r="D820">
        <f>Sheet1!R963</f>
        <v>1113</v>
      </c>
      <c r="E820">
        <f>Sheet1!U963</f>
        <v>3</v>
      </c>
      <c r="F820" t="str">
        <f t="shared" ref="F820" si="4320">F819</f>
        <v>&lt;record id="</v>
      </c>
      <c r="G820" t="str">
        <f t="shared" ref="G820" si="4321">G819</f>
        <v>" posx="</v>
      </c>
      <c r="H820" t="str">
        <f t="shared" ref="H820" si="4322">H819</f>
        <v>" posy="</v>
      </c>
      <c r="I820" t="str">
        <f t="shared" ref="I820" si="4323">I819</f>
        <v>" dir="</v>
      </c>
      <c r="J820" t="str">
        <f t="shared" ref="J820" si="4324">J819</f>
        <v>"/&gt;</v>
      </c>
      <c r="K820" t="str">
        <f t="shared" ref="K820" si="4325">F820&amp;A820&amp;G820&amp;C820&amp;H820&amp;D820&amp;I820&amp;E820&amp;J820</f>
        <v>&lt;record id="183004" posx="351" posy="1113" dir="3"/&gt;</v>
      </c>
    </row>
    <row r="821" spans="1:11">
      <c r="A821">
        <f>Sheet1!A964</f>
        <v>183005</v>
      </c>
      <c r="B821" t="str">
        <f>Sheet1!B964</f>
        <v>旱魃</v>
      </c>
      <c r="C821">
        <f>Sheet1!Q964</f>
        <v>429</v>
      </c>
      <c r="D821">
        <f>Sheet1!R964</f>
        <v>412</v>
      </c>
      <c r="E821">
        <f>Sheet1!U964</f>
        <v>3</v>
      </c>
      <c r="F821" t="str">
        <f t="shared" ref="F821" si="4326">F820</f>
        <v>&lt;record id="</v>
      </c>
      <c r="G821" t="str">
        <f t="shared" ref="G821" si="4327">G820</f>
        <v>" posx="</v>
      </c>
      <c r="H821" t="str">
        <f t="shared" ref="H821" si="4328">H820</f>
        <v>" posy="</v>
      </c>
      <c r="I821" t="str">
        <f t="shared" ref="I821" si="4329">I820</f>
        <v>" dir="</v>
      </c>
      <c r="J821" t="str">
        <f t="shared" ref="J821" si="4330">J820</f>
        <v>"/&gt;</v>
      </c>
      <c r="K821" t="str">
        <f t="shared" ref="K821" si="4331">F821&amp;A821&amp;G821&amp;C821&amp;H821&amp;D821&amp;I821&amp;E821&amp;J821</f>
        <v>&lt;record id="183005" posx="429" posy="412" dir="3"/&gt;</v>
      </c>
    </row>
    <row r="822" spans="1:11">
      <c r="A822">
        <f>Sheet1!A965</f>
        <v>183101</v>
      </c>
      <c r="B822" t="str">
        <f>Sheet1!B965</f>
        <v>值时功曹</v>
      </c>
      <c r="C822">
        <f>Sheet1!Q965</f>
        <v>1104</v>
      </c>
      <c r="D822">
        <f>Sheet1!R965</f>
        <v>208</v>
      </c>
      <c r="E822">
        <f>Sheet1!U965</f>
        <v>5</v>
      </c>
      <c r="F822" t="str">
        <f t="shared" ref="F822" si="4332">F821</f>
        <v>&lt;record id="</v>
      </c>
      <c r="G822" t="str">
        <f t="shared" ref="G822" si="4333">G821</f>
        <v>" posx="</v>
      </c>
      <c r="H822" t="str">
        <f t="shared" ref="H822" si="4334">H821</f>
        <v>" posy="</v>
      </c>
      <c r="I822" t="str">
        <f t="shared" ref="I822" si="4335">I821</f>
        <v>" dir="</v>
      </c>
      <c r="J822" t="str">
        <f t="shared" ref="J822" si="4336">J821</f>
        <v>"/&gt;</v>
      </c>
      <c r="K822" t="str">
        <f t="shared" ref="K822" si="4337">F822&amp;A822&amp;G822&amp;C822&amp;H822&amp;D822&amp;I822&amp;E822&amp;J822</f>
        <v>&lt;record id="183101" posx="1104" posy="208" dir="5"/&gt;</v>
      </c>
    </row>
    <row r="823" spans="1:11">
      <c r="A823">
        <f>Sheet1!A966</f>
        <v>183102</v>
      </c>
      <c r="B823" t="str">
        <f>Sheet1!B966</f>
        <v>值时功曹</v>
      </c>
      <c r="C823">
        <f>Sheet1!Q966</f>
        <v>864</v>
      </c>
      <c r="D823">
        <f>Sheet1!R966</f>
        <v>656</v>
      </c>
      <c r="E823">
        <f>Sheet1!U966</f>
        <v>3</v>
      </c>
      <c r="F823" t="str">
        <f t="shared" ref="F823" si="4338">F822</f>
        <v>&lt;record id="</v>
      </c>
      <c r="G823" t="str">
        <f t="shared" ref="G823" si="4339">G822</f>
        <v>" posx="</v>
      </c>
      <c r="H823" t="str">
        <f t="shared" ref="H823" si="4340">H822</f>
        <v>" posy="</v>
      </c>
      <c r="I823" t="str">
        <f t="shared" ref="I823" si="4341">I822</f>
        <v>" dir="</v>
      </c>
      <c r="J823" t="str">
        <f t="shared" ref="J823" si="4342">J822</f>
        <v>"/&gt;</v>
      </c>
      <c r="K823" t="str">
        <f t="shared" ref="K823" si="4343">F823&amp;A823&amp;G823&amp;C823&amp;H823&amp;D823&amp;I823&amp;E823&amp;J823</f>
        <v>&lt;record id="183102" posx="864" posy="656" dir="3"/&gt;</v>
      </c>
    </row>
    <row r="824" spans="1:11">
      <c r="A824">
        <f>Sheet1!A967</f>
        <v>183103</v>
      </c>
      <c r="B824" t="str">
        <f>Sheet1!B967</f>
        <v>值时功曹</v>
      </c>
      <c r="C824">
        <f>Sheet1!Q967</f>
        <v>528</v>
      </c>
      <c r="D824">
        <f>Sheet1!R967</f>
        <v>1152</v>
      </c>
      <c r="E824">
        <f>Sheet1!U967</f>
        <v>3</v>
      </c>
      <c r="F824" t="str">
        <f t="shared" ref="F824" si="4344">F823</f>
        <v>&lt;record id="</v>
      </c>
      <c r="G824" t="str">
        <f t="shared" ref="G824" si="4345">G823</f>
        <v>" posx="</v>
      </c>
      <c r="H824" t="str">
        <f t="shared" ref="H824" si="4346">H823</f>
        <v>" posy="</v>
      </c>
      <c r="I824" t="str">
        <f t="shared" ref="I824" si="4347">I823</f>
        <v>" dir="</v>
      </c>
      <c r="J824" t="str">
        <f t="shared" ref="J824" si="4348">J823</f>
        <v>"/&gt;</v>
      </c>
      <c r="K824" t="str">
        <f t="shared" ref="K824" si="4349">F824&amp;A824&amp;G824&amp;C824&amp;H824&amp;D824&amp;I824&amp;E824&amp;J824</f>
        <v>&lt;record id="183103" posx="528" posy="1152" dir="3"/&gt;</v>
      </c>
    </row>
    <row r="825" spans="1:11">
      <c r="A825">
        <f>Sheet1!A968</f>
        <v>183104</v>
      </c>
      <c r="B825" t="str">
        <f>Sheet1!B968</f>
        <v>值时功曹</v>
      </c>
      <c r="C825">
        <f>Sheet1!Q968</f>
        <v>880</v>
      </c>
      <c r="D825">
        <f>Sheet1!R968</f>
        <v>1296</v>
      </c>
      <c r="E825">
        <f>Sheet1!U968</f>
        <v>5</v>
      </c>
      <c r="F825" t="str">
        <f t="shared" ref="F825" si="4350">F824</f>
        <v>&lt;record id="</v>
      </c>
      <c r="G825" t="str">
        <f t="shared" ref="G825" si="4351">G824</f>
        <v>" posx="</v>
      </c>
      <c r="H825" t="str">
        <f t="shared" ref="H825" si="4352">H824</f>
        <v>" posy="</v>
      </c>
      <c r="I825" t="str">
        <f t="shared" ref="I825" si="4353">I824</f>
        <v>" dir="</v>
      </c>
      <c r="J825" t="str">
        <f t="shared" ref="J825" si="4354">J824</f>
        <v>"/&gt;</v>
      </c>
      <c r="K825" t="str">
        <f t="shared" ref="K825" si="4355">F825&amp;A825&amp;G825&amp;C825&amp;H825&amp;D825&amp;I825&amp;E825&amp;J825</f>
        <v>&lt;record id="183104" posx="880" posy="1296" dir="5"/&gt;</v>
      </c>
    </row>
    <row r="826" spans="1:11">
      <c r="A826">
        <f>Sheet1!A969</f>
        <v>183105</v>
      </c>
      <c r="B826" t="str">
        <f>Sheet1!B969</f>
        <v>雷公</v>
      </c>
      <c r="C826">
        <f>Sheet1!Q969</f>
        <v>1088</v>
      </c>
      <c r="D826">
        <f>Sheet1!R969</f>
        <v>976</v>
      </c>
      <c r="E826">
        <f>Sheet1!U969</f>
        <v>3</v>
      </c>
      <c r="F826" t="str">
        <f t="shared" ref="F826" si="4356">F825</f>
        <v>&lt;record id="</v>
      </c>
      <c r="G826" t="str">
        <f t="shared" ref="G826" si="4357">G825</f>
        <v>" posx="</v>
      </c>
      <c r="H826" t="str">
        <f t="shared" ref="H826" si="4358">H825</f>
        <v>" posy="</v>
      </c>
      <c r="I826" t="str">
        <f t="shared" ref="I826" si="4359">I825</f>
        <v>" dir="</v>
      </c>
      <c r="J826" t="str">
        <f t="shared" ref="J826" si="4360">J825</f>
        <v>"/&gt;</v>
      </c>
      <c r="K826" t="str">
        <f t="shared" ref="K826" si="4361">F826&amp;A826&amp;G826&amp;C826&amp;H826&amp;D826&amp;I826&amp;E826&amp;J826</f>
        <v>&lt;record id="183105" posx="1088" posy="976" dir="3"/&gt;</v>
      </c>
    </row>
    <row r="827" spans="1:11">
      <c r="A827">
        <f>Sheet1!A970</f>
        <v>183201</v>
      </c>
      <c r="B827" t="str">
        <f>Sheet1!B970</f>
        <v>电母</v>
      </c>
      <c r="C827">
        <f>Sheet1!Q970</f>
        <v>1104</v>
      </c>
      <c r="D827">
        <f>Sheet1!R970</f>
        <v>208</v>
      </c>
      <c r="E827">
        <f>Sheet1!U970</f>
        <v>5</v>
      </c>
      <c r="F827" t="str">
        <f t="shared" ref="F827" si="4362">F826</f>
        <v>&lt;record id="</v>
      </c>
      <c r="G827" t="str">
        <f t="shared" ref="G827" si="4363">G826</f>
        <v>" posx="</v>
      </c>
      <c r="H827" t="str">
        <f t="shared" ref="H827" si="4364">H826</f>
        <v>" posy="</v>
      </c>
      <c r="I827" t="str">
        <f t="shared" ref="I827" si="4365">I826</f>
        <v>" dir="</v>
      </c>
      <c r="J827" t="str">
        <f t="shared" ref="J827" si="4366">J826</f>
        <v>"/&gt;</v>
      </c>
      <c r="K827" t="str">
        <f t="shared" ref="K827" si="4367">F827&amp;A827&amp;G827&amp;C827&amp;H827&amp;D827&amp;I827&amp;E827&amp;J827</f>
        <v>&lt;record id="183201" posx="1104" posy="208" dir="5"/&gt;</v>
      </c>
    </row>
    <row r="828" spans="1:11">
      <c r="A828">
        <f>Sheet1!A971</f>
        <v>183202</v>
      </c>
      <c r="B828" t="str">
        <f>Sheet1!B971</f>
        <v>风伯</v>
      </c>
      <c r="C828">
        <f>Sheet1!Q971</f>
        <v>864</v>
      </c>
      <c r="D828">
        <f>Sheet1!R971</f>
        <v>656</v>
      </c>
      <c r="E828">
        <f>Sheet1!U971</f>
        <v>3</v>
      </c>
      <c r="F828" t="str">
        <f t="shared" ref="F828" si="4368">F827</f>
        <v>&lt;record id="</v>
      </c>
      <c r="G828" t="str">
        <f t="shared" ref="G828" si="4369">G827</f>
        <v>" posx="</v>
      </c>
      <c r="H828" t="str">
        <f t="shared" ref="H828" si="4370">H827</f>
        <v>" posy="</v>
      </c>
      <c r="I828" t="str">
        <f t="shared" ref="I828" si="4371">I827</f>
        <v>" dir="</v>
      </c>
      <c r="J828" t="str">
        <f t="shared" ref="J828:J833" si="4372">J827</f>
        <v>"/&gt;</v>
      </c>
      <c r="K828" t="str">
        <f t="shared" ref="K828" si="4373">F828&amp;A828&amp;G828&amp;C828&amp;H828&amp;D828&amp;I828&amp;E828&amp;J828</f>
        <v>&lt;record id="183202" posx="864" posy="656" dir="3"/&gt;</v>
      </c>
    </row>
    <row r="829" spans="1:11">
      <c r="A829">
        <f>Sheet1!A972</f>
        <v>183203</v>
      </c>
      <c r="B829" t="str">
        <f>Sheet1!B972</f>
        <v>雨师</v>
      </c>
      <c r="C829">
        <f>Sheet1!Q972</f>
        <v>528</v>
      </c>
      <c r="D829">
        <f>Sheet1!R972</f>
        <v>1152</v>
      </c>
      <c r="E829">
        <f>Sheet1!U972</f>
        <v>3</v>
      </c>
      <c r="F829" t="str">
        <f t="shared" ref="F829" si="4374">F828</f>
        <v>&lt;record id="</v>
      </c>
      <c r="G829" t="str">
        <f t="shared" ref="G829:G834" si="4375">G828</f>
        <v>" posx="</v>
      </c>
      <c r="H829" t="str">
        <f t="shared" ref="H829" si="4376">H828</f>
        <v>" posy="</v>
      </c>
      <c r="I829" t="str">
        <f t="shared" ref="I829" si="4377">I828</f>
        <v>" dir="</v>
      </c>
      <c r="J829" t="str">
        <f t="shared" si="4372"/>
        <v>"/&gt;</v>
      </c>
      <c r="K829" t="str">
        <f t="shared" ref="K829:K834" si="4378">F829&amp;A829&amp;G829&amp;C829&amp;H829&amp;D829&amp;I829&amp;E829&amp;J829</f>
        <v>&lt;record id="183203" posx="528" posy="1152" dir="3"/&gt;</v>
      </c>
    </row>
    <row r="830" spans="1:11">
      <c r="A830">
        <f>Sheet1!A973</f>
        <v>183204</v>
      </c>
      <c r="B830" t="str">
        <f>Sheet1!B973</f>
        <v>云神</v>
      </c>
      <c r="C830">
        <f>Sheet1!Q973</f>
        <v>880</v>
      </c>
      <c r="D830">
        <f>Sheet1!R973</f>
        <v>1296</v>
      </c>
      <c r="E830">
        <f>Sheet1!U973</f>
        <v>5</v>
      </c>
      <c r="F830" t="str">
        <f t="shared" ref="F830" si="4379">F829</f>
        <v>&lt;record id="</v>
      </c>
      <c r="G830" t="str">
        <f t="shared" si="4375"/>
        <v>" posx="</v>
      </c>
      <c r="H830" t="str">
        <f t="shared" ref="H830" si="4380">H829</f>
        <v>" posy="</v>
      </c>
      <c r="I830" t="str">
        <f t="shared" ref="I830:I833" si="4381">I829</f>
        <v>" dir="</v>
      </c>
      <c r="J830" t="str">
        <f t="shared" si="4372"/>
        <v>"/&gt;</v>
      </c>
      <c r="K830" t="str">
        <f t="shared" si="4378"/>
        <v>&lt;record id="183204" posx="880" posy="1296" dir="5"/&gt;</v>
      </c>
    </row>
    <row r="831" spans="1:11">
      <c r="A831">
        <f>Sheet1!A974</f>
        <v>183205</v>
      </c>
      <c r="B831" t="str">
        <f>Sheet1!B974</f>
        <v>金德星君</v>
      </c>
      <c r="C831">
        <f>Sheet1!Q974</f>
        <v>1088</v>
      </c>
      <c r="D831">
        <f>Sheet1!R974</f>
        <v>976</v>
      </c>
      <c r="E831">
        <f>Sheet1!U974</f>
        <v>3</v>
      </c>
      <c r="F831" t="str">
        <f t="shared" ref="F831:F834" si="4382">F830</f>
        <v>&lt;record id="</v>
      </c>
      <c r="G831" t="str">
        <f t="shared" si="4375"/>
        <v>" posx="</v>
      </c>
      <c r="H831" t="str">
        <f t="shared" ref="H831:H833" si="4383">H830</f>
        <v>" posy="</v>
      </c>
      <c r="I831" t="str">
        <f t="shared" si="4381"/>
        <v>" dir="</v>
      </c>
      <c r="J831" t="str">
        <f t="shared" si="4372"/>
        <v>"/&gt;</v>
      </c>
      <c r="K831" t="str">
        <f t="shared" si="4378"/>
        <v>&lt;record id="183205" posx="1088" posy="976" dir="3"/&gt;</v>
      </c>
    </row>
    <row r="832" spans="1:11">
      <c r="A832">
        <f>Sheet1!A975</f>
        <v>183301</v>
      </c>
      <c r="B832" t="str">
        <f>Sheet1!B975</f>
        <v>木德星君</v>
      </c>
      <c r="C832">
        <f>Sheet1!Q975</f>
        <v>1104</v>
      </c>
      <c r="D832">
        <f>Sheet1!R975</f>
        <v>208</v>
      </c>
      <c r="E832">
        <f>Sheet1!U975</f>
        <v>5</v>
      </c>
      <c r="F832" t="str">
        <f t="shared" si="4382"/>
        <v>&lt;record id="</v>
      </c>
      <c r="G832" t="str">
        <f t="shared" si="4375"/>
        <v>" posx="</v>
      </c>
      <c r="H832" t="str">
        <f t="shared" si="4383"/>
        <v>" posy="</v>
      </c>
      <c r="I832" t="str">
        <f t="shared" si="4381"/>
        <v>" dir="</v>
      </c>
      <c r="J832" t="str">
        <f t="shared" si="4372"/>
        <v>"/&gt;</v>
      </c>
      <c r="K832" t="str">
        <f t="shared" si="4378"/>
        <v>&lt;record id="183301" posx="1104" posy="208" dir="5"/&gt;</v>
      </c>
    </row>
    <row r="833" spans="1:11">
      <c r="A833">
        <f>Sheet1!A976</f>
        <v>183302</v>
      </c>
      <c r="B833" t="str">
        <f>Sheet1!B976</f>
        <v>水德星君</v>
      </c>
      <c r="C833">
        <f>Sheet1!Q976</f>
        <v>864</v>
      </c>
      <c r="D833">
        <f>Sheet1!R976</f>
        <v>656</v>
      </c>
      <c r="E833">
        <f>Sheet1!U976</f>
        <v>3</v>
      </c>
      <c r="F833" t="str">
        <f t="shared" si="4382"/>
        <v>&lt;record id="</v>
      </c>
      <c r="G833" t="str">
        <f t="shared" si="4375"/>
        <v>" posx="</v>
      </c>
      <c r="H833" t="str">
        <f t="shared" si="4383"/>
        <v>" posy="</v>
      </c>
      <c r="I833" t="str">
        <f t="shared" si="4381"/>
        <v>" dir="</v>
      </c>
      <c r="J833" t="str">
        <f t="shared" si="4372"/>
        <v>"/&gt;</v>
      </c>
      <c r="K833" t="str">
        <f t="shared" si="4378"/>
        <v>&lt;record id="183302" posx="864" posy="656" dir="3"/&gt;</v>
      </c>
    </row>
    <row r="834" spans="1:11">
      <c r="A834">
        <f>Sheet1!A977</f>
        <v>183303</v>
      </c>
      <c r="B834" t="str">
        <f>Sheet1!B977</f>
        <v>火德星君</v>
      </c>
      <c r="C834">
        <f>Sheet1!Q977</f>
        <v>528</v>
      </c>
      <c r="D834">
        <f>Sheet1!R977</f>
        <v>1152</v>
      </c>
      <c r="E834">
        <f>Sheet1!U977</f>
        <v>3</v>
      </c>
      <c r="F834" t="str">
        <f t="shared" si="4382"/>
        <v>&lt;record id="</v>
      </c>
      <c r="G834" t="str">
        <f t="shared" si="4375"/>
        <v>" posx="</v>
      </c>
      <c r="H834" t="str">
        <f t="shared" ref="H834" si="4384">H833</f>
        <v>" posy="</v>
      </c>
      <c r="I834" t="str">
        <f t="shared" ref="I834" si="4385">I833</f>
        <v>" dir="</v>
      </c>
      <c r="J834" t="str">
        <f t="shared" ref="J834" si="4386">J833</f>
        <v>"/&gt;</v>
      </c>
      <c r="K834" t="str">
        <f t="shared" si="4378"/>
        <v>&lt;record id="183303" posx="528" posy="1152" dir="3"/&gt;</v>
      </c>
    </row>
    <row r="835" spans="1:11">
      <c r="A835">
        <f>Sheet1!A978</f>
        <v>183304</v>
      </c>
      <c r="B835" t="str">
        <f>Sheet1!B978</f>
        <v>土德星君</v>
      </c>
      <c r="C835">
        <f>Sheet1!Q978</f>
        <v>880</v>
      </c>
      <c r="D835">
        <f>Sheet1!R978</f>
        <v>1296</v>
      </c>
      <c r="E835">
        <f>Sheet1!U978</f>
        <v>5</v>
      </c>
      <c r="F835" t="str">
        <f t="shared" ref="F835" si="4387">F834</f>
        <v>&lt;record id="</v>
      </c>
      <c r="G835" t="str">
        <f t="shared" ref="G835" si="4388">G834</f>
        <v>" posx="</v>
      </c>
      <c r="H835" t="str">
        <f t="shared" ref="H835" si="4389">H834</f>
        <v>" posy="</v>
      </c>
      <c r="I835" t="str">
        <f t="shared" ref="I835" si="4390">I834</f>
        <v>" dir="</v>
      </c>
      <c r="J835" t="str">
        <f t="shared" ref="J835" si="4391">J834</f>
        <v>"/&gt;</v>
      </c>
      <c r="K835" t="str">
        <f t="shared" ref="K835" si="4392">F835&amp;A835&amp;G835&amp;C835&amp;H835&amp;D835&amp;I835&amp;E835&amp;J835</f>
        <v>&lt;record id="183304" posx="880" posy="1296" dir="5"/&gt;</v>
      </c>
    </row>
    <row r="836" spans="1:11">
      <c r="A836">
        <f>Sheet1!A979</f>
        <v>183305</v>
      </c>
      <c r="B836" t="str">
        <f>Sheet1!B979</f>
        <v>摇光</v>
      </c>
      <c r="C836">
        <f>Sheet1!Q979</f>
        <v>1088</v>
      </c>
      <c r="D836">
        <f>Sheet1!R979</f>
        <v>976</v>
      </c>
      <c r="E836">
        <f>Sheet1!U979</f>
        <v>3</v>
      </c>
      <c r="F836" t="str">
        <f t="shared" ref="F836" si="4393">F835</f>
        <v>&lt;record id="</v>
      </c>
      <c r="G836" t="str">
        <f t="shared" ref="G836" si="4394">G835</f>
        <v>" posx="</v>
      </c>
      <c r="H836" t="str">
        <f t="shared" ref="H836" si="4395">H835</f>
        <v>" posy="</v>
      </c>
      <c r="I836" t="str">
        <f t="shared" ref="I836" si="4396">I835</f>
        <v>" dir="</v>
      </c>
      <c r="J836" t="str">
        <f t="shared" ref="J836" si="4397">J835</f>
        <v>"/&gt;</v>
      </c>
      <c r="K836" t="str">
        <f t="shared" ref="K836" si="4398">F836&amp;A836&amp;G836&amp;C836&amp;H836&amp;D836&amp;I836&amp;E836&amp;J836</f>
        <v>&lt;record id="183305" posx="1088" posy="976" dir="3"/&gt;</v>
      </c>
    </row>
    <row r="837" spans="1:11">
      <c r="A837">
        <f>Sheet1!A980</f>
        <v>183401</v>
      </c>
      <c r="B837" t="str">
        <f>Sheet1!B980</f>
        <v>开阳</v>
      </c>
      <c r="C837">
        <f>Sheet1!Q980</f>
        <v>1104</v>
      </c>
      <c r="D837">
        <f>Sheet1!R980</f>
        <v>208</v>
      </c>
      <c r="E837">
        <f>Sheet1!U980</f>
        <v>5</v>
      </c>
      <c r="F837" t="str">
        <f t="shared" ref="F837" si="4399">F836</f>
        <v>&lt;record id="</v>
      </c>
      <c r="G837" t="str">
        <f t="shared" ref="G837" si="4400">G836</f>
        <v>" posx="</v>
      </c>
      <c r="H837" t="str">
        <f t="shared" ref="H837" si="4401">H836</f>
        <v>" posy="</v>
      </c>
      <c r="I837" t="str">
        <f t="shared" ref="I837" si="4402">I836</f>
        <v>" dir="</v>
      </c>
      <c r="J837" t="str">
        <f t="shared" ref="J837" si="4403">J836</f>
        <v>"/&gt;</v>
      </c>
      <c r="K837" t="str">
        <f t="shared" ref="K837" si="4404">F837&amp;A837&amp;G837&amp;C837&amp;H837&amp;D837&amp;I837&amp;E837&amp;J837</f>
        <v>&lt;record id="183401" posx="1104" posy="208" dir="5"/&gt;</v>
      </c>
    </row>
    <row r="838" spans="1:11">
      <c r="A838">
        <f>Sheet1!A981</f>
        <v>183402</v>
      </c>
      <c r="B838" t="str">
        <f>Sheet1!B981</f>
        <v>玉衡</v>
      </c>
      <c r="C838">
        <f>Sheet1!Q981</f>
        <v>864</v>
      </c>
      <c r="D838">
        <f>Sheet1!R981</f>
        <v>656</v>
      </c>
      <c r="E838">
        <f>Sheet1!U981</f>
        <v>3</v>
      </c>
      <c r="F838" t="str">
        <f t="shared" ref="F838" si="4405">F837</f>
        <v>&lt;record id="</v>
      </c>
      <c r="G838" t="str">
        <f t="shared" ref="G838" si="4406">G837</f>
        <v>" posx="</v>
      </c>
      <c r="H838" t="str">
        <f t="shared" ref="H838" si="4407">H837</f>
        <v>" posy="</v>
      </c>
      <c r="I838" t="str">
        <f t="shared" ref="I838" si="4408">I837</f>
        <v>" dir="</v>
      </c>
      <c r="J838" t="str">
        <f t="shared" ref="J838" si="4409">J837</f>
        <v>"/&gt;</v>
      </c>
      <c r="K838" t="str">
        <f t="shared" ref="K838" si="4410">F838&amp;A838&amp;G838&amp;C838&amp;H838&amp;D838&amp;I838&amp;E838&amp;J838</f>
        <v>&lt;record id="183402" posx="864" posy="656" dir="3"/&gt;</v>
      </c>
    </row>
    <row r="839" spans="1:11">
      <c r="A839">
        <f>Sheet1!A982</f>
        <v>183403</v>
      </c>
      <c r="B839" t="str">
        <f>Sheet1!B982</f>
        <v>天权</v>
      </c>
      <c r="C839">
        <f>Sheet1!Q982</f>
        <v>528</v>
      </c>
      <c r="D839">
        <f>Sheet1!R982</f>
        <v>1152</v>
      </c>
      <c r="E839">
        <f>Sheet1!U982</f>
        <v>3</v>
      </c>
      <c r="F839" t="str">
        <f t="shared" ref="F839" si="4411">F838</f>
        <v>&lt;record id="</v>
      </c>
      <c r="G839" t="str">
        <f t="shared" ref="G839" si="4412">G838</f>
        <v>" posx="</v>
      </c>
      <c r="H839" t="str">
        <f t="shared" ref="H839" si="4413">H838</f>
        <v>" posy="</v>
      </c>
      <c r="I839" t="str">
        <f t="shared" ref="I839" si="4414">I838</f>
        <v>" dir="</v>
      </c>
      <c r="J839" t="str">
        <f t="shared" ref="J839" si="4415">J838</f>
        <v>"/&gt;</v>
      </c>
      <c r="K839" t="str">
        <f t="shared" ref="K839" si="4416">F839&amp;A839&amp;G839&amp;C839&amp;H839&amp;D839&amp;I839&amp;E839&amp;J839</f>
        <v>&lt;record id="183403" posx="528" posy="1152" dir="3"/&gt;</v>
      </c>
    </row>
    <row r="840" spans="1:11">
      <c r="A840">
        <f>Sheet1!A983</f>
        <v>183404</v>
      </c>
      <c r="B840" t="str">
        <f>Sheet1!B983</f>
        <v>天玑</v>
      </c>
      <c r="C840">
        <f>Sheet1!Q983</f>
        <v>880</v>
      </c>
      <c r="D840">
        <f>Sheet1!R983</f>
        <v>1296</v>
      </c>
      <c r="E840">
        <f>Sheet1!U983</f>
        <v>5</v>
      </c>
      <c r="F840" t="str">
        <f t="shared" ref="F840" si="4417">F839</f>
        <v>&lt;record id="</v>
      </c>
      <c r="G840" t="str">
        <f t="shared" ref="G840" si="4418">G839</f>
        <v>" posx="</v>
      </c>
      <c r="H840" t="str">
        <f t="shared" ref="H840" si="4419">H839</f>
        <v>" posy="</v>
      </c>
      <c r="I840" t="str">
        <f t="shared" ref="I840" si="4420">I839</f>
        <v>" dir="</v>
      </c>
      <c r="J840" t="str">
        <f t="shared" ref="J840" si="4421">J839</f>
        <v>"/&gt;</v>
      </c>
      <c r="K840" t="str">
        <f t="shared" ref="K840" si="4422">F840&amp;A840&amp;G840&amp;C840&amp;H840&amp;D840&amp;I840&amp;E840&amp;J840</f>
        <v>&lt;record id="183404" posx="880" posy="1296" dir="5"/&gt;</v>
      </c>
    </row>
    <row r="841" spans="1:11">
      <c r="A841">
        <f>Sheet1!A984</f>
        <v>183405</v>
      </c>
      <c r="B841" t="str">
        <f>Sheet1!B984</f>
        <v>天璇</v>
      </c>
      <c r="C841">
        <f>Sheet1!Q984</f>
        <v>1088</v>
      </c>
      <c r="D841">
        <f>Sheet1!R984</f>
        <v>976</v>
      </c>
      <c r="E841">
        <f>Sheet1!U984</f>
        <v>3</v>
      </c>
      <c r="F841" t="str">
        <f t="shared" ref="F841" si="4423">F840</f>
        <v>&lt;record id="</v>
      </c>
      <c r="G841" t="str">
        <f t="shared" ref="G841" si="4424">G840</f>
        <v>" posx="</v>
      </c>
      <c r="H841" t="str">
        <f t="shared" ref="H841" si="4425">H840</f>
        <v>" posy="</v>
      </c>
      <c r="I841" t="str">
        <f t="shared" ref="I841" si="4426">I840</f>
        <v>" dir="</v>
      </c>
      <c r="J841" t="str">
        <f t="shared" ref="J841" si="4427">J840</f>
        <v>"/&gt;</v>
      </c>
      <c r="K841" t="str">
        <f t="shared" ref="K841" si="4428">F841&amp;A841&amp;G841&amp;C841&amp;H841&amp;D841&amp;I841&amp;E841&amp;J841</f>
        <v>&lt;record id="183405" posx="1088" posy="976" dir="3"/&gt;</v>
      </c>
    </row>
    <row r="842" spans="1:11">
      <c r="A842">
        <f>Sheet1!A985</f>
        <v>183501</v>
      </c>
      <c r="B842" t="str">
        <f>Sheet1!B985</f>
        <v>天枢</v>
      </c>
      <c r="C842">
        <f>Sheet1!Q985</f>
        <v>1104</v>
      </c>
      <c r="D842">
        <f>Sheet1!R985</f>
        <v>208</v>
      </c>
      <c r="E842">
        <f>Sheet1!U985</f>
        <v>5</v>
      </c>
      <c r="F842" t="str">
        <f t="shared" ref="F842" si="4429">F841</f>
        <v>&lt;record id="</v>
      </c>
      <c r="G842" t="str">
        <f t="shared" ref="G842" si="4430">G841</f>
        <v>" posx="</v>
      </c>
      <c r="H842" t="str">
        <f t="shared" ref="H842" si="4431">H841</f>
        <v>" posy="</v>
      </c>
      <c r="I842" t="str">
        <f t="shared" ref="I842" si="4432">I841</f>
        <v>" dir="</v>
      </c>
      <c r="J842" t="str">
        <f t="shared" ref="J842" si="4433">J841</f>
        <v>"/&gt;</v>
      </c>
      <c r="K842" t="str">
        <f t="shared" ref="K842" si="4434">F842&amp;A842&amp;G842&amp;C842&amp;H842&amp;D842&amp;I842&amp;E842&amp;J842</f>
        <v>&lt;record id="183501" posx="1104" posy="208" dir="5"/&gt;</v>
      </c>
    </row>
    <row r="843" spans="1:11">
      <c r="A843">
        <f>Sheet1!A986</f>
        <v>183502</v>
      </c>
      <c r="B843" t="str">
        <f>Sheet1!B986</f>
        <v>广目天王</v>
      </c>
      <c r="C843">
        <f>Sheet1!Q986</f>
        <v>864</v>
      </c>
      <c r="D843">
        <f>Sheet1!R986</f>
        <v>656</v>
      </c>
      <c r="E843">
        <f>Sheet1!U986</f>
        <v>3</v>
      </c>
      <c r="F843" t="str">
        <f t="shared" ref="F843" si="4435">F842</f>
        <v>&lt;record id="</v>
      </c>
      <c r="G843" t="str">
        <f t="shared" ref="G843" si="4436">G842</f>
        <v>" posx="</v>
      </c>
      <c r="H843" t="str">
        <f t="shared" ref="H843" si="4437">H842</f>
        <v>" posy="</v>
      </c>
      <c r="I843" t="str">
        <f t="shared" ref="I843" si="4438">I842</f>
        <v>" dir="</v>
      </c>
      <c r="J843" t="str">
        <f t="shared" ref="J843" si="4439">J842</f>
        <v>"/&gt;</v>
      </c>
      <c r="K843" t="str">
        <f t="shared" ref="K843" si="4440">F843&amp;A843&amp;G843&amp;C843&amp;H843&amp;D843&amp;I843&amp;E843&amp;J843</f>
        <v>&lt;record id="183502" posx="864" posy="656" dir="3"/&gt;</v>
      </c>
    </row>
    <row r="844" spans="1:11">
      <c r="A844">
        <f>Sheet1!A987</f>
        <v>183503</v>
      </c>
      <c r="B844" t="str">
        <f>Sheet1!B987</f>
        <v>增长天王</v>
      </c>
      <c r="C844">
        <f>Sheet1!Q987</f>
        <v>528</v>
      </c>
      <c r="D844">
        <f>Sheet1!R987</f>
        <v>1152</v>
      </c>
      <c r="E844">
        <f>Sheet1!U987</f>
        <v>3</v>
      </c>
      <c r="F844" t="str">
        <f t="shared" ref="F844" si="4441">F843</f>
        <v>&lt;record id="</v>
      </c>
      <c r="G844" t="str">
        <f t="shared" ref="G844" si="4442">G843</f>
        <v>" posx="</v>
      </c>
      <c r="H844" t="str">
        <f t="shared" ref="H844" si="4443">H843</f>
        <v>" posy="</v>
      </c>
      <c r="I844" t="str">
        <f t="shared" ref="I844" si="4444">I843</f>
        <v>" dir="</v>
      </c>
      <c r="J844" t="str">
        <f t="shared" ref="J844" si="4445">J843</f>
        <v>"/&gt;</v>
      </c>
      <c r="K844" t="str">
        <f t="shared" ref="K844" si="4446">F844&amp;A844&amp;G844&amp;C844&amp;H844&amp;D844&amp;I844&amp;E844&amp;J844</f>
        <v>&lt;record id="183503" posx="528" posy="1152" dir="3"/&gt;</v>
      </c>
    </row>
    <row r="845" spans="1:11">
      <c r="A845">
        <f>Sheet1!A988</f>
        <v>183504</v>
      </c>
      <c r="B845" t="str">
        <f>Sheet1!B988</f>
        <v>多闻天王</v>
      </c>
      <c r="C845">
        <f>Sheet1!Q988</f>
        <v>880</v>
      </c>
      <c r="D845">
        <f>Sheet1!R988</f>
        <v>1296</v>
      </c>
      <c r="E845">
        <f>Sheet1!U988</f>
        <v>5</v>
      </c>
      <c r="F845" t="str">
        <f t="shared" ref="F845" si="4447">F844</f>
        <v>&lt;record id="</v>
      </c>
      <c r="G845" t="str">
        <f t="shared" ref="G845" si="4448">G844</f>
        <v>" posx="</v>
      </c>
      <c r="H845" t="str">
        <f t="shared" ref="H845" si="4449">H844</f>
        <v>" posy="</v>
      </c>
      <c r="I845" t="str">
        <f t="shared" ref="I845" si="4450">I844</f>
        <v>" dir="</v>
      </c>
      <c r="J845" t="str">
        <f t="shared" ref="J845" si="4451">J844</f>
        <v>"/&gt;</v>
      </c>
      <c r="K845" t="str">
        <f t="shared" ref="K845" si="4452">F845&amp;A845&amp;G845&amp;C845&amp;H845&amp;D845&amp;I845&amp;E845&amp;J845</f>
        <v>&lt;record id="183504" posx="880" posy="1296" dir="5"/&gt;</v>
      </c>
    </row>
    <row r="846" spans="1:11">
      <c r="A846">
        <f>Sheet1!A989</f>
        <v>183505</v>
      </c>
      <c r="B846" t="str">
        <f>Sheet1!B989</f>
        <v>持国天王</v>
      </c>
      <c r="C846">
        <f>Sheet1!Q989</f>
        <v>1088</v>
      </c>
      <c r="D846">
        <f>Sheet1!R989</f>
        <v>976</v>
      </c>
      <c r="E846">
        <f>Sheet1!U989</f>
        <v>3</v>
      </c>
      <c r="F846" t="str">
        <f t="shared" ref="F846" si="4453">F845</f>
        <v>&lt;record id="</v>
      </c>
      <c r="G846" t="str">
        <f t="shared" ref="G846" si="4454">G845</f>
        <v>" posx="</v>
      </c>
      <c r="H846" t="str">
        <f t="shared" ref="H846" si="4455">H845</f>
        <v>" posy="</v>
      </c>
      <c r="I846" t="str">
        <f t="shared" ref="I846" si="4456">I845</f>
        <v>" dir="</v>
      </c>
      <c r="J846" t="str">
        <f t="shared" ref="J846" si="4457">J845</f>
        <v>"/&gt;</v>
      </c>
      <c r="K846" t="str">
        <f t="shared" ref="K846" si="4458">F846&amp;A846&amp;G846&amp;C846&amp;H846&amp;D846&amp;I846&amp;E846&amp;J846</f>
        <v>&lt;record id="183505" posx="1088" posy="976" dir="3"/&gt;</v>
      </c>
    </row>
    <row r="847" spans="1:11">
      <c r="A847">
        <f>Sheet1!A990</f>
        <v>183601</v>
      </c>
      <c r="B847" t="str">
        <f>Sheet1!B990</f>
        <v>太白金星</v>
      </c>
      <c r="C847">
        <f>Sheet1!Q990</f>
        <v>1104</v>
      </c>
      <c r="D847">
        <f>Sheet1!R990</f>
        <v>208</v>
      </c>
      <c r="E847">
        <f>Sheet1!U990</f>
        <v>5</v>
      </c>
      <c r="F847" t="str">
        <f t="shared" ref="F847" si="4459">F846</f>
        <v>&lt;record id="</v>
      </c>
      <c r="G847" t="str">
        <f t="shared" ref="G847" si="4460">G846</f>
        <v>" posx="</v>
      </c>
      <c r="H847" t="str">
        <f t="shared" ref="H847" si="4461">H846</f>
        <v>" posy="</v>
      </c>
      <c r="I847" t="str">
        <f t="shared" ref="I847" si="4462">I846</f>
        <v>" dir="</v>
      </c>
      <c r="J847" t="str">
        <f t="shared" ref="J847" si="4463">J846</f>
        <v>"/&gt;</v>
      </c>
      <c r="K847" t="str">
        <f t="shared" ref="K847" si="4464">F847&amp;A847&amp;G847&amp;C847&amp;H847&amp;D847&amp;I847&amp;E847&amp;J847</f>
        <v>&lt;record id="183601" posx="1104" posy="208" dir="5"/&gt;</v>
      </c>
    </row>
    <row r="848" spans="1:11">
      <c r="A848">
        <f>Sheet1!A991</f>
        <v>183602</v>
      </c>
      <c r="B848" t="str">
        <f>Sheet1!B991</f>
        <v>哪吒</v>
      </c>
      <c r="C848">
        <f>Sheet1!Q991</f>
        <v>864</v>
      </c>
      <c r="D848">
        <f>Sheet1!R991</f>
        <v>656</v>
      </c>
      <c r="E848">
        <f>Sheet1!U991</f>
        <v>3</v>
      </c>
      <c r="F848" t="str">
        <f t="shared" ref="F848" si="4465">F847</f>
        <v>&lt;record id="</v>
      </c>
      <c r="G848" t="str">
        <f t="shared" ref="G848" si="4466">G847</f>
        <v>" posx="</v>
      </c>
      <c r="H848" t="str">
        <f t="shared" ref="H848" si="4467">H847</f>
        <v>" posy="</v>
      </c>
      <c r="I848" t="str">
        <f t="shared" ref="I848" si="4468">I847</f>
        <v>" dir="</v>
      </c>
      <c r="J848" t="str">
        <f t="shared" ref="J848" si="4469">J847</f>
        <v>"/&gt;</v>
      </c>
      <c r="K848" t="str">
        <f t="shared" ref="K848" si="4470">F848&amp;A848&amp;G848&amp;C848&amp;H848&amp;D848&amp;I848&amp;E848&amp;J848</f>
        <v>&lt;record id="183602" posx="864" posy="656" dir="3"/&gt;</v>
      </c>
    </row>
    <row r="849" spans="1:11">
      <c r="A849">
        <f>Sheet1!A992</f>
        <v>183603</v>
      </c>
      <c r="B849" t="str">
        <f>Sheet1!B992</f>
        <v>李天王</v>
      </c>
      <c r="C849">
        <f>Sheet1!Q992</f>
        <v>528</v>
      </c>
      <c r="D849">
        <f>Sheet1!R992</f>
        <v>1152</v>
      </c>
      <c r="E849">
        <f>Sheet1!U992</f>
        <v>3</v>
      </c>
      <c r="F849" t="str">
        <f t="shared" ref="F849" si="4471">F848</f>
        <v>&lt;record id="</v>
      </c>
      <c r="G849" t="str">
        <f t="shared" ref="G849" si="4472">G848</f>
        <v>" posx="</v>
      </c>
      <c r="H849" t="str">
        <f t="shared" ref="H849" si="4473">H848</f>
        <v>" posy="</v>
      </c>
      <c r="I849" t="str">
        <f t="shared" ref="I849" si="4474">I848</f>
        <v>" dir="</v>
      </c>
      <c r="J849" t="str">
        <f t="shared" ref="J849" si="4475">J848</f>
        <v>"/&gt;</v>
      </c>
      <c r="K849" t="str">
        <f t="shared" ref="K849" si="4476">F849&amp;A849&amp;G849&amp;C849&amp;H849&amp;D849&amp;I849&amp;E849&amp;J849</f>
        <v>&lt;record id="183603" posx="528" posy="1152" dir="3"/&gt;</v>
      </c>
    </row>
    <row r="850" spans="1:11">
      <c r="A850">
        <f>Sheet1!A993</f>
        <v>183604</v>
      </c>
      <c r="B850" t="str">
        <f>Sheet1!B993</f>
        <v>二郎神</v>
      </c>
      <c r="C850">
        <f>Sheet1!Q993</f>
        <v>880</v>
      </c>
      <c r="D850">
        <f>Sheet1!R993</f>
        <v>1296</v>
      </c>
      <c r="E850">
        <f>Sheet1!U993</f>
        <v>5</v>
      </c>
      <c r="F850" t="str">
        <f t="shared" ref="F850" si="4477">F849</f>
        <v>&lt;record id="</v>
      </c>
      <c r="G850" t="str">
        <f t="shared" ref="G850" si="4478">G849</f>
        <v>" posx="</v>
      </c>
      <c r="H850" t="str">
        <f t="shared" ref="H850" si="4479">H849</f>
        <v>" posy="</v>
      </c>
      <c r="I850" t="str">
        <f t="shared" ref="I850" si="4480">I849</f>
        <v>" dir="</v>
      </c>
      <c r="J850" t="str">
        <f t="shared" ref="J850" si="4481">J849</f>
        <v>"/&gt;</v>
      </c>
      <c r="K850" t="str">
        <f t="shared" ref="K850" si="4482">F850&amp;A850&amp;G850&amp;C850&amp;H850&amp;D850&amp;I850&amp;E850&amp;J850</f>
        <v>&lt;record id="183604" posx="880" posy="1296" dir="5"/&gt;</v>
      </c>
    </row>
    <row r="851" spans="1:11">
      <c r="A851">
        <f>Sheet1!A994</f>
        <v>183605</v>
      </c>
      <c r="B851" t="str">
        <f>Sheet1!B994</f>
        <v>太上老君</v>
      </c>
      <c r="C851">
        <f>Sheet1!Q994</f>
        <v>1088</v>
      </c>
      <c r="D851">
        <f>Sheet1!R994</f>
        <v>976</v>
      </c>
      <c r="E851">
        <f>Sheet1!U994</f>
        <v>3</v>
      </c>
      <c r="F851" t="str">
        <f t="shared" ref="F851" si="4483">F850</f>
        <v>&lt;record id="</v>
      </c>
      <c r="G851" t="str">
        <f t="shared" ref="G851" si="4484">G850</f>
        <v>" posx="</v>
      </c>
      <c r="H851" t="str">
        <f t="shared" ref="H851" si="4485">H850</f>
        <v>" posy="</v>
      </c>
      <c r="I851" t="str">
        <f t="shared" ref="I851" si="4486">I850</f>
        <v>" dir="</v>
      </c>
      <c r="J851" t="str">
        <f t="shared" ref="J851" si="4487">J850</f>
        <v>"/&gt;</v>
      </c>
      <c r="K851" t="str">
        <f t="shared" ref="K851" si="4488">F851&amp;A851&amp;G851&amp;C851&amp;H851&amp;D851&amp;I851&amp;E851&amp;J851</f>
        <v>&lt;record id="183605" posx="1088" posy="976" dir="3"/&gt;</v>
      </c>
    </row>
    <row r="852" spans="1:11">
      <c r="A852">
        <f>Sheet1!A995</f>
        <v>183701</v>
      </c>
      <c r="B852" t="str">
        <f>Sheet1!B995</f>
        <v>程咬金</v>
      </c>
      <c r="C852">
        <f>Sheet1!Q995</f>
        <v>1104</v>
      </c>
      <c r="D852">
        <f>Sheet1!R995</f>
        <v>208</v>
      </c>
      <c r="E852">
        <f>Sheet1!U995</f>
        <v>5</v>
      </c>
      <c r="F852" t="str">
        <f t="shared" ref="F852" si="4489">F851</f>
        <v>&lt;record id="</v>
      </c>
      <c r="G852" t="str">
        <f t="shared" ref="G852" si="4490">G851</f>
        <v>" posx="</v>
      </c>
      <c r="H852" t="str">
        <f t="shared" ref="H852" si="4491">H851</f>
        <v>" posy="</v>
      </c>
      <c r="I852" t="str">
        <f t="shared" ref="I852" si="4492">I851</f>
        <v>" dir="</v>
      </c>
      <c r="J852" t="str">
        <f t="shared" ref="J852" si="4493">J851</f>
        <v>"/&gt;</v>
      </c>
      <c r="K852" t="str">
        <f t="shared" ref="K852" si="4494">F852&amp;A852&amp;G852&amp;C852&amp;H852&amp;D852&amp;I852&amp;E852&amp;J852</f>
        <v>&lt;record id="183701" posx="1104" posy="208" dir="5"/&gt;</v>
      </c>
    </row>
    <row r="853" spans="1:11">
      <c r="A853">
        <f>Sheet1!A996</f>
        <v>183702</v>
      </c>
      <c r="B853" t="str">
        <f>Sheet1!B996</f>
        <v>东海龙王</v>
      </c>
      <c r="C853">
        <f>Sheet1!Q996</f>
        <v>864</v>
      </c>
      <c r="D853">
        <f>Sheet1!R996</f>
        <v>656</v>
      </c>
      <c r="E853">
        <f>Sheet1!U996</f>
        <v>3</v>
      </c>
      <c r="F853" t="str">
        <f t="shared" ref="F853" si="4495">F852</f>
        <v>&lt;record id="</v>
      </c>
      <c r="G853" t="str">
        <f t="shared" ref="G853" si="4496">G852</f>
        <v>" posx="</v>
      </c>
      <c r="H853" t="str">
        <f t="shared" ref="H853" si="4497">H852</f>
        <v>" posy="</v>
      </c>
      <c r="I853" t="str">
        <f t="shared" ref="I853" si="4498">I852</f>
        <v>" dir="</v>
      </c>
      <c r="J853" t="str">
        <f t="shared" ref="J853" si="4499">J852</f>
        <v>"/&gt;</v>
      </c>
      <c r="K853" t="str">
        <f t="shared" ref="K853" si="4500">F853&amp;A853&amp;G853&amp;C853&amp;H853&amp;D853&amp;I853&amp;E853&amp;J853</f>
        <v>&lt;record id="183702" posx="864" posy="656" dir="3"/&gt;</v>
      </c>
    </row>
    <row r="854" spans="1:11">
      <c r="A854">
        <f>Sheet1!A997</f>
        <v>183703</v>
      </c>
      <c r="B854" t="str">
        <f>Sheet1!B997</f>
        <v>月灵</v>
      </c>
      <c r="C854">
        <f>Sheet1!Q997</f>
        <v>528</v>
      </c>
      <c r="D854">
        <f>Sheet1!R997</f>
        <v>1152</v>
      </c>
      <c r="E854">
        <f>Sheet1!U997</f>
        <v>3</v>
      </c>
      <c r="F854" t="str">
        <f t="shared" ref="F854" si="4501">F853</f>
        <v>&lt;record id="</v>
      </c>
      <c r="G854" t="str">
        <f t="shared" ref="G854" si="4502">G853</f>
        <v>" posx="</v>
      </c>
      <c r="H854" t="str">
        <f t="shared" ref="H854" si="4503">H853</f>
        <v>" posy="</v>
      </c>
      <c r="I854" t="str">
        <f t="shared" ref="I854" si="4504">I853</f>
        <v>" dir="</v>
      </c>
      <c r="J854" t="str">
        <f t="shared" ref="J854" si="4505">J853</f>
        <v>"/&gt;</v>
      </c>
      <c r="K854" t="str">
        <f t="shared" ref="K854" si="4506">F854&amp;A854&amp;G854&amp;C854&amp;H854&amp;D854&amp;I854&amp;E854&amp;J854</f>
        <v>&lt;record id="183703" posx="528" posy="1152" dir="3"/&gt;</v>
      </c>
    </row>
    <row r="855" spans="1:11">
      <c r="A855">
        <f>Sheet1!A998</f>
        <v>183704</v>
      </c>
      <c r="B855" t="str">
        <f>Sheet1!B998</f>
        <v>牛魔王</v>
      </c>
      <c r="C855">
        <f>Sheet1!Q998</f>
        <v>880</v>
      </c>
      <c r="D855">
        <f>Sheet1!R998</f>
        <v>1296</v>
      </c>
      <c r="E855">
        <f>Sheet1!U998</f>
        <v>5</v>
      </c>
      <c r="F855" t="str">
        <f t="shared" ref="F855" si="4507">F854</f>
        <v>&lt;record id="</v>
      </c>
      <c r="G855" t="str">
        <f t="shared" ref="G855" si="4508">G854</f>
        <v>" posx="</v>
      </c>
      <c r="H855" t="str">
        <f t="shared" ref="H855" si="4509">H854</f>
        <v>" posy="</v>
      </c>
      <c r="I855" t="str">
        <f t="shared" ref="I855" si="4510">I854</f>
        <v>" dir="</v>
      </c>
      <c r="J855" t="str">
        <f t="shared" ref="J855" si="4511">J854</f>
        <v>"/&gt;</v>
      </c>
      <c r="K855" t="str">
        <f t="shared" ref="K855" si="4512">F855&amp;A855&amp;G855&amp;C855&amp;H855&amp;D855&amp;I855&amp;E855&amp;J855</f>
        <v>&lt;record id="183704" posx="880" posy="1296" dir="5"/&gt;</v>
      </c>
    </row>
    <row r="856" spans="1:11">
      <c r="A856">
        <f>Sheet1!A999</f>
        <v>183705</v>
      </c>
      <c r="B856" t="str">
        <f>Sheet1!B999</f>
        <v>菩提老祖</v>
      </c>
      <c r="C856">
        <f>Sheet1!Q999</f>
        <v>1088</v>
      </c>
      <c r="D856">
        <f>Sheet1!R999</f>
        <v>976</v>
      </c>
      <c r="E856">
        <f>Sheet1!U999</f>
        <v>3</v>
      </c>
      <c r="F856" t="str">
        <f t="shared" ref="F856" si="4513">F855</f>
        <v>&lt;record id="</v>
      </c>
      <c r="G856" t="str">
        <f t="shared" ref="G856" si="4514">G855</f>
        <v>" posx="</v>
      </c>
      <c r="H856" t="str">
        <f t="shared" ref="H856" si="4515">H855</f>
        <v>" posy="</v>
      </c>
      <c r="I856" t="str">
        <f t="shared" ref="I856" si="4516">I855</f>
        <v>" dir="</v>
      </c>
      <c r="J856" t="str">
        <f t="shared" ref="J856" si="4517">J855</f>
        <v>"/&gt;</v>
      </c>
      <c r="K856" t="str">
        <f t="shared" ref="K856" si="4518">F856&amp;A856&amp;G856&amp;C856&amp;H856&amp;D856&amp;I856&amp;E856&amp;J856</f>
        <v>&lt;record id="183705" posx="1088" posy="976" dir="3"/&gt;</v>
      </c>
    </row>
    <row r="857" spans="1:11">
      <c r="A857" t="e">
        <f>Sheet1!#REF!</f>
        <v>#REF!</v>
      </c>
      <c r="B857" t="e">
        <f>Sheet1!#REF!</f>
        <v>#REF!</v>
      </c>
      <c r="C857" t="e">
        <f>Sheet1!#REF!</f>
        <v>#REF!</v>
      </c>
      <c r="D857" t="e">
        <f>Sheet1!#REF!</f>
        <v>#REF!</v>
      </c>
      <c r="E857" t="e">
        <f>Sheet1!#REF!</f>
        <v>#REF!</v>
      </c>
      <c r="F857" t="str">
        <f t="shared" ref="F857" si="4519">F856</f>
        <v>&lt;record id="</v>
      </c>
      <c r="G857" t="str">
        <f t="shared" ref="G857" si="4520">G856</f>
        <v>" posx="</v>
      </c>
      <c r="H857" t="str">
        <f t="shared" ref="H857" si="4521">H856</f>
        <v>" posy="</v>
      </c>
      <c r="I857" t="str">
        <f t="shared" ref="I857" si="4522">I856</f>
        <v>" dir="</v>
      </c>
      <c r="J857" t="str">
        <f t="shared" ref="J857" si="4523">J856</f>
        <v>"/&gt;</v>
      </c>
      <c r="K857" t="e">
        <f t="shared" ref="K857" si="4524">F857&amp;A857&amp;G857&amp;C857&amp;H857&amp;D857&amp;I857&amp;E857&amp;J857</f>
        <v>#REF!</v>
      </c>
    </row>
    <row r="858" spans="1:11">
      <c r="A858" t="e">
        <f>Sheet1!#REF!</f>
        <v>#REF!</v>
      </c>
      <c r="B858" t="e">
        <f>Sheet1!#REF!</f>
        <v>#REF!</v>
      </c>
      <c r="C858" t="e">
        <f>Sheet1!#REF!</f>
        <v>#REF!</v>
      </c>
      <c r="D858" t="e">
        <f>Sheet1!#REF!</f>
        <v>#REF!</v>
      </c>
      <c r="E858" t="e">
        <f>Sheet1!#REF!</f>
        <v>#REF!</v>
      </c>
      <c r="F858" t="str">
        <f t="shared" ref="F858" si="4525">F857</f>
        <v>&lt;record id="</v>
      </c>
      <c r="G858" t="str">
        <f t="shared" ref="G858" si="4526">G857</f>
        <v>" posx="</v>
      </c>
      <c r="H858" t="str">
        <f t="shared" ref="H858" si="4527">H857</f>
        <v>" posy="</v>
      </c>
      <c r="I858" t="str">
        <f t="shared" ref="I858" si="4528">I857</f>
        <v>" dir="</v>
      </c>
      <c r="J858" t="str">
        <f t="shared" ref="J858" si="4529">J857</f>
        <v>"/&gt;</v>
      </c>
      <c r="K858" t="e">
        <f t="shared" ref="K858" si="4530">F858&amp;A858&amp;G858&amp;C858&amp;H858&amp;D858&amp;I858&amp;E858&amp;J858</f>
        <v>#REF!</v>
      </c>
    </row>
    <row r="859" spans="1:11">
      <c r="A859">
        <f>Sheet1!A1000</f>
        <v>183706</v>
      </c>
      <c r="B859" t="str">
        <f>Sheet1!B1000</f>
        <v>赤金宝箱</v>
      </c>
      <c r="C859">
        <f>Sheet1!Q1000</f>
        <v>0</v>
      </c>
      <c r="D859">
        <f>Sheet1!R1000</f>
        <v>0</v>
      </c>
      <c r="E859">
        <f>Sheet1!U1000</f>
        <v>0</v>
      </c>
      <c r="F859" t="str">
        <f t="shared" ref="F859" si="4531">F858</f>
        <v>&lt;record id="</v>
      </c>
      <c r="G859" t="str">
        <f t="shared" ref="G859" si="4532">G858</f>
        <v>" posx="</v>
      </c>
      <c r="H859" t="str">
        <f t="shared" ref="H859" si="4533">H858</f>
        <v>" posy="</v>
      </c>
      <c r="I859" t="str">
        <f t="shared" ref="I859" si="4534">I858</f>
        <v>" dir="</v>
      </c>
      <c r="J859" t="str">
        <f t="shared" ref="J859" si="4535">J858</f>
        <v>"/&gt;</v>
      </c>
      <c r="K859" t="str">
        <f t="shared" ref="K859" si="4536">F859&amp;A859&amp;G859&amp;C859&amp;H859&amp;D859&amp;I859&amp;E859&amp;J859</f>
        <v>&lt;record id="183706" posx="0" posy="0" dir="0"/&gt;</v>
      </c>
    </row>
    <row r="860" spans="1:11">
      <c r="A860">
        <f>Sheet1!A1001</f>
        <v>183707</v>
      </c>
      <c r="B860" t="str">
        <f>Sheet1!B1001</f>
        <v>秘银宝箱</v>
      </c>
      <c r="C860">
        <f>Sheet1!Q1001</f>
        <v>0</v>
      </c>
      <c r="D860">
        <f>Sheet1!R1001</f>
        <v>0</v>
      </c>
      <c r="E860">
        <f>Sheet1!U1001</f>
        <v>0</v>
      </c>
      <c r="F860" t="str">
        <f t="shared" ref="F860" si="4537">F859</f>
        <v>&lt;record id="</v>
      </c>
      <c r="G860" t="str">
        <f t="shared" ref="G860" si="4538">G859</f>
        <v>" posx="</v>
      </c>
      <c r="H860" t="str">
        <f t="shared" ref="H860" si="4539">H859</f>
        <v>" posy="</v>
      </c>
      <c r="I860" t="str">
        <f t="shared" ref="I860" si="4540">I859</f>
        <v>" dir="</v>
      </c>
      <c r="J860" t="str">
        <f t="shared" ref="J860" si="4541">J859</f>
        <v>"/&gt;</v>
      </c>
      <c r="K860" t="str">
        <f t="shared" ref="K860" si="4542">F860&amp;A860&amp;G860&amp;C860&amp;H860&amp;D860&amp;I860&amp;E860&amp;J860</f>
        <v>&lt;record id="183707" posx="0" posy="0" dir="0"/&gt;</v>
      </c>
    </row>
    <row r="861" spans="1:11">
      <c r="A861">
        <f>Sheet1!A1002</f>
        <v>199902</v>
      </c>
      <c r="B861" t="str">
        <f>Sheet1!B1002</f>
        <v>恶魔</v>
      </c>
      <c r="C861">
        <f>Sheet1!Q1002</f>
        <v>944</v>
      </c>
      <c r="D861">
        <f>Sheet1!R1002</f>
        <v>528</v>
      </c>
      <c r="E861">
        <f>Sheet1!U1002</f>
        <v>3</v>
      </c>
      <c r="F861" t="str">
        <f t="shared" ref="F861" si="4543">F860</f>
        <v>&lt;record id="</v>
      </c>
      <c r="G861" t="str">
        <f t="shared" ref="G861" si="4544">G860</f>
        <v>" posx="</v>
      </c>
      <c r="H861" t="str">
        <f t="shared" ref="H861" si="4545">H860</f>
        <v>" posy="</v>
      </c>
      <c r="I861" t="str">
        <f t="shared" ref="I861" si="4546">I860</f>
        <v>" dir="</v>
      </c>
      <c r="J861" t="str">
        <f t="shared" ref="J861:J866" si="4547">J860</f>
        <v>"/&gt;</v>
      </c>
      <c r="K861" t="str">
        <f t="shared" ref="K861" si="4548">F861&amp;A861&amp;G861&amp;C861&amp;H861&amp;D861&amp;I861&amp;E861&amp;J861</f>
        <v>&lt;record id="199902" posx="944" posy="528" dir="3"/&gt;</v>
      </c>
    </row>
    <row r="862" spans="1:11">
      <c r="A862">
        <f>Sheet1!A1003</f>
        <v>199903</v>
      </c>
      <c r="B862" t="str">
        <f>Sheet1!B1003</f>
        <v>冤魂</v>
      </c>
      <c r="C862">
        <f>Sheet1!Q1003</f>
        <v>576</v>
      </c>
      <c r="D862">
        <f>Sheet1!R1003</f>
        <v>544</v>
      </c>
      <c r="E862">
        <f>Sheet1!U1003</f>
        <v>3</v>
      </c>
      <c r="F862" t="str">
        <f t="shared" ref="F862:F867" si="4549">F861</f>
        <v>&lt;record id="</v>
      </c>
      <c r="G862" t="str">
        <f t="shared" ref="G862" si="4550">G861</f>
        <v>" posx="</v>
      </c>
      <c r="H862" t="str">
        <f t="shared" ref="H862" si="4551">H861</f>
        <v>" posy="</v>
      </c>
      <c r="I862" t="str">
        <f t="shared" ref="I862:I866" si="4552">I861</f>
        <v>" dir="</v>
      </c>
      <c r="J862" t="str">
        <f t="shared" si="4547"/>
        <v>"/&gt;</v>
      </c>
      <c r="K862" t="str">
        <f t="shared" ref="K862:K867" si="4553">F862&amp;A862&amp;G862&amp;C862&amp;H862&amp;D862&amp;I862&amp;E862&amp;J862</f>
        <v>&lt;record id="199903" posx="576" posy="544" dir="3"/&gt;</v>
      </c>
    </row>
    <row r="863" spans="1:11">
      <c r="A863">
        <f>Sheet1!A1004</f>
        <v>199904</v>
      </c>
      <c r="B863" t="str">
        <f>Sheet1!B1004</f>
        <v>僵尸</v>
      </c>
      <c r="C863">
        <f>Sheet1!Q1004</f>
        <v>592</v>
      </c>
      <c r="D863">
        <f>Sheet1!R1004</f>
        <v>1040</v>
      </c>
      <c r="E863">
        <f>Sheet1!U1004</f>
        <v>3</v>
      </c>
      <c r="F863" t="str">
        <f t="shared" si="4549"/>
        <v>&lt;record id="</v>
      </c>
      <c r="G863" t="str">
        <f t="shared" ref="G863" si="4554">G862</f>
        <v>" posx="</v>
      </c>
      <c r="H863" t="str">
        <f t="shared" ref="H863:H866" si="4555">H862</f>
        <v>" posy="</v>
      </c>
      <c r="I863" t="str">
        <f t="shared" si="4552"/>
        <v>" dir="</v>
      </c>
      <c r="J863" t="str">
        <f t="shared" si="4547"/>
        <v>"/&gt;</v>
      </c>
      <c r="K863" t="str">
        <f t="shared" si="4553"/>
        <v>&lt;record id="199904" posx="592" posy="1040" dir="3"/&gt;</v>
      </c>
    </row>
    <row r="864" spans="1:11">
      <c r="A864">
        <f>Sheet1!A1005</f>
        <v>199905</v>
      </c>
      <c r="B864" t="str">
        <f>Sheet1!B1005</f>
        <v>魔物</v>
      </c>
      <c r="C864">
        <f>Sheet1!Q1005</f>
        <v>960</v>
      </c>
      <c r="D864">
        <f>Sheet1!R1005</f>
        <v>1280</v>
      </c>
      <c r="E864">
        <f>Sheet1!U1005</f>
        <v>3</v>
      </c>
      <c r="F864" t="str">
        <f t="shared" si="4549"/>
        <v>&lt;record id="</v>
      </c>
      <c r="G864" t="str">
        <f t="shared" ref="G864:G866" si="4556">G863</f>
        <v>" posx="</v>
      </c>
      <c r="H864" t="str">
        <f t="shared" si="4555"/>
        <v>" posy="</v>
      </c>
      <c r="I864" t="str">
        <f t="shared" si="4552"/>
        <v>" dir="</v>
      </c>
      <c r="J864" t="str">
        <f t="shared" si="4547"/>
        <v>"/&gt;</v>
      </c>
      <c r="K864" t="str">
        <f t="shared" si="4553"/>
        <v>&lt;record id="199905" posx="960" posy="1280" dir="3"/&gt;</v>
      </c>
    </row>
    <row r="865" spans="1:11">
      <c r="A865">
        <f>Sheet1!A1006</f>
        <v>210001</v>
      </c>
      <c r="B865" t="str">
        <f>Sheet1!B1006</f>
        <v>女弟子</v>
      </c>
      <c r="C865">
        <f>Sheet1!Q1006</f>
        <v>828</v>
      </c>
      <c r="D865">
        <f>Sheet1!R1006</f>
        <v>480</v>
      </c>
      <c r="E865">
        <f>Sheet1!U1006</f>
        <v>3</v>
      </c>
      <c r="F865" t="str">
        <f t="shared" si="4549"/>
        <v>&lt;record id="</v>
      </c>
      <c r="G865" t="str">
        <f t="shared" si="4556"/>
        <v>" posx="</v>
      </c>
      <c r="H865" t="str">
        <f t="shared" si="4555"/>
        <v>" posy="</v>
      </c>
      <c r="I865" t="str">
        <f t="shared" si="4552"/>
        <v>" dir="</v>
      </c>
      <c r="J865" t="str">
        <f t="shared" si="4547"/>
        <v>"/&gt;</v>
      </c>
      <c r="K865" t="str">
        <f t="shared" si="4553"/>
        <v>&lt;record id="210001" posx="828" posy="480" dir="3"/&gt;</v>
      </c>
    </row>
    <row r="866" spans="1:11">
      <c r="A866">
        <f>Sheet1!A1007</f>
        <v>210002</v>
      </c>
      <c r="B866" t="str">
        <f>Sheet1!B1007</f>
        <v>地藏王</v>
      </c>
      <c r="C866">
        <f>Sheet1!Q1007</f>
        <v>943</v>
      </c>
      <c r="D866">
        <f>Sheet1!R1007</f>
        <v>507</v>
      </c>
      <c r="E866">
        <f>Sheet1!U1007</f>
        <v>5</v>
      </c>
      <c r="F866" t="str">
        <f t="shared" si="4549"/>
        <v>&lt;record id="</v>
      </c>
      <c r="G866" t="str">
        <f t="shared" si="4556"/>
        <v>" posx="</v>
      </c>
      <c r="H866" t="str">
        <f t="shared" si="4555"/>
        <v>" posy="</v>
      </c>
      <c r="I866" t="str">
        <f t="shared" si="4552"/>
        <v>" dir="</v>
      </c>
      <c r="J866" t="str">
        <f t="shared" si="4547"/>
        <v>"/&gt;</v>
      </c>
      <c r="K866" t="str">
        <f t="shared" si="4553"/>
        <v>&lt;record id="210002" posx="943" posy="507" dir="5"/&gt;</v>
      </c>
    </row>
    <row r="867" spans="1:11">
      <c r="A867">
        <f>Sheet1!A1008</f>
        <v>210003</v>
      </c>
      <c r="B867" t="str">
        <f>Sheet1!B1008</f>
        <v>远古守护者</v>
      </c>
      <c r="C867">
        <f>Sheet1!Q1008</f>
        <v>595</v>
      </c>
      <c r="D867">
        <f>Sheet1!R1008</f>
        <v>818</v>
      </c>
      <c r="E867">
        <f>Sheet1!U1008</f>
        <v>5</v>
      </c>
      <c r="F867" t="str">
        <f t="shared" si="4549"/>
        <v>&lt;record id="</v>
      </c>
      <c r="G867" t="str">
        <f t="shared" ref="G867" si="4557">G866</f>
        <v>" posx="</v>
      </c>
      <c r="H867" t="str">
        <f t="shared" ref="H867" si="4558">H866</f>
        <v>" posy="</v>
      </c>
      <c r="I867" t="str">
        <f t="shared" ref="I867" si="4559">I866</f>
        <v>" dir="</v>
      </c>
      <c r="J867" t="str">
        <f t="shared" ref="J867" si="4560">J866</f>
        <v>"/&gt;</v>
      </c>
      <c r="K867" t="str">
        <f t="shared" si="4553"/>
        <v>&lt;record id="210003" posx="595" posy="818" dir="5"/&gt;</v>
      </c>
    </row>
    <row r="868" spans="1:11">
      <c r="A868">
        <f>Sheet1!A1009</f>
        <v>210101</v>
      </c>
      <c r="B868" t="str">
        <f>Sheet1!B1009</f>
        <v>女弟子</v>
      </c>
      <c r="C868">
        <f>Sheet1!Q1009</f>
        <v>943</v>
      </c>
      <c r="D868">
        <f>Sheet1!R1009</f>
        <v>247</v>
      </c>
      <c r="E868">
        <f>Sheet1!U1009</f>
        <v>3</v>
      </c>
      <c r="F868" t="str">
        <f t="shared" ref="F868" si="4561">F867</f>
        <v>&lt;record id="</v>
      </c>
      <c r="G868" t="str">
        <f t="shared" ref="G868" si="4562">G867</f>
        <v>" posx="</v>
      </c>
      <c r="H868" t="str">
        <f t="shared" ref="H868" si="4563">H867</f>
        <v>" posy="</v>
      </c>
      <c r="I868" t="str">
        <f t="shared" ref="I868" si="4564">I867</f>
        <v>" dir="</v>
      </c>
      <c r="J868" t="str">
        <f t="shared" ref="J868" si="4565">J867</f>
        <v>"/&gt;</v>
      </c>
      <c r="K868" t="str">
        <f t="shared" ref="K868" si="4566">F868&amp;A868&amp;G868&amp;C868&amp;H868&amp;D868&amp;I868&amp;E868&amp;J868</f>
        <v>&lt;record id="210101" posx="943" posy="247" dir="3"/&gt;</v>
      </c>
    </row>
    <row r="869" spans="1:11">
      <c r="A869">
        <f>Sheet1!A1010</f>
        <v>210102</v>
      </c>
      <c r="B869" t="str">
        <f>Sheet1!B1010</f>
        <v>地藏王</v>
      </c>
      <c r="C869">
        <f>Sheet1!Q1010</f>
        <v>1051</v>
      </c>
      <c r="D869">
        <f>Sheet1!R1010</f>
        <v>216</v>
      </c>
      <c r="E869">
        <f>Sheet1!U1010</f>
        <v>3</v>
      </c>
      <c r="F869" t="str">
        <f t="shared" ref="F869" si="4567">F868</f>
        <v>&lt;record id="</v>
      </c>
      <c r="G869" t="str">
        <f t="shared" ref="G869" si="4568">G868</f>
        <v>" posx="</v>
      </c>
      <c r="H869" t="str">
        <f t="shared" ref="H869" si="4569">H868</f>
        <v>" posy="</v>
      </c>
      <c r="I869" t="str">
        <f t="shared" ref="I869" si="4570">I868</f>
        <v>" dir="</v>
      </c>
      <c r="J869" t="str">
        <f t="shared" ref="J869" si="4571">J868</f>
        <v>"/&gt;</v>
      </c>
      <c r="K869" t="str">
        <f t="shared" ref="K869" si="4572">F869&amp;A869&amp;G869&amp;C869&amp;H869&amp;D869&amp;I869&amp;E869&amp;J869</f>
        <v>&lt;record id="210102" posx="1051" posy="216" dir="3"/&gt;</v>
      </c>
    </row>
    <row r="870" spans="1:11">
      <c r="A870">
        <f>Sheet1!A1011</f>
        <v>210103</v>
      </c>
      <c r="B870" t="str">
        <f>Sheet1!B1011</f>
        <v>发狂的龙族</v>
      </c>
      <c r="C870">
        <f>Sheet1!Q1011</f>
        <v>730</v>
      </c>
      <c r="D870">
        <f>Sheet1!R1011</f>
        <v>811</v>
      </c>
      <c r="E870">
        <f>Sheet1!U1011</f>
        <v>5</v>
      </c>
      <c r="F870" t="str">
        <f t="shared" ref="F870" si="4573">F869</f>
        <v>&lt;record id="</v>
      </c>
      <c r="G870" t="str">
        <f t="shared" ref="G870" si="4574">G869</f>
        <v>" posx="</v>
      </c>
      <c r="H870" t="str">
        <f t="shared" ref="H870" si="4575">H869</f>
        <v>" posy="</v>
      </c>
      <c r="I870" t="str">
        <f t="shared" ref="I870" si="4576">I869</f>
        <v>" dir="</v>
      </c>
      <c r="J870" t="str">
        <f t="shared" ref="J870" si="4577">J869</f>
        <v>"/&gt;</v>
      </c>
      <c r="K870" t="str">
        <f t="shared" ref="K870" si="4578">F870&amp;A870&amp;G870&amp;C870&amp;H870&amp;D870&amp;I870&amp;E870&amp;J870</f>
        <v>&lt;record id="210103" posx="730" posy="811" dir="5"/&gt;</v>
      </c>
    </row>
    <row r="871" spans="1:11">
      <c r="A871">
        <f>Sheet1!A1013</f>
        <v>210201</v>
      </c>
      <c r="B871" t="str">
        <f>Sheet1!B1013</f>
        <v>女弟子</v>
      </c>
      <c r="C871">
        <f>Sheet1!Q1013</f>
        <v>1249</v>
      </c>
      <c r="D871">
        <f>Sheet1!R1013</f>
        <v>475</v>
      </c>
      <c r="E871">
        <f>Sheet1!U1013</f>
        <v>3</v>
      </c>
      <c r="F871" t="str">
        <f t="shared" ref="F871" si="4579">F870</f>
        <v>&lt;record id="</v>
      </c>
      <c r="G871" t="str">
        <f t="shared" ref="G871" si="4580">G870</f>
        <v>" posx="</v>
      </c>
      <c r="H871" t="str">
        <f t="shared" ref="H871" si="4581">H870</f>
        <v>" posy="</v>
      </c>
      <c r="I871" t="str">
        <f t="shared" ref="I871" si="4582">I870</f>
        <v>" dir="</v>
      </c>
      <c r="J871" t="str">
        <f t="shared" ref="J871" si="4583">J870</f>
        <v>"/&gt;</v>
      </c>
      <c r="K871" t="str">
        <f t="shared" ref="K871" si="4584">F871&amp;A871&amp;G871&amp;C871&amp;H871&amp;D871&amp;I871&amp;E871&amp;J871</f>
        <v>&lt;record id="210201" posx="1249" posy="475" dir="3"/&gt;</v>
      </c>
    </row>
    <row r="872" spans="1:11">
      <c r="A872">
        <f>Sheet1!A1014</f>
        <v>210202</v>
      </c>
      <c r="B872" t="str">
        <f>Sheet1!B1014</f>
        <v>监牢守卫</v>
      </c>
      <c r="C872">
        <f>Sheet1!Q1014</f>
        <v>798</v>
      </c>
      <c r="D872">
        <f>Sheet1!R1014</f>
        <v>1036</v>
      </c>
      <c r="E872">
        <f>Sheet1!U1014</f>
        <v>5</v>
      </c>
      <c r="F872" t="str">
        <f t="shared" ref="F872" si="4585">F871</f>
        <v>&lt;record id="</v>
      </c>
      <c r="G872" t="str">
        <f t="shared" ref="G872" si="4586">G871</f>
        <v>" posx="</v>
      </c>
      <c r="H872" t="str">
        <f t="shared" ref="H872" si="4587">H871</f>
        <v>" posy="</v>
      </c>
      <c r="I872" t="str">
        <f t="shared" ref="I872" si="4588">I871</f>
        <v>" dir="</v>
      </c>
      <c r="J872" t="str">
        <f t="shared" ref="J872" si="4589">J871</f>
        <v>"/&gt;</v>
      </c>
      <c r="K872" t="str">
        <f t="shared" ref="K872" si="4590">F872&amp;A872&amp;G872&amp;C872&amp;H872&amp;D872&amp;I872&amp;E872&amp;J872</f>
        <v>&lt;record id="210202" posx="798" posy="1036" dir="5"/&gt;</v>
      </c>
    </row>
    <row r="873" spans="1:11">
      <c r="A873">
        <f>Sheet1!A1015</f>
        <v>210203</v>
      </c>
      <c r="B873" t="str">
        <f>Sheet1!B1015</f>
        <v>弟子</v>
      </c>
      <c r="C873">
        <f>Sheet1!Q1015</f>
        <v>1114</v>
      </c>
      <c r="D873">
        <f>Sheet1!R1015</f>
        <v>706</v>
      </c>
      <c r="E873">
        <f>Sheet1!U1015</f>
        <v>5</v>
      </c>
      <c r="F873" t="str">
        <f t="shared" ref="F873" si="4591">F872</f>
        <v>&lt;record id="</v>
      </c>
      <c r="G873" t="str">
        <f t="shared" ref="G873" si="4592">G872</f>
        <v>" posx="</v>
      </c>
      <c r="H873" t="str">
        <f t="shared" ref="H873" si="4593">H872</f>
        <v>" posy="</v>
      </c>
      <c r="I873" t="str">
        <f t="shared" ref="I873" si="4594">I872</f>
        <v>" dir="</v>
      </c>
      <c r="J873" t="str">
        <f t="shared" ref="J873" si="4595">J872</f>
        <v>"/&gt;</v>
      </c>
      <c r="K873" t="str">
        <f t="shared" ref="K873" si="4596">F873&amp;A873&amp;G873&amp;C873&amp;H873&amp;D873&amp;I873&amp;E873&amp;J873</f>
        <v>&lt;record id="210203" posx="1114" posy="706" dir="5"/&gt;</v>
      </c>
    </row>
    <row r="874" spans="1:11">
      <c r="A874">
        <f>Sheet1!A1016</f>
        <v>210204</v>
      </c>
      <c r="B874" t="str">
        <f>Sheet1!B1016</f>
        <v>魔物</v>
      </c>
      <c r="C874">
        <f>Sheet1!Q1016</f>
        <v>1368</v>
      </c>
      <c r="D874">
        <f>Sheet1!R1016</f>
        <v>499</v>
      </c>
      <c r="E874">
        <f>Sheet1!U1016</f>
        <v>5</v>
      </c>
      <c r="F874" t="str">
        <f t="shared" ref="F874" si="4597">F873</f>
        <v>&lt;record id="</v>
      </c>
      <c r="G874" t="str">
        <f t="shared" ref="G874" si="4598">G873</f>
        <v>" posx="</v>
      </c>
      <c r="H874" t="str">
        <f t="shared" ref="H874" si="4599">H873</f>
        <v>" posy="</v>
      </c>
      <c r="I874" t="str">
        <f t="shared" ref="I874" si="4600">I873</f>
        <v>" dir="</v>
      </c>
      <c r="J874" t="str">
        <f t="shared" ref="J874" si="4601">J873</f>
        <v>"/&gt;</v>
      </c>
      <c r="K874" t="str">
        <f t="shared" ref="K874" si="4602">F874&amp;A874&amp;G874&amp;C874&amp;H874&amp;D874&amp;I874&amp;E874&amp;J874</f>
        <v>&lt;record id="210204" posx="1368" posy="499" dir="5"/&gt;</v>
      </c>
    </row>
    <row r="875" spans="1:11">
      <c r="A875">
        <f>Sheet1!A1017</f>
        <v>210301</v>
      </c>
      <c r="B875" t="str">
        <f>Sheet1!B1017</f>
        <v>女弟子</v>
      </c>
      <c r="C875">
        <f>Sheet1!Q1017</f>
        <v>827</v>
      </c>
      <c r="D875">
        <f>Sheet1!R1017</f>
        <v>1057</v>
      </c>
      <c r="E875">
        <f>Sheet1!U1017</f>
        <v>5</v>
      </c>
      <c r="F875" t="str">
        <f t="shared" ref="F875" si="4603">F874</f>
        <v>&lt;record id="</v>
      </c>
      <c r="G875" t="str">
        <f t="shared" ref="G875" si="4604">G874</f>
        <v>" posx="</v>
      </c>
      <c r="H875" t="str">
        <f t="shared" ref="H875" si="4605">H874</f>
        <v>" posy="</v>
      </c>
      <c r="I875" t="str">
        <f t="shared" ref="I875" si="4606">I874</f>
        <v>" dir="</v>
      </c>
      <c r="J875" t="str">
        <f t="shared" ref="J875" si="4607">J874</f>
        <v>"/&gt;</v>
      </c>
      <c r="K875" t="str">
        <f t="shared" ref="K875" si="4608">F875&amp;A875&amp;G875&amp;C875&amp;H875&amp;D875&amp;I875&amp;E875&amp;J875</f>
        <v>&lt;record id="210301" posx="827" posy="1057" dir="5"/&gt;</v>
      </c>
    </row>
    <row r="876" spans="1:11">
      <c r="A876">
        <f>Sheet1!A1018</f>
        <v>210302</v>
      </c>
      <c r="B876" t="str">
        <f>Sheet1!B1018</f>
        <v>地藏王</v>
      </c>
      <c r="C876">
        <f>Sheet1!Q1018</f>
        <v>741</v>
      </c>
      <c r="D876">
        <f>Sheet1!R1018</f>
        <v>974</v>
      </c>
      <c r="E876">
        <f>Sheet1!U1018</f>
        <v>5</v>
      </c>
      <c r="F876" t="str">
        <f t="shared" ref="F876" si="4609">F875</f>
        <v>&lt;record id="</v>
      </c>
      <c r="G876" t="str">
        <f t="shared" ref="G876" si="4610">G875</f>
        <v>" posx="</v>
      </c>
      <c r="H876" t="str">
        <f t="shared" ref="H876" si="4611">H875</f>
        <v>" posy="</v>
      </c>
      <c r="I876" t="str">
        <f t="shared" ref="I876" si="4612">I875</f>
        <v>" dir="</v>
      </c>
      <c r="J876" t="str">
        <f t="shared" ref="J876" si="4613">J875</f>
        <v>"/&gt;</v>
      </c>
      <c r="K876" t="str">
        <f t="shared" ref="K876" si="4614">F876&amp;A876&amp;G876&amp;C876&amp;H876&amp;D876&amp;I876&amp;E876&amp;J876</f>
        <v>&lt;record id="210302" posx="741" posy="974" dir="5"/&gt;</v>
      </c>
    </row>
    <row r="877" spans="1:11">
      <c r="A877">
        <f>Sheet1!A1019</f>
        <v>210303</v>
      </c>
      <c r="B877" t="str">
        <f>Sheet1!B1019</f>
        <v>魔物</v>
      </c>
      <c r="C877">
        <f>Sheet1!Q1019</f>
        <v>622</v>
      </c>
      <c r="D877">
        <f>Sheet1!R1019</f>
        <v>638</v>
      </c>
      <c r="E877">
        <f>Sheet1!U1019</f>
        <v>3</v>
      </c>
      <c r="F877" t="str">
        <f t="shared" ref="F877" si="4615">F876</f>
        <v>&lt;record id="</v>
      </c>
      <c r="G877" t="str">
        <f t="shared" ref="G877" si="4616">G876</f>
        <v>" posx="</v>
      </c>
      <c r="H877" t="str">
        <f t="shared" ref="H877" si="4617">H876</f>
        <v>" posy="</v>
      </c>
      <c r="I877" t="str">
        <f t="shared" ref="I877" si="4618">I876</f>
        <v>" dir="</v>
      </c>
      <c r="J877" t="str">
        <f t="shared" ref="J877" si="4619">J876</f>
        <v>"/&gt;</v>
      </c>
      <c r="K877" t="str">
        <f t="shared" ref="K877" si="4620">F877&amp;A877&amp;G877&amp;C877&amp;H877&amp;D877&amp;I877&amp;E877&amp;J877</f>
        <v>&lt;record id="210303" posx="622" posy="638" dir="3"/&gt;</v>
      </c>
    </row>
    <row r="878" spans="1:11">
      <c r="A878">
        <f>Sheet1!A1020</f>
        <v>210304</v>
      </c>
      <c r="B878" t="str">
        <f>Sheet1!B1020</f>
        <v>魔物守卫</v>
      </c>
      <c r="C878">
        <f>Sheet1!Q1020</f>
        <v>972</v>
      </c>
      <c r="D878">
        <f>Sheet1!R1020</f>
        <v>418</v>
      </c>
      <c r="E878">
        <f>Sheet1!U1020</f>
        <v>3</v>
      </c>
      <c r="F878" t="str">
        <f t="shared" ref="F878" si="4621">F877</f>
        <v>&lt;record id="</v>
      </c>
      <c r="G878" t="str">
        <f t="shared" ref="G878" si="4622">G877</f>
        <v>" posx="</v>
      </c>
      <c r="H878" t="str">
        <f t="shared" ref="H878" si="4623">H877</f>
        <v>" posy="</v>
      </c>
      <c r="I878" t="str">
        <f t="shared" ref="I878" si="4624">I877</f>
        <v>" dir="</v>
      </c>
      <c r="J878" t="str">
        <f t="shared" ref="J878" si="4625">J877</f>
        <v>"/&gt;</v>
      </c>
      <c r="K878" t="str">
        <f t="shared" ref="K878" si="4626">F878&amp;A878&amp;G878&amp;C878&amp;H878&amp;D878&amp;I878&amp;E878&amp;J878</f>
        <v>&lt;record id="210304" posx="972" posy="418" dir="3"/&gt;</v>
      </c>
    </row>
    <row r="879" spans="1:11">
      <c r="A879">
        <f>Sheet1!A1021</f>
        <v>210305</v>
      </c>
      <c r="B879" t="str">
        <f>Sheet1!B1021</f>
        <v>魔王</v>
      </c>
      <c r="C879">
        <f>Sheet1!Q1021</f>
        <v>342</v>
      </c>
      <c r="D879">
        <f>Sheet1!R1021</f>
        <v>237</v>
      </c>
      <c r="E879">
        <f>Sheet1!U1021</f>
        <v>3</v>
      </c>
      <c r="F879" t="str">
        <f t="shared" ref="F879" si="4627">F878</f>
        <v>&lt;record id="</v>
      </c>
      <c r="G879" t="str">
        <f t="shared" ref="G879" si="4628">G878</f>
        <v>" posx="</v>
      </c>
      <c r="H879" t="str">
        <f t="shared" ref="H879" si="4629">H878</f>
        <v>" posy="</v>
      </c>
      <c r="I879" t="str">
        <f t="shared" ref="I879" si="4630">I878</f>
        <v>" dir="</v>
      </c>
      <c r="J879" t="str">
        <f t="shared" ref="J879" si="4631">J878</f>
        <v>"/&gt;</v>
      </c>
      <c r="K879" t="str">
        <f t="shared" ref="K879" si="4632">F879&amp;A879&amp;G879&amp;C879&amp;H879&amp;D879&amp;I879&amp;E879&amp;J879</f>
        <v>&lt;record id="210305" posx="342" posy="237" dir="3"/&gt;</v>
      </c>
    </row>
    <row r="880" spans="1:11">
      <c r="A880">
        <f>Sheet1!A1023</f>
        <v>210401</v>
      </c>
      <c r="B880" t="str">
        <f>Sheet1!B1023</f>
        <v>女弟子</v>
      </c>
      <c r="C880">
        <f>Sheet1!Q1023</f>
        <v>931</v>
      </c>
      <c r="D880">
        <f>Sheet1!R1023</f>
        <v>1370</v>
      </c>
      <c r="E880">
        <f>Sheet1!U1023</f>
        <v>5</v>
      </c>
      <c r="F880" t="str">
        <f t="shared" ref="F880" si="4633">F879</f>
        <v>&lt;record id="</v>
      </c>
      <c r="G880" t="str">
        <f t="shared" ref="G880" si="4634">G879</f>
        <v>" posx="</v>
      </c>
      <c r="H880" t="str">
        <f t="shared" ref="H880" si="4635">H879</f>
        <v>" posy="</v>
      </c>
      <c r="I880" t="str">
        <f t="shared" ref="I880" si="4636">I879</f>
        <v>" dir="</v>
      </c>
      <c r="J880" t="str">
        <f t="shared" ref="J880" si="4637">J879</f>
        <v>"/&gt;</v>
      </c>
      <c r="K880" t="str">
        <f t="shared" ref="K880" si="4638">F880&amp;A880&amp;G880&amp;C880&amp;H880&amp;D880&amp;I880&amp;E880&amp;J880</f>
        <v>&lt;record id="210401" posx="931" posy="1370" dir="5"/&gt;</v>
      </c>
    </row>
    <row r="881" spans="1:11">
      <c r="A881">
        <f>Sheet1!A1024</f>
        <v>210402</v>
      </c>
      <c r="B881" t="str">
        <f>Sheet1!B1024</f>
        <v>地藏王</v>
      </c>
      <c r="C881">
        <f>Sheet1!Q1024</f>
        <v>364</v>
      </c>
      <c r="D881">
        <f>Sheet1!R1024</f>
        <v>242</v>
      </c>
      <c r="E881">
        <f>Sheet1!U1024</f>
        <v>5</v>
      </c>
      <c r="F881" t="str">
        <f t="shared" ref="F881" si="4639">F880</f>
        <v>&lt;record id="</v>
      </c>
      <c r="G881" t="str">
        <f t="shared" ref="G881" si="4640">G880</f>
        <v>" posx="</v>
      </c>
      <c r="H881" t="str">
        <f t="shared" ref="H881" si="4641">H880</f>
        <v>" posy="</v>
      </c>
      <c r="I881" t="str">
        <f t="shared" ref="I881" si="4642">I880</f>
        <v>" dir="</v>
      </c>
      <c r="J881" t="str">
        <f t="shared" ref="J881" si="4643">J880</f>
        <v>"/&gt;</v>
      </c>
      <c r="K881" t="str">
        <f t="shared" ref="K881" si="4644">F881&amp;A881&amp;G881&amp;C881&amp;H881&amp;D881&amp;I881&amp;E881&amp;J881</f>
        <v>&lt;record id="210402" posx="364" posy="242" dir="5"/&gt;</v>
      </c>
    </row>
    <row r="882" spans="1:11">
      <c r="A882">
        <f>Sheet1!A1025</f>
        <v>210403</v>
      </c>
      <c r="B882" t="str">
        <f>Sheet1!B1025</f>
        <v>索尔</v>
      </c>
      <c r="C882">
        <f>Sheet1!Q1025</f>
        <v>834</v>
      </c>
      <c r="D882">
        <f>Sheet1!R1025</f>
        <v>1357</v>
      </c>
      <c r="E882">
        <f>Sheet1!U1025</f>
        <v>3</v>
      </c>
      <c r="F882" t="str">
        <f t="shared" ref="F882" si="4645">F881</f>
        <v>&lt;record id="</v>
      </c>
      <c r="G882" t="str">
        <f t="shared" ref="G882" si="4646">G881</f>
        <v>" posx="</v>
      </c>
      <c r="H882" t="str">
        <f t="shared" ref="H882" si="4647">H881</f>
        <v>" posy="</v>
      </c>
      <c r="I882" t="str">
        <f t="shared" ref="I882" si="4648">I881</f>
        <v>" dir="</v>
      </c>
      <c r="J882" t="str">
        <f t="shared" ref="J882" si="4649">J881</f>
        <v>"/&gt;</v>
      </c>
      <c r="K882" t="str">
        <f t="shared" ref="K882" si="4650">F882&amp;A882&amp;G882&amp;C882&amp;H882&amp;D882&amp;I882&amp;E882&amp;J882</f>
        <v>&lt;record id="210403" posx="834" posy="1357" dir="3"/&gt;</v>
      </c>
    </row>
    <row r="883" spans="1:11">
      <c r="A883">
        <f>Sheet1!A1026</f>
        <v>210404</v>
      </c>
      <c r="B883" t="str">
        <f>Sheet1!B1026</f>
        <v>土地</v>
      </c>
      <c r="C883">
        <f>Sheet1!Q1026</f>
        <v>746</v>
      </c>
      <c r="D883">
        <f>Sheet1!R1026</f>
        <v>1403</v>
      </c>
      <c r="E883">
        <f>Sheet1!U1026</f>
        <v>3</v>
      </c>
      <c r="F883" t="str">
        <f t="shared" ref="F883" si="4651">F882</f>
        <v>&lt;record id="</v>
      </c>
      <c r="G883" t="str">
        <f t="shared" ref="G883" si="4652">G882</f>
        <v>" posx="</v>
      </c>
      <c r="H883" t="str">
        <f t="shared" ref="H883" si="4653">H882</f>
        <v>" posy="</v>
      </c>
      <c r="I883" t="str">
        <f t="shared" ref="I883" si="4654">I882</f>
        <v>" dir="</v>
      </c>
      <c r="J883" t="str">
        <f t="shared" ref="J883" si="4655">J882</f>
        <v>"/&gt;</v>
      </c>
      <c r="K883" t="str">
        <f t="shared" ref="K883" si="4656">F883&amp;A883&amp;G883&amp;C883&amp;H883&amp;D883&amp;I883&amp;E883&amp;J883</f>
        <v>&lt;record id="210404" posx="746" posy="1403" dir="3"/&gt;</v>
      </c>
    </row>
    <row r="884" spans="1:11">
      <c r="A884">
        <f>Sheet1!A1027</f>
        <v>210405</v>
      </c>
      <c r="B884" t="str">
        <f>Sheet1!B1027</f>
        <v>魔物</v>
      </c>
      <c r="C884">
        <f>Sheet1!Q1027</f>
        <v>741</v>
      </c>
      <c r="D884">
        <f>Sheet1!R1027</f>
        <v>827</v>
      </c>
      <c r="E884">
        <f>Sheet1!U1027</f>
        <v>3</v>
      </c>
      <c r="F884" t="str">
        <f t="shared" ref="F884" si="4657">F883</f>
        <v>&lt;record id="</v>
      </c>
      <c r="G884" t="str">
        <f t="shared" ref="G884" si="4658">G883</f>
        <v>" posx="</v>
      </c>
      <c r="H884" t="str">
        <f t="shared" ref="H884" si="4659">H883</f>
        <v>" posy="</v>
      </c>
      <c r="I884" t="str">
        <f t="shared" ref="I884" si="4660">I883</f>
        <v>" dir="</v>
      </c>
      <c r="J884" t="str">
        <f t="shared" ref="J884" si="4661">J883</f>
        <v>"/&gt;</v>
      </c>
      <c r="K884" t="str">
        <f t="shared" ref="K884" si="4662">F884&amp;A884&amp;G884&amp;C884&amp;H884&amp;D884&amp;I884&amp;E884&amp;J884</f>
        <v>&lt;record id="210405" posx="741" posy="827" dir="3"/&gt;</v>
      </c>
    </row>
    <row r="885" spans="1:11">
      <c r="A885">
        <f>Sheet1!A1028</f>
        <v>210406</v>
      </c>
      <c r="B885" t="str">
        <f>Sheet1!B1028</f>
        <v>艾凯门德</v>
      </c>
      <c r="C885">
        <f>Sheet1!Q1028</f>
        <v>234</v>
      </c>
      <c r="D885">
        <f>Sheet1!R1028</f>
        <v>232</v>
      </c>
      <c r="E885">
        <f>Sheet1!U1028</f>
        <v>3</v>
      </c>
      <c r="F885" t="str">
        <f t="shared" ref="F885" si="4663">F884</f>
        <v>&lt;record id="</v>
      </c>
      <c r="G885" t="str">
        <f t="shared" ref="G885" si="4664">G884</f>
        <v>" posx="</v>
      </c>
      <c r="H885" t="str">
        <f t="shared" ref="H885" si="4665">H884</f>
        <v>" posy="</v>
      </c>
      <c r="I885" t="str">
        <f t="shared" ref="I885" si="4666">I884</f>
        <v>" dir="</v>
      </c>
      <c r="J885" t="str">
        <f t="shared" ref="J885" si="4667">J884</f>
        <v>"/&gt;</v>
      </c>
      <c r="K885" t="str">
        <f t="shared" ref="K885" si="4668">F885&amp;A885&amp;G885&amp;C885&amp;H885&amp;D885&amp;I885&amp;E885&amp;J885</f>
        <v>&lt;record id="210406" posx="234" posy="232" dir="3"/&gt;</v>
      </c>
    </row>
    <row r="886" spans="1:11">
      <c r="A886">
        <f>Sheet1!A1029</f>
        <v>210407</v>
      </c>
      <c r="B886" t="str">
        <f>Sheet1!B1029</f>
        <v>洛斯</v>
      </c>
      <c r="C886">
        <f>Sheet1!Q1029</f>
        <v>204</v>
      </c>
      <c r="D886">
        <f>Sheet1!R1029</f>
        <v>287</v>
      </c>
      <c r="E886">
        <f>Sheet1!U1029</f>
        <v>3</v>
      </c>
      <c r="F886" t="str">
        <f t="shared" ref="F886" si="4669">F885</f>
        <v>&lt;record id="</v>
      </c>
      <c r="G886" t="str">
        <f t="shared" ref="G886" si="4670">G885</f>
        <v>" posx="</v>
      </c>
      <c r="H886" t="str">
        <f t="shared" ref="H886" si="4671">H885</f>
        <v>" posy="</v>
      </c>
      <c r="I886" t="str">
        <f t="shared" ref="I886" si="4672">I885</f>
        <v>" dir="</v>
      </c>
      <c r="J886" t="str">
        <f t="shared" ref="J886" si="4673">J885</f>
        <v>"/&gt;</v>
      </c>
      <c r="K886" t="str">
        <f t="shared" ref="K886" si="4674">F886&amp;A886&amp;G886&amp;C886&amp;H886&amp;D886&amp;I886&amp;E886&amp;J886</f>
        <v>&lt;record id="210407" posx="204" posy="287" dir="3"/&gt;</v>
      </c>
    </row>
    <row r="887" spans="1:11">
      <c r="A887">
        <f>Sheet1!A1030</f>
        <v>210408</v>
      </c>
      <c r="B887" t="str">
        <f>Sheet1!B1030</f>
        <v>索尔</v>
      </c>
      <c r="C887">
        <f>Sheet1!Q1030</f>
        <v>660</v>
      </c>
      <c r="D887">
        <f>Sheet1!R1030</f>
        <v>532</v>
      </c>
      <c r="E887">
        <f>Sheet1!U1030</f>
        <v>5</v>
      </c>
      <c r="F887" t="str">
        <f t="shared" ref="F887" si="4675">F886</f>
        <v>&lt;record id="</v>
      </c>
      <c r="G887" t="str">
        <f t="shared" ref="G887" si="4676">G886</f>
        <v>" posx="</v>
      </c>
      <c r="H887" t="str">
        <f t="shared" ref="H887" si="4677">H886</f>
        <v>" posy="</v>
      </c>
      <c r="I887" t="str">
        <f t="shared" ref="I887" si="4678">I886</f>
        <v>" dir="</v>
      </c>
      <c r="J887" t="str">
        <f t="shared" ref="J887" si="4679">J886</f>
        <v>"/&gt;</v>
      </c>
      <c r="K887" t="str">
        <f t="shared" ref="K887" si="4680">F887&amp;A887&amp;G887&amp;C887&amp;H887&amp;D887&amp;I887&amp;E887&amp;J887</f>
        <v>&lt;record id="210408" posx="660" posy="532" dir="5"/&gt;</v>
      </c>
    </row>
    <row r="888" spans="1:11">
      <c r="A888">
        <f>Sheet1!A1031</f>
        <v>210409</v>
      </c>
      <c r="B888" t="str">
        <f>Sheet1!B1031</f>
        <v>土地</v>
      </c>
      <c r="C888">
        <f>Sheet1!Q1031</f>
        <v>836</v>
      </c>
      <c r="D888">
        <f>Sheet1!R1031</f>
        <v>795</v>
      </c>
      <c r="E888">
        <f>Sheet1!U1031</f>
        <v>5</v>
      </c>
      <c r="F888" t="str">
        <f t="shared" ref="F888" si="4681">F887</f>
        <v>&lt;record id="</v>
      </c>
      <c r="G888" t="str">
        <f t="shared" ref="G888" si="4682">G887</f>
        <v>" posx="</v>
      </c>
      <c r="H888" t="str">
        <f t="shared" ref="H888" si="4683">H887</f>
        <v>" posy="</v>
      </c>
      <c r="I888" t="str">
        <f t="shared" ref="I888" si="4684">I887</f>
        <v>" dir="</v>
      </c>
      <c r="J888" t="str">
        <f t="shared" ref="J888" si="4685">J887</f>
        <v>"/&gt;</v>
      </c>
      <c r="K888" t="str">
        <f t="shared" ref="K888" si="4686">F888&amp;A888&amp;G888&amp;C888&amp;H888&amp;D888&amp;I888&amp;E888&amp;J888</f>
        <v>&lt;record id="210409" posx="836" posy="795" dir="5"/&gt;</v>
      </c>
    </row>
    <row r="889" spans="1:11">
      <c r="A889">
        <f>Sheet1!A1032</f>
        <v>210410</v>
      </c>
      <c r="B889" t="str">
        <f>Sheet1!B1032</f>
        <v>恐惧魔王</v>
      </c>
      <c r="C889">
        <f>Sheet1!Q1032</f>
        <v>513</v>
      </c>
      <c r="D889">
        <f>Sheet1!R1032</f>
        <v>575</v>
      </c>
      <c r="E889">
        <f>Sheet1!U1032</f>
        <v>3</v>
      </c>
      <c r="F889" t="str">
        <f t="shared" ref="F889" si="4687">F888</f>
        <v>&lt;record id="</v>
      </c>
      <c r="G889" t="str">
        <f t="shared" ref="G889" si="4688">G888</f>
        <v>" posx="</v>
      </c>
      <c r="H889" t="str">
        <f t="shared" ref="H889" si="4689">H888</f>
        <v>" posy="</v>
      </c>
      <c r="I889" t="str">
        <f t="shared" ref="I889" si="4690">I888</f>
        <v>" dir="</v>
      </c>
      <c r="J889" t="str">
        <f t="shared" ref="J889" si="4691">J888</f>
        <v>"/&gt;</v>
      </c>
      <c r="K889" t="str">
        <f t="shared" ref="K889" si="4692">F889&amp;A889&amp;G889&amp;C889&amp;H889&amp;D889&amp;I889&amp;E889&amp;J889</f>
        <v>&lt;record id="210410" posx="513" posy="575" dir="3"/&gt;</v>
      </c>
    </row>
    <row r="890" spans="1:11">
      <c r="A890" t="e">
        <f>Sheet1!#REF!</f>
        <v>#REF!</v>
      </c>
      <c r="B890" t="e">
        <f>Sheet1!#REF!</f>
        <v>#REF!</v>
      </c>
      <c r="C890" t="e">
        <f>Sheet1!#REF!</f>
        <v>#REF!</v>
      </c>
      <c r="D890" t="e">
        <f>Sheet1!#REF!</f>
        <v>#REF!</v>
      </c>
      <c r="E890" t="e">
        <f>Sheet1!#REF!</f>
        <v>#REF!</v>
      </c>
      <c r="F890" t="str">
        <f t="shared" ref="F890" si="4693">F889</f>
        <v>&lt;record id="</v>
      </c>
      <c r="G890" t="str">
        <f t="shared" ref="G890" si="4694">G889</f>
        <v>" posx="</v>
      </c>
      <c r="H890" t="str">
        <f t="shared" ref="H890" si="4695">H889</f>
        <v>" posy="</v>
      </c>
      <c r="I890" t="str">
        <f t="shared" ref="I890" si="4696">I889</f>
        <v>" dir="</v>
      </c>
      <c r="J890" t="str">
        <f t="shared" ref="J890" si="4697">J889</f>
        <v>"/&gt;</v>
      </c>
      <c r="K890" t="e">
        <f t="shared" ref="K890" si="4698">F890&amp;A890&amp;G890&amp;C890&amp;H890&amp;D890&amp;I890&amp;E890&amp;J890</f>
        <v>#REF!</v>
      </c>
    </row>
    <row r="891" spans="1:11">
      <c r="A891" t="e">
        <f>Sheet1!#REF!</f>
        <v>#REF!</v>
      </c>
      <c r="B891" t="e">
        <f>Sheet1!#REF!</f>
        <v>#REF!</v>
      </c>
      <c r="C891" t="e">
        <f>Sheet1!#REF!</f>
        <v>#REF!</v>
      </c>
      <c r="D891" t="e">
        <f>Sheet1!#REF!</f>
        <v>#REF!</v>
      </c>
      <c r="E891" t="e">
        <f>Sheet1!#REF!</f>
        <v>#REF!</v>
      </c>
      <c r="F891" t="str">
        <f t="shared" ref="F891" si="4699">F890</f>
        <v>&lt;record id="</v>
      </c>
      <c r="G891" t="str">
        <f t="shared" ref="G891" si="4700">G890</f>
        <v>" posx="</v>
      </c>
      <c r="H891" t="str">
        <f t="shared" ref="H891" si="4701">H890</f>
        <v>" posy="</v>
      </c>
      <c r="I891" t="str">
        <f t="shared" ref="I891" si="4702">I890</f>
        <v>" dir="</v>
      </c>
      <c r="J891" t="str">
        <f t="shared" ref="J891" si="4703">J890</f>
        <v>"/&gt;</v>
      </c>
      <c r="K891" t="e">
        <f t="shared" ref="K891" si="4704">F891&amp;A891&amp;G891&amp;C891&amp;H891&amp;D891&amp;I891&amp;E891&amp;J891</f>
        <v>#REF!</v>
      </c>
    </row>
    <row r="892" spans="1:11">
      <c r="A892" t="e">
        <f>Sheet1!#REF!</f>
        <v>#REF!</v>
      </c>
      <c r="B892" t="e">
        <f>Sheet1!#REF!</f>
        <v>#REF!</v>
      </c>
      <c r="C892" t="e">
        <f>Sheet1!#REF!</f>
        <v>#REF!</v>
      </c>
      <c r="D892" t="e">
        <f>Sheet1!#REF!</f>
        <v>#REF!</v>
      </c>
      <c r="E892" t="e">
        <f>Sheet1!#REF!</f>
        <v>#REF!</v>
      </c>
      <c r="F892" t="str">
        <f t="shared" ref="F892" si="4705">F891</f>
        <v>&lt;record id="</v>
      </c>
      <c r="G892" t="str">
        <f t="shared" ref="G892" si="4706">G891</f>
        <v>" posx="</v>
      </c>
      <c r="H892" t="str">
        <f t="shared" ref="H892" si="4707">H891</f>
        <v>" posy="</v>
      </c>
      <c r="I892" t="str">
        <f t="shared" ref="I892" si="4708">I891</f>
        <v>" dir="</v>
      </c>
      <c r="J892" t="str">
        <f t="shared" ref="J892:J897" si="4709">J891</f>
        <v>"/&gt;</v>
      </c>
      <c r="K892" t="e">
        <f t="shared" ref="K892" si="4710">F892&amp;A892&amp;G892&amp;C892&amp;H892&amp;D892&amp;I892&amp;E892&amp;J892</f>
        <v>#REF!</v>
      </c>
    </row>
    <row r="893" spans="1:11">
      <c r="A893" t="e">
        <f>Sheet1!#REF!</f>
        <v>#REF!</v>
      </c>
      <c r="B893" t="e">
        <f>Sheet1!#REF!</f>
        <v>#REF!</v>
      </c>
      <c r="C893" t="e">
        <f>Sheet1!#REF!</f>
        <v>#REF!</v>
      </c>
      <c r="D893" t="e">
        <f>Sheet1!#REF!</f>
        <v>#REF!</v>
      </c>
      <c r="E893" t="e">
        <f>Sheet1!#REF!</f>
        <v>#REF!</v>
      </c>
      <c r="F893" t="str">
        <f t="shared" ref="F893" si="4711">F892</f>
        <v>&lt;record id="</v>
      </c>
      <c r="G893" t="str">
        <f t="shared" ref="G893:G898" si="4712">G892</f>
        <v>" posx="</v>
      </c>
      <c r="H893" t="str">
        <f t="shared" ref="H893" si="4713">H892</f>
        <v>" posy="</v>
      </c>
      <c r="I893" t="str">
        <f t="shared" ref="I893" si="4714">I892</f>
        <v>" dir="</v>
      </c>
      <c r="J893" t="str">
        <f t="shared" si="4709"/>
        <v>"/&gt;</v>
      </c>
      <c r="K893" t="e">
        <f t="shared" ref="K893:K898" si="4715">F893&amp;A893&amp;G893&amp;C893&amp;H893&amp;D893&amp;I893&amp;E893&amp;J893</f>
        <v>#REF!</v>
      </c>
    </row>
    <row r="894" spans="1:11">
      <c r="A894" t="e">
        <f>Sheet1!#REF!</f>
        <v>#REF!</v>
      </c>
      <c r="B894" t="e">
        <f>Sheet1!#REF!</f>
        <v>#REF!</v>
      </c>
      <c r="C894" t="e">
        <f>Sheet1!#REF!</f>
        <v>#REF!</v>
      </c>
      <c r="D894" t="e">
        <f>Sheet1!#REF!</f>
        <v>#REF!</v>
      </c>
      <c r="E894" t="e">
        <f>Sheet1!#REF!</f>
        <v>#REF!</v>
      </c>
      <c r="F894" t="str">
        <f t="shared" ref="F894" si="4716">F893</f>
        <v>&lt;record id="</v>
      </c>
      <c r="G894" t="str">
        <f t="shared" si="4712"/>
        <v>" posx="</v>
      </c>
      <c r="H894" t="str">
        <f t="shared" ref="H894" si="4717">H893</f>
        <v>" posy="</v>
      </c>
      <c r="I894" t="str">
        <f t="shared" ref="I894:I897" si="4718">I893</f>
        <v>" dir="</v>
      </c>
      <c r="J894" t="str">
        <f t="shared" si="4709"/>
        <v>"/&gt;</v>
      </c>
      <c r="K894" t="e">
        <f t="shared" si="4715"/>
        <v>#REF!</v>
      </c>
    </row>
    <row r="895" spans="1:11">
      <c r="A895">
        <f>Sheet1!A1033</f>
        <v>210411</v>
      </c>
      <c r="B895" t="str">
        <f>Sheet1!B1033</f>
        <v>地藏王</v>
      </c>
      <c r="C895">
        <f>Sheet1!Q1033</f>
        <v>364</v>
      </c>
      <c r="D895">
        <f>Sheet1!R1033</f>
        <v>242</v>
      </c>
      <c r="E895">
        <f>Sheet1!U1033</f>
        <v>5</v>
      </c>
      <c r="F895" t="str">
        <f t="shared" ref="F895:F898" si="4719">F894</f>
        <v>&lt;record id="</v>
      </c>
      <c r="G895" t="str">
        <f t="shared" si="4712"/>
        <v>" posx="</v>
      </c>
      <c r="H895" t="str">
        <f t="shared" ref="H895:H897" si="4720">H894</f>
        <v>" posy="</v>
      </c>
      <c r="I895" t="str">
        <f t="shared" si="4718"/>
        <v>" dir="</v>
      </c>
      <c r="J895" t="str">
        <f t="shared" si="4709"/>
        <v>"/&gt;</v>
      </c>
      <c r="K895" t="str">
        <f t="shared" si="4715"/>
        <v>&lt;record id="210411" posx="364" posy="242" dir="5"/&gt;</v>
      </c>
    </row>
    <row r="896" spans="1:11">
      <c r="A896">
        <f>Sheet1!A1034</f>
        <v>210501</v>
      </c>
      <c r="B896" t="str">
        <f>Sheet1!B1034</f>
        <v>远古恶魔</v>
      </c>
      <c r="C896">
        <f>Sheet1!Q1034</f>
        <v>909</v>
      </c>
      <c r="D896">
        <f>Sheet1!R1034</f>
        <v>767</v>
      </c>
      <c r="E896">
        <f>Sheet1!U1034</f>
        <v>5</v>
      </c>
      <c r="F896" t="str">
        <f t="shared" si="4719"/>
        <v>&lt;record id="</v>
      </c>
      <c r="G896" t="str">
        <f t="shared" si="4712"/>
        <v>" posx="</v>
      </c>
      <c r="H896" t="str">
        <f t="shared" si="4720"/>
        <v>" posy="</v>
      </c>
      <c r="I896" t="str">
        <f t="shared" si="4718"/>
        <v>" dir="</v>
      </c>
      <c r="J896" t="str">
        <f t="shared" si="4709"/>
        <v>"/&gt;</v>
      </c>
      <c r="K896" t="str">
        <f t="shared" si="4715"/>
        <v>&lt;record id="210501" posx="909" posy="767" dir="5"/&gt;</v>
      </c>
    </row>
    <row r="897" spans="1:11">
      <c r="A897">
        <f>Sheet1!A1035</f>
        <v>210502</v>
      </c>
      <c r="B897" t="str">
        <f>Sheet1!B1035</f>
        <v>海底鱼人</v>
      </c>
      <c r="C897">
        <f>Sheet1!Q1035</f>
        <v>1440</v>
      </c>
      <c r="D897">
        <f>Sheet1!R1035</f>
        <v>1507</v>
      </c>
      <c r="E897">
        <f>Sheet1!U1035</f>
        <v>3</v>
      </c>
      <c r="F897" t="str">
        <f t="shared" si="4719"/>
        <v>&lt;record id="</v>
      </c>
      <c r="G897" t="str">
        <f t="shared" si="4712"/>
        <v>" posx="</v>
      </c>
      <c r="H897" t="str">
        <f t="shared" si="4720"/>
        <v>" posy="</v>
      </c>
      <c r="I897" t="str">
        <f t="shared" si="4718"/>
        <v>" dir="</v>
      </c>
      <c r="J897" t="str">
        <f t="shared" si="4709"/>
        <v>"/&gt;</v>
      </c>
      <c r="K897" t="str">
        <f t="shared" si="4715"/>
        <v>&lt;record id="210502" posx="1440" posy="1507" dir="3"/&gt;</v>
      </c>
    </row>
    <row r="898" spans="1:11">
      <c r="A898">
        <f>Sheet1!A1036</f>
        <v>210503</v>
      </c>
      <c r="B898" t="str">
        <f>Sheet1!B1036</f>
        <v>海底鱼人尸体</v>
      </c>
      <c r="C898">
        <f>Sheet1!Q1036</f>
        <v>1442</v>
      </c>
      <c r="D898">
        <f>Sheet1!R1036</f>
        <v>1501</v>
      </c>
      <c r="E898">
        <f>Sheet1!U1036</f>
        <v>3</v>
      </c>
      <c r="F898" t="str">
        <f t="shared" si="4719"/>
        <v>&lt;record id="</v>
      </c>
      <c r="G898" t="str">
        <f t="shared" si="4712"/>
        <v>" posx="</v>
      </c>
      <c r="H898" t="str">
        <f t="shared" ref="H898" si="4721">H897</f>
        <v>" posy="</v>
      </c>
      <c r="I898" t="str">
        <f t="shared" ref="I898" si="4722">I897</f>
        <v>" dir="</v>
      </c>
      <c r="J898" t="str">
        <f t="shared" ref="J898" si="4723">J897</f>
        <v>"/&gt;</v>
      </c>
      <c r="K898" t="str">
        <f t="shared" si="4715"/>
        <v>&lt;record id="210503" posx="1442" posy="1501" dir="3"/&gt;</v>
      </c>
    </row>
    <row r="899" spans="1:11">
      <c r="A899">
        <f>Sheet1!A1037</f>
        <v>210601</v>
      </c>
      <c r="B899" t="str">
        <f>Sheet1!B1037</f>
        <v>魔物守卫</v>
      </c>
      <c r="C899">
        <f>Sheet1!Q1037</f>
        <v>702</v>
      </c>
      <c r="D899">
        <f>Sheet1!R1037</f>
        <v>679</v>
      </c>
      <c r="E899">
        <f>Sheet1!U1037</f>
        <v>5</v>
      </c>
      <c r="F899" t="str">
        <f t="shared" ref="F899" si="4724">F898</f>
        <v>&lt;record id="</v>
      </c>
      <c r="G899" t="str">
        <f t="shared" ref="G899" si="4725">G898</f>
        <v>" posx="</v>
      </c>
      <c r="H899" t="str">
        <f t="shared" ref="H899" si="4726">H898</f>
        <v>" posy="</v>
      </c>
      <c r="I899" t="str">
        <f t="shared" ref="I899" si="4727">I898</f>
        <v>" dir="</v>
      </c>
      <c r="J899" t="str">
        <f t="shared" ref="J899" si="4728">J898</f>
        <v>"/&gt;</v>
      </c>
      <c r="K899" t="str">
        <f t="shared" ref="K899" si="4729">F899&amp;A899&amp;G899&amp;C899&amp;H899&amp;D899&amp;I899&amp;E899&amp;J899</f>
        <v>&lt;record id="210601" posx="702" posy="679" dir="5"/&gt;</v>
      </c>
    </row>
    <row r="900" spans="1:11">
      <c r="A900">
        <f>Sheet1!A1038</f>
        <v>210602</v>
      </c>
      <c r="B900" t="str">
        <f>Sheet1!B1038</f>
        <v>魔物</v>
      </c>
      <c r="C900">
        <f>Sheet1!Q1038</f>
        <v>874</v>
      </c>
      <c r="D900">
        <f>Sheet1!R1038</f>
        <v>420</v>
      </c>
      <c r="E900">
        <f>Sheet1!U1038</f>
        <v>3</v>
      </c>
      <c r="F900" t="str">
        <f t="shared" ref="F900" si="4730">F899</f>
        <v>&lt;record id="</v>
      </c>
      <c r="G900" t="str">
        <f t="shared" ref="G900" si="4731">G899</f>
        <v>" posx="</v>
      </c>
      <c r="H900" t="str">
        <f t="shared" ref="H900" si="4732">H899</f>
        <v>" posy="</v>
      </c>
      <c r="I900" t="str">
        <f t="shared" ref="I900" si="4733">I899</f>
        <v>" dir="</v>
      </c>
      <c r="J900" t="str">
        <f t="shared" ref="J900" si="4734">J899</f>
        <v>"/&gt;</v>
      </c>
      <c r="K900" t="str">
        <f t="shared" ref="K900" si="4735">F900&amp;A900&amp;G900&amp;C900&amp;H900&amp;D900&amp;I900&amp;E900&amp;J900</f>
        <v>&lt;record id="210602" posx="874" posy="420" dir="3"/&gt;</v>
      </c>
    </row>
    <row r="901" spans="1:11">
      <c r="A901">
        <f>Sheet1!A1039</f>
        <v>210701</v>
      </c>
      <c r="B901" t="str">
        <f>Sheet1!B1039</f>
        <v>老孙头</v>
      </c>
      <c r="C901">
        <f>Sheet1!Q1039</f>
        <v>606</v>
      </c>
      <c r="D901">
        <f>Sheet1!R1039</f>
        <v>456</v>
      </c>
      <c r="E901">
        <f>Sheet1!U1039</f>
        <v>3</v>
      </c>
      <c r="F901" t="str">
        <f t="shared" ref="F901" si="4736">F900</f>
        <v>&lt;record id="</v>
      </c>
      <c r="G901" t="str">
        <f t="shared" ref="G901" si="4737">G900</f>
        <v>" posx="</v>
      </c>
      <c r="H901" t="str">
        <f t="shared" ref="H901" si="4738">H900</f>
        <v>" posy="</v>
      </c>
      <c r="I901" t="str">
        <f t="shared" ref="I901" si="4739">I900</f>
        <v>" dir="</v>
      </c>
      <c r="J901" t="str">
        <f t="shared" ref="J901" si="4740">J900</f>
        <v>"/&gt;</v>
      </c>
      <c r="K901" t="str">
        <f t="shared" ref="K901" si="4741">F901&amp;A901&amp;G901&amp;C901&amp;H901&amp;D901&amp;I901&amp;E901&amp;J901</f>
        <v>&lt;record id="210701" posx="606" posy="456" dir="3"/&gt;</v>
      </c>
    </row>
    <row r="902" spans="1:11">
      <c r="A902">
        <f>Sheet1!A1040</f>
        <v>210702</v>
      </c>
      <c r="B902" t="str">
        <f>Sheet1!B1040</f>
        <v>骷髅战士</v>
      </c>
      <c r="C902">
        <f>Sheet1!Q1040</f>
        <v>1010</v>
      </c>
      <c r="D902">
        <f>Sheet1!R1040</f>
        <v>497</v>
      </c>
      <c r="E902">
        <f>Sheet1!U1040</f>
        <v>5</v>
      </c>
      <c r="F902" t="str">
        <f t="shared" ref="F902" si="4742">F901</f>
        <v>&lt;record id="</v>
      </c>
      <c r="G902" t="str">
        <f t="shared" ref="G902" si="4743">G901</f>
        <v>" posx="</v>
      </c>
      <c r="H902" t="str">
        <f t="shared" ref="H902" si="4744">H901</f>
        <v>" posy="</v>
      </c>
      <c r="I902" t="str">
        <f t="shared" ref="I902" si="4745">I901</f>
        <v>" dir="</v>
      </c>
      <c r="J902" t="str">
        <f t="shared" ref="J902:J907" si="4746">J901</f>
        <v>"/&gt;</v>
      </c>
      <c r="K902" t="str">
        <f t="shared" ref="K902:K907" si="4747">F902&amp;A902&amp;G902&amp;C902&amp;H902&amp;D902&amp;I902&amp;E902&amp;J902</f>
        <v>&lt;record id="210702" posx="1010" posy="497" dir="5"/&gt;</v>
      </c>
    </row>
    <row r="903" spans="1:11">
      <c r="A903">
        <f>Sheet1!A1041</f>
        <v>210801</v>
      </c>
      <c r="B903" t="str">
        <f>Sheet1!B1041</f>
        <v>弟子</v>
      </c>
      <c r="C903">
        <f>Sheet1!Q1041</f>
        <v>1146</v>
      </c>
      <c r="D903">
        <f>Sheet1!R1041</f>
        <v>625</v>
      </c>
      <c r="E903">
        <f>Sheet1!U1041</f>
        <v>7</v>
      </c>
      <c r="F903" t="str">
        <f t="shared" ref="F903" si="4748">F902</f>
        <v>&lt;record id="</v>
      </c>
      <c r="G903" t="str">
        <f t="shared" ref="G903" si="4749">G902</f>
        <v>" posx="</v>
      </c>
      <c r="H903" t="str">
        <f t="shared" ref="H903" si="4750">H902</f>
        <v>" posy="</v>
      </c>
      <c r="I903" t="str">
        <f t="shared" ref="I903:I907" si="4751">I902</f>
        <v>" dir="</v>
      </c>
      <c r="J903" t="str">
        <f t="shared" si="4746"/>
        <v>"/&gt;</v>
      </c>
      <c r="K903" t="str">
        <f t="shared" si="4747"/>
        <v>&lt;record id="210801" posx="1146" posy="625" dir="7"/&gt;</v>
      </c>
    </row>
    <row r="904" spans="1:11">
      <c r="A904">
        <f>Sheet1!A1042</f>
        <v>210802</v>
      </c>
      <c r="B904" t="str">
        <f>Sheet1!B1042</f>
        <v>魔物</v>
      </c>
      <c r="C904">
        <f>Sheet1!Q1042</f>
        <v>951</v>
      </c>
      <c r="D904">
        <f>Sheet1!R1042</f>
        <v>434</v>
      </c>
      <c r="E904">
        <f>Sheet1!U1042</f>
        <v>5</v>
      </c>
      <c r="F904" t="str">
        <f t="shared" ref="F904" si="4752">F903</f>
        <v>&lt;record id="</v>
      </c>
      <c r="G904" t="str">
        <f t="shared" ref="G904:G907" si="4753">G903</f>
        <v>" posx="</v>
      </c>
      <c r="H904" t="str">
        <f t="shared" ref="H904" si="4754">H903</f>
        <v>" posy="</v>
      </c>
      <c r="I904" t="str">
        <f t="shared" si="4751"/>
        <v>" dir="</v>
      </c>
      <c r="J904" t="str">
        <f t="shared" si="4746"/>
        <v>"/&gt;</v>
      </c>
      <c r="K904" t="str">
        <f t="shared" si="4747"/>
        <v>&lt;record id="210802" posx="951" posy="434" dir="5"/&gt;</v>
      </c>
    </row>
    <row r="905" spans="1:11">
      <c r="A905">
        <f>Sheet1!A1043</f>
        <v>210803</v>
      </c>
      <c r="B905" t="str">
        <f>Sheet1!B1043</f>
        <v>村民</v>
      </c>
      <c r="C905">
        <f>Sheet1!Q1043</f>
        <v>850</v>
      </c>
      <c r="D905">
        <f>Sheet1!R1043</f>
        <v>409</v>
      </c>
      <c r="E905">
        <f>Sheet1!U1043</f>
        <v>3</v>
      </c>
      <c r="F905" t="str">
        <f t="shared" ref="F905:F907" si="4755">F904</f>
        <v>&lt;record id="</v>
      </c>
      <c r="G905" t="str">
        <f t="shared" si="4753"/>
        <v>" posx="</v>
      </c>
      <c r="H905" t="str">
        <f t="shared" ref="H905:H907" si="4756">H904</f>
        <v>" posy="</v>
      </c>
      <c r="I905" t="str">
        <f t="shared" si="4751"/>
        <v>" dir="</v>
      </c>
      <c r="J905" t="str">
        <f t="shared" si="4746"/>
        <v>"/&gt;</v>
      </c>
      <c r="K905" t="str">
        <f t="shared" si="4747"/>
        <v>&lt;record id="210803" posx="850" posy="409" dir="3"/&gt;</v>
      </c>
    </row>
    <row r="906" spans="1:11">
      <c r="A906">
        <f>Sheet1!A1044</f>
        <v>210901</v>
      </c>
      <c r="B906" t="str">
        <f>Sheet1!B1044</f>
        <v>忘川童子</v>
      </c>
      <c r="C906">
        <f>Sheet1!Q1044</f>
        <v>450</v>
      </c>
      <c r="D906">
        <f>Sheet1!R1044</f>
        <v>466</v>
      </c>
      <c r="E906">
        <f>Sheet1!U1044</f>
        <v>3</v>
      </c>
      <c r="F906" t="str">
        <f t="shared" si="4755"/>
        <v>&lt;record id="</v>
      </c>
      <c r="G906" t="str">
        <f t="shared" si="4753"/>
        <v>" posx="</v>
      </c>
      <c r="H906" t="str">
        <f t="shared" si="4756"/>
        <v>" posy="</v>
      </c>
      <c r="I906" t="str">
        <f t="shared" si="4751"/>
        <v>" dir="</v>
      </c>
      <c r="J906" t="str">
        <f t="shared" si="4746"/>
        <v>"/&gt;</v>
      </c>
      <c r="K906" t="str">
        <f t="shared" si="4747"/>
        <v>&lt;record id="210901" posx="450" posy="466" dir="3"/&gt;</v>
      </c>
    </row>
    <row r="907" spans="1:11">
      <c r="A907">
        <f>Sheet1!A1045</f>
        <v>210902</v>
      </c>
      <c r="B907" t="str">
        <f>Sheet1!B1045</f>
        <v>魔物</v>
      </c>
      <c r="C907">
        <f>Sheet1!Q1045</f>
        <v>980</v>
      </c>
      <c r="D907">
        <f>Sheet1!R1045</f>
        <v>351</v>
      </c>
      <c r="E907">
        <f>Sheet1!U1045</f>
        <v>5</v>
      </c>
      <c r="F907" t="str">
        <f t="shared" si="4755"/>
        <v>&lt;record id="</v>
      </c>
      <c r="G907" t="str">
        <f t="shared" si="4753"/>
        <v>" posx="</v>
      </c>
      <c r="H907" t="str">
        <f t="shared" si="4756"/>
        <v>" posy="</v>
      </c>
      <c r="I907" t="str">
        <f t="shared" si="4751"/>
        <v>" dir="</v>
      </c>
      <c r="J907" t="str">
        <f t="shared" si="4746"/>
        <v>"/&gt;</v>
      </c>
      <c r="K907" t="str">
        <f t="shared" si="4747"/>
        <v>&lt;record id="210902" posx="980" posy="351" dir="5"/&gt;</v>
      </c>
    </row>
  </sheetData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"/>
  <sheetViews>
    <sheetView workbookViewId="0">
      <selection activeCell="G33" sqref="G33"/>
    </sheetView>
  </sheetViews>
  <sheetFormatPr defaultColWidth="9" defaultRowHeight="13.5"/>
  <sheetData/>
  <pageMargins left="0.75" right="0.75" top="1" bottom="1" header="0.5" footer="0.5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策划用表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强子</cp:lastModifiedBy>
  <dcterms:created xsi:type="dcterms:W3CDTF">2015-11-24T09:16:00Z</dcterms:created>
  <dcterms:modified xsi:type="dcterms:W3CDTF">2020-09-19T04:16:26Z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